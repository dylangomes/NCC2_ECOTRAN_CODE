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showInkAnnotation="0" codeName="ThisWorkbook" autoCompressPictures="0"/>
  <mc:AlternateContent xmlns:mc="http://schemas.openxmlformats.org/markup-compatibility/2006">
    <mc:Choice Requires="x15">
      <x15ac:absPath xmlns:x15ac="http://schemas.microsoft.com/office/spreadsheetml/2010/11/ac" url="C:\Users\dgome\Documents\ECOTRAN_NCC\FoodWeb_models\NCC2_Balancing\"/>
    </mc:Choice>
  </mc:AlternateContent>
  <xr:revisionPtr revIDLastSave="0" documentId="13_ncr:1_{0D23191F-03B6-4C32-9461-3281D08CDE43}" xr6:coauthVersionLast="47" xr6:coauthVersionMax="47" xr10:uidLastSave="{00000000-0000-0000-0000-000000000000}"/>
  <bookViews>
    <workbookView xWindow="-96" yWindow="-96" windowWidth="23232" windowHeight="13152" tabRatio="857" firstSheet="1" activeTab="2"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Main!$C$2:$N$100</definedName>
    <definedName name="matDetritus">Detritus!$C$2:$H$100</definedName>
    <definedName name="matDiet">Diets!$B$2:$CH$92</definedName>
    <definedName name="matDiscards">Discards!$C$2:$K$91</definedName>
    <definedName name="matFishery">Fishing!$C$2:$K$91</definedName>
    <definedName name="matFishing">Fishing!#REF!</definedName>
    <definedName name="matMort">Mortalities!$A$1:$CX$91</definedName>
    <definedName name="matOut">MainOutputs!$A$2:$I$100</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95" i="78" l="1"/>
  <c r="AK38" i="75" l="1"/>
  <c r="AL38" i="75" s="1"/>
  <c r="AF44" i="75"/>
  <c r="CD92" i="78"/>
  <c r="AL39" i="75" l="1"/>
  <c r="C33" i="86"/>
  <c r="C32" i="86"/>
  <c r="B33" i="86"/>
  <c r="B32" i="86"/>
  <c r="D32" i="86" l="1"/>
  <c r="D33" i="86"/>
  <c r="G3" i="85"/>
  <c r="G4" i="85" s="1"/>
  <c r="G5" i="85" s="1"/>
  <c r="G6" i="85" s="1"/>
  <c r="G7" i="85" s="1"/>
  <c r="G8" i="85" s="1"/>
  <c r="G9" i="85" s="1"/>
  <c r="G10" i="85" s="1"/>
  <c r="G11" i="85" s="1"/>
  <c r="G12" i="85" s="1"/>
  <c r="G13" i="85" s="1"/>
  <c r="G14" i="85" s="1"/>
  <c r="G15" i="85" s="1"/>
  <c r="G16" i="85" s="1"/>
  <c r="G17" i="85" s="1"/>
  <c r="G18" i="85" s="1"/>
  <c r="G19" i="85" s="1"/>
  <c r="G20" i="85" s="1"/>
  <c r="G21" i="85" s="1"/>
  <c r="G22" i="85" s="1"/>
  <c r="G23" i="85" s="1"/>
  <c r="G24" i="85" s="1"/>
  <c r="G25" i="85" s="1"/>
  <c r="G26" i="85" s="1"/>
  <c r="G27" i="85" s="1"/>
  <c r="G28" i="85" s="1"/>
  <c r="G29" i="85" s="1"/>
  <c r="G30" i="85" s="1"/>
  <c r="G31" i="85" s="1"/>
  <c r="G32" i="85" s="1"/>
  <c r="G33" i="85" s="1"/>
  <c r="G34" i="85" s="1"/>
  <c r="G35" i="85" s="1"/>
  <c r="G36" i="85" s="1"/>
  <c r="G37" i="85" s="1"/>
  <c r="G38" i="85" s="1"/>
  <c r="G39" i="85" s="1"/>
  <c r="G40" i="85" s="1"/>
  <c r="G41" i="85" s="1"/>
  <c r="G42" i="85" s="1"/>
  <c r="G43" i="85" s="1"/>
  <c r="G44" i="85" s="1"/>
  <c r="G45" i="85" s="1"/>
  <c r="G46" i="85" s="1"/>
  <c r="G47" i="85" s="1"/>
  <c r="G48" i="85" s="1"/>
  <c r="G49" i="85" s="1"/>
  <c r="G50" i="85" s="1"/>
  <c r="G51" i="85" s="1"/>
  <c r="G52" i="85" s="1"/>
  <c r="G53" i="85" s="1"/>
  <c r="G54" i="85" s="1"/>
  <c r="G55" i="85" s="1"/>
  <c r="G56" i="85" s="1"/>
  <c r="G57" i="85" s="1"/>
  <c r="G58" i="85" s="1"/>
  <c r="G59" i="85" s="1"/>
  <c r="G60" i="85" s="1"/>
  <c r="G61" i="85" s="1"/>
  <c r="G62" i="85" s="1"/>
  <c r="G63" i="85" s="1"/>
  <c r="G64" i="85" s="1"/>
  <c r="G65" i="85" s="1"/>
  <c r="G66" i="85" s="1"/>
  <c r="G67" i="85" s="1"/>
  <c r="G68" i="85" s="1"/>
  <c r="G69" i="85" s="1"/>
  <c r="G70" i="85" s="1"/>
  <c r="G71" i="85" s="1"/>
  <c r="G72" i="85" s="1"/>
  <c r="G73" i="85" s="1"/>
  <c r="G74" i="85" s="1"/>
  <c r="G75" i="85" s="1"/>
  <c r="G76" i="85" s="1"/>
  <c r="G77" i="85" s="1"/>
  <c r="G78" i="85" s="1"/>
  <c r="G79" i="85" s="1"/>
  <c r="G80" i="85" s="1"/>
  <c r="G81" i="85" s="1"/>
  <c r="G82" i="85" s="1"/>
  <c r="G83" i="85" s="1"/>
  <c r="G84" i="85" s="1"/>
  <c r="G85" i="85" s="1"/>
  <c r="G86" i="85" s="1"/>
  <c r="G87" i="85" s="1"/>
  <c r="G88" i="85" s="1"/>
  <c r="G89" i="85" s="1"/>
  <c r="G90" i="85" s="1"/>
  <c r="G91" i="85" s="1"/>
  <c r="G92" i="85" s="1"/>
  <c r="G93" i="85" s="1"/>
  <c r="G94" i="85" s="1"/>
  <c r="G95" i="85" s="1"/>
  <c r="G96" i="85" s="1"/>
  <c r="G97" i="85" s="1"/>
  <c r="G98" i="85" s="1"/>
  <c r="G99" i="85" s="1"/>
  <c r="G100" i="85" s="1"/>
  <c r="G101" i="85" s="1"/>
  <c r="G102" i="85" s="1"/>
  <c r="G103" i="85" s="1"/>
  <c r="G104" i="85" s="1"/>
  <c r="G105" i="85" s="1"/>
  <c r="E3" i="85"/>
  <c r="E4" i="85" s="1"/>
  <c r="E5" i="85" s="1"/>
  <c r="E6" i="85" s="1"/>
  <c r="E7" i="85" s="1"/>
  <c r="E8" i="85" s="1"/>
  <c r="E9" i="85" s="1"/>
  <c r="E10" i="85" s="1"/>
  <c r="E11" i="85" s="1"/>
  <c r="E12" i="85" s="1"/>
  <c r="E13" i="85" s="1"/>
  <c r="E14" i="85" s="1"/>
  <c r="E15" i="85" s="1"/>
  <c r="E16" i="85" s="1"/>
  <c r="E17" i="85" s="1"/>
  <c r="E18" i="85" s="1"/>
  <c r="E19" i="85" s="1"/>
  <c r="E20" i="85" s="1"/>
  <c r="E21" i="85" s="1"/>
  <c r="E22" i="85" s="1"/>
  <c r="E23" i="85" s="1"/>
  <c r="E24" i="85" s="1"/>
  <c r="E25" i="85" s="1"/>
  <c r="E26" i="85" s="1"/>
  <c r="E27" i="85" s="1"/>
  <c r="E28" i="85" s="1"/>
  <c r="E29" i="85" s="1"/>
  <c r="E30" i="85" s="1"/>
  <c r="E31" i="85" s="1"/>
  <c r="E32" i="85" s="1"/>
  <c r="E33" i="85" s="1"/>
  <c r="E34" i="85" s="1"/>
  <c r="E35" i="85" s="1"/>
  <c r="E36" i="85" s="1"/>
  <c r="E37" i="85" s="1"/>
  <c r="E38" i="85" s="1"/>
  <c r="E39" i="85" s="1"/>
  <c r="E40" i="85" s="1"/>
  <c r="E41" i="85" s="1"/>
  <c r="E42" i="85" s="1"/>
  <c r="E43" i="85" s="1"/>
  <c r="E44" i="85" s="1"/>
  <c r="E45" i="85" s="1"/>
  <c r="E46" i="85" s="1"/>
  <c r="E47" i="85" s="1"/>
  <c r="E48" i="85" s="1"/>
  <c r="E49" i="85" s="1"/>
  <c r="E50" i="85" s="1"/>
  <c r="E51" i="85" s="1"/>
  <c r="E52" i="85" s="1"/>
  <c r="E53" i="85" s="1"/>
  <c r="E54" i="85" s="1"/>
  <c r="E55" i="85" s="1"/>
  <c r="E56" i="85" s="1"/>
  <c r="E57" i="85" s="1"/>
  <c r="E58" i="85" s="1"/>
  <c r="E59" i="85" s="1"/>
  <c r="E60" i="85" s="1"/>
  <c r="E61" i="85" s="1"/>
  <c r="E62" i="85" s="1"/>
  <c r="E63" i="85" s="1"/>
  <c r="E64" i="85" s="1"/>
  <c r="E65" i="85" s="1"/>
  <c r="E66" i="85" s="1"/>
  <c r="E67" i="85" s="1"/>
  <c r="E68" i="85" s="1"/>
  <c r="E69" i="85" s="1"/>
  <c r="E70" i="85" s="1"/>
  <c r="E71" i="85" s="1"/>
  <c r="E72" i="85" s="1"/>
  <c r="E73" i="85" s="1"/>
  <c r="E74" i="85" s="1"/>
  <c r="E75" i="85" s="1"/>
  <c r="E76" i="85" s="1"/>
  <c r="E77" i="85" s="1"/>
  <c r="E78" i="85" s="1"/>
  <c r="E79" i="85" s="1"/>
  <c r="E80" i="85" s="1"/>
  <c r="E81" i="85" s="1"/>
  <c r="E82" i="85" s="1"/>
  <c r="E83" i="85" s="1"/>
  <c r="E84" i="85" s="1"/>
  <c r="E85" i="85" s="1"/>
  <c r="E86" i="85" s="1"/>
  <c r="E87" i="85" s="1"/>
  <c r="E88" i="85" s="1"/>
  <c r="E89" i="85" s="1"/>
  <c r="E90" i="85" s="1"/>
  <c r="E91" i="85" s="1"/>
  <c r="E92" i="85" s="1"/>
  <c r="E93" i="85" s="1"/>
  <c r="E94" i="85" s="1"/>
  <c r="E95" i="85" s="1"/>
  <c r="E96" i="85" s="1"/>
  <c r="E97" i="85" s="1"/>
  <c r="E98" i="85" s="1"/>
  <c r="E99" i="85" s="1"/>
  <c r="E100" i="85" s="1"/>
  <c r="E101" i="85" s="1"/>
  <c r="E102" i="85" s="1"/>
  <c r="E103" i="85" s="1"/>
  <c r="E104" i="85" s="1"/>
  <c r="E105" i="85" s="1"/>
  <c r="L67" i="3"/>
  <c r="L91" i="3"/>
  <c r="L92" i="3"/>
  <c r="L93" i="3"/>
  <c r="L94" i="3"/>
  <c r="L95" i="3"/>
  <c r="L96" i="3"/>
  <c r="L97" i="3"/>
  <c r="L98" i="3"/>
  <c r="L99" i="3"/>
  <c r="L100" i="3"/>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D41" i="86" l="1"/>
  <c r="E32" i="86" s="1"/>
  <c r="B19" i="86" s="1"/>
  <c r="AF23" i="75"/>
  <c r="AF24" i="75"/>
  <c r="AF22" i="75"/>
  <c r="AF27" i="75"/>
  <c r="AF47" i="75"/>
  <c r="AF51" i="75"/>
  <c r="E33" i="86" l="1"/>
  <c r="E41" i="86" s="1"/>
  <c r="B8" i="86"/>
  <c r="AF16" i="75"/>
  <c r="AF17" i="75"/>
  <c r="AC44" i="75"/>
  <c r="B20" i="86" l="1"/>
  <c r="B9" i="86"/>
  <c r="L2" i="2"/>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8" i="3"/>
  <c r="L69" i="3"/>
  <c r="L70" i="3"/>
  <c r="L71" i="3"/>
  <c r="L72" i="3"/>
  <c r="L73" i="3"/>
  <c r="L74" i="3"/>
  <c r="L75" i="3"/>
  <c r="L76" i="3"/>
  <c r="L77" i="3"/>
  <c r="L78" i="3"/>
  <c r="L79" i="3"/>
  <c r="L80" i="3"/>
  <c r="L81" i="3"/>
  <c r="L82" i="3"/>
  <c r="L83" i="3"/>
  <c r="L84" i="3"/>
  <c r="L85" i="3"/>
  <c r="L86" i="3"/>
  <c r="L87" i="3"/>
  <c r="L88" i="3"/>
  <c r="L89" i="3"/>
  <c r="L90" i="3"/>
  <c r="L2" i="3"/>
  <c r="AF2" i="75" l="1"/>
  <c r="AF57" i="75"/>
  <c r="AF56" i="75"/>
  <c r="AC57" i="75"/>
  <c r="AF88" i="75"/>
  <c r="AF87" i="75"/>
  <c r="AF50" i="75" l="1"/>
  <c r="AF35" i="75"/>
  <c r="AF55" i="75"/>
  <c r="AF48" i="75"/>
  <c r="AF46" i="75"/>
  <c r="AF43" i="75"/>
  <c r="AF42" i="75"/>
  <c r="AF67" i="75"/>
  <c r="AF68" i="75"/>
  <c r="AF49" i="75"/>
  <c r="AF53" i="75"/>
  <c r="G49" i="75"/>
  <c r="AF54" i="75"/>
  <c r="AF52" i="75"/>
  <c r="AF60" i="75"/>
  <c r="AF40" i="75"/>
  <c r="AF10" i="75"/>
  <c r="AF39" i="75" l="1"/>
  <c r="AF76" i="75"/>
  <c r="AF77" i="75"/>
  <c r="AF75" i="75"/>
  <c r="AF74" i="75"/>
  <c r="AF70" i="75"/>
  <c r="AF73" i="75"/>
  <c r="AF72" i="75"/>
  <c r="AF71" i="75"/>
  <c r="AF38" i="75"/>
  <c r="AF37" i="75"/>
  <c r="AF36" i="75"/>
  <c r="AF20" i="75"/>
  <c r="G20" i="75" s="1"/>
  <c r="AF25" i="75"/>
  <c r="G25" i="75" s="1"/>
  <c r="AF28" i="75"/>
  <c r="AF29" i="75"/>
  <c r="AF30" i="75"/>
  <c r="AF31" i="75"/>
  <c r="AF32" i="75"/>
  <c r="AF33" i="75"/>
  <c r="AF26" i="75"/>
  <c r="AF79" i="75" l="1"/>
  <c r="AF80" i="75"/>
  <c r="AF81" i="75"/>
  <c r="AF82" i="75"/>
  <c r="AF83" i="75"/>
  <c r="AF84" i="75"/>
  <c r="AF85" i="75"/>
  <c r="AF86" i="75"/>
  <c r="AF78" i="75"/>
  <c r="AF7" i="75"/>
  <c r="AF6" i="75"/>
  <c r="AF5" i="75"/>
  <c r="AF8" i="75"/>
  <c r="AF9" i="75"/>
  <c r="AF11" i="75"/>
  <c r="AF41" i="75"/>
  <c r="G24" i="75"/>
  <c r="G22" i="75"/>
  <c r="AF12" i="75"/>
  <c r="AF13" i="75"/>
  <c r="AF14" i="75"/>
  <c r="AF3" i="75"/>
  <c r="I15" i="1" l="1"/>
  <c r="I33" i="1"/>
  <c r="I86" i="1"/>
  <c r="I82" i="1"/>
  <c r="BC24" i="75" l="1"/>
  <c r="BC26" i="75" s="1"/>
  <c r="AH5" i="75" s="1"/>
  <c r="AF15" i="75" s="1"/>
  <c r="BE7" i="75"/>
  <c r="BF7" i="75" s="1"/>
  <c r="BE6" i="75"/>
  <c r="BF6" i="75" s="1"/>
  <c r="BE5" i="75"/>
  <c r="BF5" i="75" s="1"/>
  <c r="G57" i="75" l="1"/>
  <c r="G17" i="75"/>
  <c r="G19" i="75"/>
  <c r="G23" i="75"/>
  <c r="G26" i="75"/>
  <c r="G27" i="75"/>
  <c r="G28" i="75"/>
  <c r="G29" i="75"/>
  <c r="G30" i="75"/>
  <c r="G31" i="75"/>
  <c r="G32" i="75"/>
  <c r="G33" i="75"/>
  <c r="G35" i="75"/>
  <c r="G36" i="75"/>
  <c r="G37" i="75"/>
  <c r="G38" i="75"/>
  <c r="G39" i="75"/>
  <c r="G40" i="75"/>
  <c r="G41" i="75"/>
  <c r="G42" i="75"/>
  <c r="G43" i="75"/>
  <c r="G44" i="75"/>
  <c r="G45" i="75"/>
  <c r="G46" i="75"/>
  <c r="G47" i="75"/>
  <c r="G48" i="75"/>
  <c r="G51" i="75"/>
  <c r="G52" i="75"/>
  <c r="G53" i="75"/>
  <c r="G54" i="75"/>
  <c r="G55" i="75"/>
  <c r="G56" i="75"/>
  <c r="G59" i="75"/>
  <c r="G60" i="75"/>
  <c r="G67" i="75"/>
  <c r="G68" i="75"/>
  <c r="G70" i="75"/>
  <c r="G71" i="75"/>
  <c r="G72" i="75"/>
  <c r="G73" i="75"/>
  <c r="G74" i="75"/>
  <c r="G75" i="75"/>
  <c r="G76" i="75"/>
  <c r="G77" i="75"/>
  <c r="G78" i="75"/>
  <c r="G79" i="75"/>
  <c r="G80" i="75"/>
  <c r="G81" i="75"/>
  <c r="G82" i="75"/>
  <c r="G83" i="75"/>
  <c r="G84" i="75"/>
  <c r="G85" i="75"/>
  <c r="G86" i="75"/>
  <c r="G87" i="75"/>
  <c r="G88" i="75"/>
  <c r="G89" i="75"/>
  <c r="G90" i="75"/>
  <c r="G91" i="75"/>
  <c r="G3" i="75"/>
  <c r="G5" i="75"/>
  <c r="G6" i="75"/>
  <c r="G7" i="75"/>
  <c r="G8" i="75"/>
  <c r="G9" i="75"/>
  <c r="G10" i="75"/>
  <c r="G11" i="75"/>
  <c r="G12" i="75"/>
  <c r="G13" i="75"/>
  <c r="G14" i="75"/>
  <c r="G15" i="75"/>
  <c r="G16" i="75"/>
  <c r="R95" i="78"/>
  <c r="C95" i="78"/>
  <c r="D95" i="78"/>
  <c r="E95" i="78"/>
  <c r="F95" i="78"/>
  <c r="G95" i="78"/>
  <c r="H95" i="78"/>
  <c r="I95" i="78"/>
  <c r="B7" i="75" s="1"/>
  <c r="J95" i="78"/>
  <c r="K95" i="78"/>
  <c r="L95" i="78"/>
  <c r="M95" i="78"/>
  <c r="N95" i="78"/>
  <c r="O95" i="78"/>
  <c r="P95" i="78"/>
  <c r="Q95" i="78"/>
  <c r="B95" i="78"/>
  <c r="S95" i="78"/>
  <c r="T95" i="78"/>
  <c r="U95" i="78"/>
  <c r="V95" i="78"/>
  <c r="W95" i="78"/>
  <c r="X95" i="78"/>
  <c r="Y95" i="78"/>
  <c r="AA95" i="78"/>
  <c r="AB95" i="78"/>
  <c r="AC95" i="78"/>
  <c r="AD95" i="78"/>
  <c r="AE95" i="78"/>
  <c r="AF95" i="78"/>
  <c r="AG95" i="78"/>
  <c r="AH95" i="78"/>
  <c r="AI95" i="78"/>
  <c r="AJ95" i="78"/>
  <c r="AK95" i="78"/>
  <c r="AL95" i="78"/>
  <c r="AM95" i="78"/>
  <c r="AN95" i="78"/>
  <c r="AO95" i="78"/>
  <c r="AP95" i="78"/>
  <c r="AQ95" i="78"/>
  <c r="AR95" i="78"/>
  <c r="AS95" i="78"/>
  <c r="AT95" i="78"/>
  <c r="AU95" i="78"/>
  <c r="AV95" i="78"/>
  <c r="AW95" i="78"/>
  <c r="AX95" i="78"/>
  <c r="AY95" i="78"/>
  <c r="AZ95" i="78"/>
  <c r="BA95" i="78"/>
  <c r="BB95" i="78"/>
  <c r="BC95" i="78"/>
  <c r="BD95" i="78"/>
  <c r="BE95" i="78"/>
  <c r="BF95" i="78"/>
  <c r="BG95" i="78"/>
  <c r="BH95" i="78"/>
  <c r="BI95" i="78"/>
  <c r="BJ95" i="78"/>
  <c r="BK95" i="78"/>
  <c r="BL95" i="78"/>
  <c r="BM95" i="78"/>
  <c r="BN95" i="78"/>
  <c r="BO95" i="78"/>
  <c r="BP95" i="78"/>
  <c r="BQ95" i="78"/>
  <c r="BR95" i="78"/>
  <c r="BS95" i="78"/>
  <c r="BT95" i="78"/>
  <c r="BU95" i="78"/>
  <c r="BV95" i="78"/>
  <c r="BW95" i="78"/>
  <c r="BX95" i="78"/>
  <c r="BY95" i="78"/>
  <c r="BZ95" i="78"/>
  <c r="CA95" i="78"/>
  <c r="CB95" i="78"/>
  <c r="CC95" i="78"/>
  <c r="CD95" i="78"/>
  <c r="CE95" i="78"/>
  <c r="CF95" i="78"/>
  <c r="CG95" i="78"/>
  <c r="CH95" i="78"/>
  <c r="CI95" i="78"/>
  <c r="CJ95" i="78"/>
  <c r="CK95" i="78"/>
  <c r="CL95" i="78"/>
  <c r="CM95" i="78"/>
  <c r="B10" i="87"/>
  <c r="I100" i="1"/>
  <c r="I99" i="1"/>
  <c r="I98" i="1"/>
  <c r="I97" i="1"/>
  <c r="I96" i="1"/>
  <c r="I95" i="1"/>
  <c r="I94" i="1"/>
  <c r="I93" i="1"/>
  <c r="I92" i="1"/>
  <c r="I91" i="1"/>
  <c r="I90" i="1"/>
  <c r="I89" i="1"/>
  <c r="I88" i="1"/>
  <c r="I87" i="1"/>
  <c r="I85" i="1"/>
  <c r="I84" i="1"/>
  <c r="I83"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I37" i="1"/>
  <c r="I36" i="1"/>
  <c r="I35" i="1"/>
  <c r="I34" i="1"/>
  <c r="I32" i="1"/>
  <c r="I31" i="1"/>
  <c r="I30" i="1"/>
  <c r="I29" i="1"/>
  <c r="I28" i="1"/>
  <c r="I27" i="1"/>
  <c r="I26" i="1"/>
  <c r="I25" i="1"/>
  <c r="I24" i="1"/>
  <c r="I23" i="1"/>
  <c r="I22" i="1"/>
  <c r="I21" i="1"/>
  <c r="I20" i="1"/>
  <c r="I19" i="1"/>
  <c r="I18" i="1"/>
  <c r="I17" i="1"/>
  <c r="I16" i="1"/>
  <c r="I14" i="1"/>
  <c r="I13" i="1"/>
  <c r="I12" i="1"/>
  <c r="I11" i="1"/>
  <c r="I10" i="1"/>
  <c r="I9" i="1"/>
  <c r="I8" i="1"/>
  <c r="I7" i="1"/>
  <c r="I6" i="1"/>
  <c r="I5" i="1"/>
  <c r="I4" i="1"/>
  <c r="I3" i="1"/>
  <c r="I2" i="1"/>
  <c r="X6" i="75"/>
  <c r="B8" i="75"/>
  <c r="G2" i="75" l="1"/>
</calcChain>
</file>

<file path=xl/sharedStrings.xml><?xml version="1.0" encoding="utf-8"?>
<sst xmlns="http://schemas.openxmlformats.org/spreadsheetml/2006/main" count="2898" uniqueCount="499">
  <si>
    <t>Group</t>
  </si>
  <si>
    <t>PB</t>
  </si>
  <si>
    <t>QB</t>
  </si>
  <si>
    <t>BioAcc</t>
  </si>
  <si>
    <t>Unassim</t>
  </si>
  <si>
    <t>DetInput</t>
  </si>
  <si>
    <t>Type</t>
  </si>
  <si>
    <t>Num</t>
  </si>
  <si>
    <t>Number of living</t>
  </si>
  <si>
    <t>Number of detritus</t>
  </si>
  <si>
    <t>Number of gear</t>
  </si>
  <si>
    <t>TOTAL</t>
  </si>
  <si>
    <t xml:space="preserve">  </t>
  </si>
  <si>
    <t>TL</t>
  </si>
  <si>
    <t>Biomass</t>
  </si>
  <si>
    <t>EE</t>
  </si>
  <si>
    <t>Mortalities</t>
  </si>
  <si>
    <t>M0</t>
  </si>
  <si>
    <t>B</t>
  </si>
  <si>
    <t>MAIN INPUTS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</si>
  <si>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</si>
  <si>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</si>
  <si>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</si>
  <si>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</si>
  <si>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</si>
  <si>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</si>
  <si>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</si>
  <si>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</si>
  <si>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</si>
  <si>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</si>
  <si>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</si>
  <si>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</si>
  <si>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</si>
  <si>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</si>
  <si>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</si>
  <si>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</si>
  <si>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</si>
  <si>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</si>
  <si>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</si>
  <si>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</si>
  <si>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</si>
  <si>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</si>
  <si>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</si>
  <si>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</si>
  <si>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</si>
  <si>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</si>
  <si>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</si>
  <si>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</si>
  <si>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</si>
  <si>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</si>
  <si>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</si>
  <si>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</si>
  <si>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</si>
  <si>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</si>
  <si>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</si>
  <si>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</si>
  <si>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</si>
  <si>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</si>
  <si>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</si>
  <si>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</si>
  <si>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</si>
  <si>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sum</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</si>
  <si>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</si>
  <si>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</si>
  <si>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</si>
  <si>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</si>
  <si>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</si>
  <si>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</si>
  <si>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</si>
  <si>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</si>
  <si>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</si>
  <si>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</si>
  <si>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</si>
  <si>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</si>
  <si>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</si>
  <si>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</si>
  <si>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</si>
  <si>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</si>
  <si>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</si>
  <si>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</si>
  <si>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</si>
  <si>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</si>
  <si>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</si>
  <si>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</si>
  <si>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</si>
  <si>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</si>
  <si>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</si>
  <si>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</si>
  <si>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</si>
  <si>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</si>
  <si>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</si>
  <si>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</si>
  <si>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</si>
  <si>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</si>
  <si>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</si>
  <si>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</si>
  <si>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</si>
  <si>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</si>
  <si>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</si>
  <si>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</si>
  <si>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</si>
  <si>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</si>
  <si>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</si>
  <si>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</si>
  <si>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</si>
  <si>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</si>
  <si>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</si>
  <si>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</si>
  <si>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</si>
  <si>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</si>
  <si>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</si>
  <si>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</si>
  <si>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</si>
  <si>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</si>
  <si>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</si>
  <si>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</si>
  <si>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</si>
  <si>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</si>
  <si>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</si>
  <si>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</si>
  <si>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</si>
  <si>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</si>
  <si>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</si>
  <si>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</si>
  <si>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</si>
  <si>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</si>
  <si>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</si>
  <si>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</si>
  <si>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</si>
  <si>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</si>
  <si>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</si>
  <si>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</si>
  <si>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</si>
  <si>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</si>
  <si>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</si>
  <si>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</si>
  <si>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</si>
  <si>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</si>
  <si>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</si>
  <si>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</si>
  <si>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</si>
  <si>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</si>
  <si>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</si>
  <si>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</si>
  <si>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</si>
  <si>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</si>
  <si>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</si>
  <si>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</si>
  <si>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</si>
  <si>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</si>
  <si>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</si>
  <si>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</si>
  <si>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</si>
  <si>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use AggregationCode numbers</t>
  </si>
  <si>
    <t>&lt;-- don't make more prey guilds than this</t>
  </si>
  <si>
    <t>6) on EcotranRecycling page, fishery discards are assigned as "DetritusFate_feces"</t>
  </si>
  <si>
    <t>export</t>
  </si>
  <si>
    <t>&lt;-NOTE: every model must have a terminal pelagic &amp; benthic detritus group</t>
  </si>
  <si>
    <t>NOTE: "ExcretionFate" of detritus groups is really used to define the fate of excretion by bacteria that metabolise detritus</t>
  </si>
  <si>
    <t>RetentionScaler</t>
  </si>
  <si>
    <t>( 0 = more advection &lt;--&gt; less advection =1)</t>
  </si>
  <si>
    <t>Functional Response</t>
  </si>
  <si>
    <t>A</t>
  </si>
  <si>
    <t>C</t>
  </si>
  <si>
    <t>D</t>
  </si>
  <si>
    <t>NOTE: "EL"; linear = 0; non-linear =1</t>
  </si>
  <si>
    <t>&lt;--based on fraction of total primary production</t>
  </si>
  <si>
    <t>P</t>
  </si>
  <si>
    <t>total--&gt;</t>
  </si>
  <si>
    <t>revision date: 5-1-2016</t>
  </si>
  <si>
    <t>7) allows up to 10 primary producers</t>
  </si>
  <si>
    <t>&lt;-NOTE: fleets FOLLOW terminal detritus groups</t>
  </si>
  <si>
    <t>DEFUNCT IN REVISED CODE; DO NOT USE PREY GUILDS</t>
  </si>
  <si>
    <t>NOTE: this distributes the terminal pelagic &amp; terminal benthic detritus; it overrides the entries in the EwE fates tab AFTER removing the non-terminal detritus fates</t>
  </si>
  <si>
    <t>NOTE: fleet discards are defined as "feces"</t>
  </si>
  <si>
    <t>micrograzers</t>
  </si>
  <si>
    <t>bacteria</t>
  </si>
  <si>
    <t>P1: large phytoplankton</t>
  </si>
  <si>
    <t>P2: small phytoplankton</t>
  </si>
  <si>
    <t>MZ: micro-zooplankton</t>
  </si>
  <si>
    <t>Z1ai: copepods (large &gt;= 0.025mg C)</t>
  </si>
  <si>
    <t>Z1aii: copepods (small &lt; 0.025mg C)</t>
  </si>
  <si>
    <t>Z1b: small invertebrate larvae</t>
  </si>
  <si>
    <t>Z1d: pteropods</t>
  </si>
  <si>
    <t>Z2a: pelagic amphipods</t>
  </si>
  <si>
    <t>Z2b: pelagic shrimp (Sergestidae Panaeidae)</t>
  </si>
  <si>
    <t>Z2c: other macro-zooplankton</t>
  </si>
  <si>
    <t>Z2g: small jellyfish (net-feeders)</t>
  </si>
  <si>
    <t>Z2e: small jellyfish (carnivores)</t>
  </si>
  <si>
    <t>Z2f: large jellyfish</t>
  </si>
  <si>
    <t>Z3a: E. pacifica (adult &amp; juveniles)</t>
  </si>
  <si>
    <t>Z3b: T. spinifera (adult &amp; juveniles)</t>
  </si>
  <si>
    <t>Ca: small cephalopod aggregate</t>
  </si>
  <si>
    <t>Cb: cephalopod humboldt</t>
  </si>
  <si>
    <t>PlnkF1a: smelt aggregate</t>
  </si>
  <si>
    <t>PlnkF1b: shad</t>
  </si>
  <si>
    <t>PlnkF1c: sardine</t>
  </si>
  <si>
    <t>PlnkF1d: herring</t>
  </si>
  <si>
    <t>PlnkF1e: anchovy</t>
  </si>
  <si>
    <t>PlnkF1f: saury</t>
  </si>
  <si>
    <t>PlnkF2c: other juvenile salmon</t>
  </si>
  <si>
    <t>PlnkF3: mesopelagic fish aggregate</t>
  </si>
  <si>
    <t>PlnkF4: planktivorous rockfish</t>
  </si>
  <si>
    <t>PiscF1a: coho</t>
  </si>
  <si>
    <t>PiscF1b: Chinook</t>
  </si>
  <si>
    <t>PiscF1c: other salmon aggregate</t>
  </si>
  <si>
    <t>PiscF2: shark aggregate</t>
  </si>
  <si>
    <t>PiscF3a: jack mackerel</t>
  </si>
  <si>
    <t>PiscF3b: Pacific mackerel</t>
  </si>
  <si>
    <t>PiscF4: piscivorous rockfish</t>
  </si>
  <si>
    <t>PiscF5: dogfish aggregate</t>
  </si>
  <si>
    <t>PiscF6: hake</t>
  </si>
  <si>
    <t>PiscF10: tuna aggregate</t>
  </si>
  <si>
    <t>PiscF7: sablefish</t>
  </si>
  <si>
    <t>PiscF8: Hexagrammidae (lingcod greenling)</t>
  </si>
  <si>
    <t>PiscF9: flatfish (water-column feeders)</t>
  </si>
  <si>
    <t>BnthF1: skates &amp; rays</t>
  </si>
  <si>
    <t>BnthF2: misc. small benthic fishes</t>
  </si>
  <si>
    <t>BnthF3: benthivorous rockfish</t>
  </si>
  <si>
    <t>BnthF4: Gadidae (cod haddock pollock)</t>
  </si>
  <si>
    <t>BnthF5: flatfish (benthic feeders)</t>
  </si>
  <si>
    <t>BnthF6: flatfish (small)</t>
  </si>
  <si>
    <t>BnthF7: grenadier</t>
  </si>
  <si>
    <t>JuvF1: juvenile rockfish</t>
  </si>
  <si>
    <t>JuvF2: juvenile fish (other)</t>
  </si>
  <si>
    <t>JuvF3: juvenile fish (chondrichthys)</t>
  </si>
  <si>
    <t>DepB1: infauna</t>
  </si>
  <si>
    <t>DepB2a: Pandalus spp.</t>
  </si>
  <si>
    <t>DepB2b: other epibenthic shrimp (Caridea)</t>
  </si>
  <si>
    <t>DepB3: mysids</t>
  </si>
  <si>
    <t>DepB4: echinoderms</t>
  </si>
  <si>
    <t>DepB5: benthic amphipods isopods and cumaceans</t>
  </si>
  <si>
    <t>SspB2: bivalves</t>
  </si>
  <si>
    <t>SspB3: misc. epifauna (suspension feeders)</t>
  </si>
  <si>
    <t>CrnB1: Dungeness crab</t>
  </si>
  <si>
    <t>CrnB2: Tanner crab</t>
  </si>
  <si>
    <t>CrnB3: misc. epifauna (carnivorous)</t>
  </si>
  <si>
    <t>SB1: sooty shearwaters</t>
  </si>
  <si>
    <t>SB2: common murre</t>
  </si>
  <si>
    <t>SB3: gulls &amp; terns</t>
  </si>
  <si>
    <t>SB4: alcids</t>
  </si>
  <si>
    <t>SB5: large pelagic seabirds</t>
  </si>
  <si>
    <t>SB6: other pelagic seabirds</t>
  </si>
  <si>
    <t>SB7: coastal seabirds (divers)</t>
  </si>
  <si>
    <t>SB8: storm-petrels</t>
  </si>
  <si>
    <t>PlnkMM1: gray whales</t>
  </si>
  <si>
    <t>PlnkMM2: baleen whales</t>
  </si>
  <si>
    <t>PiscMM1: small pinnipeds</t>
  </si>
  <si>
    <t>PiscMM3: small toothed whales</t>
  </si>
  <si>
    <t>PiscMM4: large toothed whales</t>
  </si>
  <si>
    <t>Z1c: invertebrate eggs</t>
  </si>
  <si>
    <t>Z2d: fish eggs</t>
  </si>
  <si>
    <t>D1: pelagic detritus</t>
  </si>
  <si>
    <t>D2: fishery offal</t>
  </si>
  <si>
    <t>D3: benthic detritus</t>
  </si>
  <si>
    <t>FshryA1: longline</t>
  </si>
  <si>
    <t>FshryA2: troll gear</t>
  </si>
  <si>
    <t>FshryA3: bottomfish troll gear</t>
  </si>
  <si>
    <t>FshryA4: hook &amp; line (except troll)</t>
  </si>
  <si>
    <t>FshryA4b: offshore hook &amp; line (except troll)</t>
  </si>
  <si>
    <t>FshryB1: trawls (except shrimp trawls)</t>
  </si>
  <si>
    <t>FshryB2: shrimp trawls</t>
  </si>
  <si>
    <t>FshryC1: pelagic net gear (except trawls)</t>
  </si>
  <si>
    <t>FshryC2: mid-water trawls</t>
  </si>
  <si>
    <t>FshryR1: recreational fishery</t>
  </si>
  <si>
    <t>PlnkF2a: coho yearling</t>
  </si>
  <si>
    <t>Import</t>
  </si>
  <si>
    <t>NOTE: listed as "BnthF: benthivorous fishes" in query results</t>
  </si>
  <si>
    <t>&lt;-NOTE: ba &amp; em at very end (not accessed by current code)</t>
  </si>
  <si>
    <t>NOTE: PreyGuilds are NOT necessary</t>
  </si>
  <si>
    <t>F FshryR1: recreational fishery</t>
  </si>
  <si>
    <t>primary production fractions</t>
  </si>
  <si>
    <t>&lt;&lt;--place-holder assumption</t>
  </si>
  <si>
    <t>Z2g: pyrosomes</t>
  </si>
  <si>
    <t>PlnkF2bi: Chinook yearling Sp</t>
  </si>
  <si>
    <t>PlnkF2bii: Chinook yearling Fa</t>
  </si>
  <si>
    <t>PlnkF2biii: Chinook subyearling Fa early</t>
  </si>
  <si>
    <t>PlnkF2biv: Chinook subyearling Fa late</t>
  </si>
  <si>
    <t>PlnkF2bv: other Chinook yearling</t>
  </si>
  <si>
    <t>PlnkF2bvi: other Chinook subyearling</t>
  </si>
  <si>
    <t>PiscMM2a: sea lions</t>
  </si>
  <si>
    <t>PiscMM2b: N elephant seals</t>
  </si>
  <si>
    <t>PiscMM5a: other killer whales</t>
  </si>
  <si>
    <t>PiscMM5b: Southern resident killer whales</t>
  </si>
  <si>
    <t>import</t>
  </si>
  <si>
    <t>which number to drop?</t>
  </si>
  <si>
    <t>juvenile salmon breakout found within EcoTranGroup_WeightBreakdown.R and EcoTranBiomassBreakout.csv</t>
  </si>
  <si>
    <t>Used biomass numbers from Ruzicka et al. 2012</t>
  </si>
  <si>
    <t>balancing act notes:</t>
  </si>
  <si>
    <t>date</t>
  </si>
  <si>
    <t>SCALER</t>
  </si>
  <si>
    <t>NOTES</t>
  </si>
  <si>
    <t>use ee</t>
  </si>
  <si>
    <t>Ruzicka et al 2012 scaled by 0.21 for equivalent water content to crustacean zooplankton</t>
  </si>
  <si>
    <t>biomass data source</t>
  </si>
  <si>
    <t>year coverage pooled</t>
  </si>
  <si>
    <t>unscaled Biomass (t/km2)</t>
  </si>
  <si>
    <t>Number(repeated)</t>
  </si>
  <si>
    <t>Group(Repeated)</t>
  </si>
  <si>
    <t>Gelatinous plankton (sm jellies/pyrosomes)</t>
  </si>
  <si>
    <t>Large pelagic jellyfish</t>
  </si>
  <si>
    <t>Scaling Strategy</t>
  </si>
  <si>
    <t>Gelatinous plankton (sm jellies)</t>
  </si>
  <si>
    <t>Pyrosomes</t>
  </si>
  <si>
    <t>Feb-Mar</t>
  </si>
  <si>
    <t>May</t>
  </si>
  <si>
    <t>Sep</t>
  </si>
  <si>
    <t>Time</t>
  </si>
  <si>
    <t>Density</t>
  </si>
  <si>
    <t>Length</t>
  </si>
  <si>
    <t>Estimated Weight/Individual</t>
  </si>
  <si>
    <t>Estimated biomass density (density x weight)</t>
  </si>
  <si>
    <t xml:space="preserve"> </t>
  </si>
  <si>
    <t>Factor=AVG/May(data source is from May)</t>
  </si>
  <si>
    <t>Month</t>
  </si>
  <si>
    <t>BiomassDensity</t>
  </si>
  <si>
    <t>Notes</t>
  </si>
  <si>
    <t>Jan</t>
  </si>
  <si>
    <t>Average between Dec and Feb</t>
  </si>
  <si>
    <t>Feb</t>
  </si>
  <si>
    <t>Calculated above</t>
  </si>
  <si>
    <t>March</t>
  </si>
  <si>
    <t>April</t>
  </si>
  <si>
    <t>Assume linear decline to Sept</t>
  </si>
  <si>
    <t>June</t>
  </si>
  <si>
    <t>July</t>
  </si>
  <si>
    <t>Aug</t>
  </si>
  <si>
    <t>Sept</t>
  </si>
  <si>
    <t>Oct</t>
  </si>
  <si>
    <t>Assume low winter values</t>
  </si>
  <si>
    <t>Nov</t>
  </si>
  <si>
    <t>Dec</t>
  </si>
  <si>
    <t>Year AVG</t>
  </si>
  <si>
    <t>Scale factor</t>
  </si>
  <si>
    <t>DIETS</t>
  </si>
  <si>
    <t>0.0000983 (NOT USED)</t>
  </si>
  <si>
    <t>JSOES_Zooplankton</t>
  </si>
  <si>
    <t>2014 - 2021</t>
  </si>
  <si>
    <t>JSOES_Zooplankton; NH_Line</t>
  </si>
  <si>
    <t>JSOES_Zooplankton; PreRecruit</t>
  </si>
  <si>
    <t>PreRecruit</t>
  </si>
  <si>
    <t>PreRecruit_Pyrosomes</t>
  </si>
  <si>
    <t>Groundfish; JSOES</t>
  </si>
  <si>
    <t>JSOES</t>
  </si>
  <si>
    <t>CPS</t>
  </si>
  <si>
    <t>Groundfish</t>
  </si>
  <si>
    <t>Stock Assessments</t>
  </si>
  <si>
    <t>JSOES Seabirds</t>
  </si>
  <si>
    <t>2014 - 2021; 2014 - 2020</t>
  </si>
  <si>
    <t>2014 - 2021; 2014 - 2019</t>
  </si>
  <si>
    <t>2014 - 2019</t>
  </si>
  <si>
    <t>2014 - 2019; 2014 - 2021</t>
  </si>
  <si>
    <t>JSOES; PreRecruit</t>
  </si>
  <si>
    <t>2015 - 2019</t>
  </si>
  <si>
    <t>2014 - 2019 (broke biomass densities into 6 groups based on 1998 - 2019 data)</t>
  </si>
  <si>
    <t>PB/QB</t>
  </si>
  <si>
    <t>0.000295354 (NOT USED)</t>
  </si>
  <si>
    <t>2017 - 2018</t>
  </si>
  <si>
    <t>Physiology notes</t>
  </si>
  <si>
    <t>P/B values were derived as the mean April–September ratio of production rates and biomasses mean across years 1998–2007. The production rates used were the Eppley version of the Vertically Generalized Production Model (M. Behrenfeld; Oregon State University) (http://www.science.oregonstate.edu/ocean.productiv- ity/standard.product.php). (Ruzicka et al. 2012)</t>
  </si>
  <si>
    <r>
      <t xml:space="preserve">(Ruzicka et al. 2016); </t>
    </r>
    <r>
      <rPr>
        <sz val="10"/>
        <color rgb="FFFF0000"/>
        <rFont val="Arial"/>
        <family val="2"/>
      </rPr>
      <t>original source??</t>
    </r>
  </si>
  <si>
    <t>P/B values for meso- and macro-zooplankton were estimated from Hirst et al. (2003); adjusted for mean functional group size and a temperature of 10 °C by assuming Q10 = 2. P/Q was assumed as 0.25 (0.1–0.4 for zooplankton; Parsons et al.; 1984). (Ruzicka et al. 2012) &amp; (Ruzicka et al. 2016)</t>
  </si>
  <si>
    <t>P/B values for meso- and macro-zooplankton were estimated from Hirst et al. (2003) and adjusted for mean functional group size and a temperature of 10 °C by assuming Q10 = 2. P/Q was assumed as 0.25 (0.1–0.4 for zooplankton; Parsons et al. 1984). (Ruzicka et al. 2012) &amp; (Ruzicka et al. 2016)</t>
  </si>
  <si>
    <t>P/B values for meso- and macro-zooplankton were estimated from Hirst et al. (2003) and adjusted for mean functional group size and a temperature of 10 °C by assuming Q10 = 2. P/Q was assumed as 0.25 (0.1–0.4 for zooplankton; Parsons et al. 1984). (Ruzicka et al. 2012); pteropod p/q = 0.3 in (Ruzicka et al. 2016)</t>
  </si>
  <si>
    <t>P/B values for small jellies were estimated from Hirst et al. (2003). P/B for large jellyfish was estimated as described in Ruzicka et al. (2007). P/Q for all small jellies and large jellyfish were assumed as 0.25 (Parsons et al. 1984).(Ruzicka et al. 2012); pq = 0.3 in (Ruzicka et al. 2016)</t>
  </si>
  <si>
    <t>P/B values for small jellies were estimated from Hirst et al. (2003). P/B for large jellyfish was estimated as described in Ruzicka et al. (2007). P/Q for all small jellies and large jellyfish were assumed as 0.25 (Parsons et al. 1984).(Ruzicka et al. 2012)</t>
  </si>
  <si>
    <t>P/B values were from Tanasichuk (1998a &amp; 1998b). P/Q was assumed as 0.25 (Parsons et al. 1984).</t>
  </si>
  <si>
    <t>P/B was borrowed from Aydin et al.’s (2007) Gulf of Alaska model. P/Q was assumed as 0.3 in Ruzicka et al. 2015. But pq = 0.25 in Ruzicka et al. 2016</t>
  </si>
  <si>
    <r>
      <t xml:space="preserve">assume same pq as small squid; </t>
    </r>
    <r>
      <rPr>
        <sz val="10"/>
        <color rgb="FFFF0000"/>
        <rFont val="Arial"/>
        <family val="2"/>
      </rPr>
      <t>original source for pb?? Just assumed pb lower than for small squid??</t>
    </r>
  </si>
  <si>
    <t>P/B was borrowed from Pauly and Christensen’s (1996) Straight of Georgia Model ‘‘small pelagics’’. P/Q was assumed as 0.25 as in other eastern Pacific coast models (P/Q = 0.2–0.3; Field 2004; Guénette 2005; Preikshot 2005; Aydin et al. 2007). (Ruzicka et al. 2012) &amp; (Ruzicka et al. 2016); NOTE: two pb values are used to represent small &amp; large forage fishes</t>
  </si>
  <si>
    <t>P/B was borrowed from Pauly and Christensen’s (1996) Straight of Georgia Model ‘‘small pelagics’’. P/Q was assumed as 0.25 as in other eastern Pacific coast models (P/Q = 0.2–0.3; Field 2004; Guénette 2005; Preikshot 2005; Aydin et al. 2007). (Ruzicka et al. 2012) &amp; (Ruzicka et al. 2016); NOTE: two pb values are used to represent small &amp; large forage fishes; pb for mesopelagics slightly lower than small forage fish to account for lower temp environment??</t>
  </si>
  <si>
    <t>P/B values were taken from literature sources representing a combination of experimentally measured rates and mortality rates provided in stock assessments: salmon (Rand and Stewart; 1998).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</si>
  <si>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sharks (PFMC; 2003).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</si>
  <si>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jack mackerel (MacCall and Stauffer; 1983).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</si>
  <si>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Pacific mackerel (Parrish and MacCall; 1978; Hill and Crone; 2005).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</si>
  <si>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piscivorous rockfish stock assessments for yellowtail rockfish (Wallace and Lai; 2005); canary rockfish (Stewart; 2007a); chilipepper rock- fish (Field; 2007); bocaccio (MacCall; 2008); yelloweye rockfish (Wallace et al.; 2006); and black rockfish (Sampson; 2008; Wallace et al.; 2008).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</si>
  <si>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dogfish (Field; 2004).  (Ruzicka et al. 2016); What is source for dogfish q/b?</t>
  </si>
  <si>
    <t>P/B values were taken from literature sources representing a combination of experimentally measured rates and mortality rates provided in stock assessments: hake (Helser et al.; 2009).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</si>
  <si>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sablefish (Schirippa; 2008).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</si>
  <si>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Hexagrammidae (Cope and MacCall; 2005; Jagielo and Wallace; 2005);. P/Q values were held within a conservatively narrow range (0.1–0.2) and were taken from literature estimates for individual groups or were assumed identical to similarly-sized groups. (Ruzicka et al. 2016)</t>
  </si>
  <si>
    <t>P/B values were taken from literature sources representing a combination of experimentally measured rates and mortality rates provided in stock assessments: piscivorous flatfish (Lai et al.; 2006; Kaplan and Helser; 2007; Clark and Hare; 2009). P/Q values were held within a conservatively narrow range (0.1–0.2) and were taken from literature estimates for individual groups or were assumed identical to similarly-sized groups. (Ruzicka et al. 2016)</t>
  </si>
  <si>
    <t>P/B values for individual groups were taken from mortality rates provided in stock the assessments and from other coastal north-east Pacific food web models. P/Q values for all groups were held within a conservatively narrow range (0.1–0.2). (Ruzicka et al. 2012) &amp; (Ruzicka et al. 2016)</t>
  </si>
  <si>
    <r>
      <t xml:space="preserve">P/B values for individual groups were taken from mortality rates provided in stock the assessments and from other coastal north-east Pacific food web models.  </t>
    </r>
    <r>
      <rPr>
        <sz val="10"/>
        <color rgb="FFFF0000"/>
        <rFont val="Arial"/>
        <family val="2"/>
      </rPr>
      <t>Q/B comes from ???</t>
    </r>
    <r>
      <rPr>
        <sz val="10"/>
        <rFont val="Arial"/>
        <family val="2"/>
      </rPr>
      <t>; (Ruzicka et al. 2012) &amp; (Ruzicka et al. 2016)</t>
    </r>
  </si>
  <si>
    <t>P/B was borrowed from Pauly and Christensen’s (1996) Straight of Georgia Model ‘‘small pelagics’’. P/Q was assumed as 0.25. (Ruzicka et al. 2012) &amp; (Ruzicka et al. 2016)</t>
  </si>
  <si>
    <t>P/B &amp; P/Q source???</t>
  </si>
  <si>
    <t>P/B and Q/B values were borrowed from Aydin et al.’s (2007) Gulf of Alaska model and these were based upon estimated mortality rates (Furness and Monaghan 1987; Schreiber and Burger 2002) and daily energy requirements (Hunt Jr. et al. 2000). (Ruzicka et al. 2012) &amp; (Ruzicka et al. 2016)</t>
  </si>
  <si>
    <t>P/B and Q/B values were borrowed from Field’s Northern California Current model (Field 2004). (Ruzicka et al. 2012) &amp; (Ruzicka et al. 2016)</t>
  </si>
  <si>
    <t>P/B and Q/B values were borrowed from Field’s Northern California Current model (Field 2004). (Ruzicka et al. 2012) &amp; (Ruzicka et al. 2016); Killer whales split into 2 groups in Dylan Gomes post-heat wave model</t>
  </si>
  <si>
    <t>JSOES MESOzooplankton</t>
  </si>
  <si>
    <t>JSOES MACROzooplankton</t>
  </si>
  <si>
    <t>hake acoustic survey</t>
  </si>
  <si>
    <t>acoustic-trawl surveys are high data quality - not scaled here; assessed our data against stock assessments and they are in high agreement</t>
  </si>
  <si>
    <t>phytoplankton</t>
  </si>
  <si>
    <t>BIOMASS SCALING STRATEGY TABLE</t>
  </si>
  <si>
    <t>pre-recruit survey</t>
  </si>
  <si>
    <t>NOAA bottom trawl survey (small bottom-dwellers)</t>
  </si>
  <si>
    <t>Small bottom-dwellers were scaled up to account for individuals escaping beneath the bottom-trawl. (Ruzicka et al. 2016)</t>
  </si>
  <si>
    <t>For NOAA bottom-trawl surveys we adopted a working assumption that semi-pelagic species and flatfish species should be scaled up to account for individuals swimming within the water-column above the bottom-trawl or individuals escaping beneath the bottom-trawl.</t>
  </si>
  <si>
    <t>stock assessment</t>
  </si>
  <si>
    <t>For assessment-derived estimates sampling efficiency was defined as 1 (Ruzicka et al. 2012)</t>
  </si>
  <si>
    <t>On 2/25/2022: PiscF9: flatfish (water-column feeders) and PiscMM3: small toothed whales were eating too much Humboldt squid. Jim reduced to 10% of original values and re-allocated to market squid.</t>
  </si>
  <si>
    <t>Incorporated some changes from Jim Ruzicka's mass-balance attempts (see details below)</t>
  </si>
  <si>
    <t>JSOES survey</t>
  </si>
  <si>
    <t>JSOES survey; juvenile salmonids</t>
  </si>
  <si>
    <t>JSOES seabirds (oceanic non-local nesters)</t>
  </si>
  <si>
    <t>BPA survey-based abundance estimates were adjusted to account for birds ashore -- in rookeries or on nests -- birds foraging near the coastline inshore of survey efforts -- and the efficiency of survey technique. Appropriate scaling factors for individual functional groups were determined by comparing the BPA survey abundance estimates to breeding colony censuses (Speich and Wahl 1989; Naughton et al. 2007) and the 1989/1990 synoptic survey of seabirds and mammals within the NCC (Briggs et al. 1992). Most species that do not nest locally have marine distributions and do not concentrate foraging along the coastline. These groups (shearwaters -- albatross -- jaegers -- fulmars -- phalaropes) were not obviously underestimated by the BPA survey and no scaling factor was applied to these groups.</t>
  </si>
  <si>
    <t>JSOES seabirds (local nesters group 1)</t>
  </si>
  <si>
    <t>BPA survey-based abundance estimates were adjusted to account for birds ashore in rookeries or on nests -- birds foraging near the coastline inshore of survey efforts -- and the efficiency of survey technique. Appropriate scaling factors for individual functional groups were determined by comparing the BPA survey abundance estimates to breeding colony censuses (Speich and Wahl 1989; Naughton et al. 2007) and the 1989/1990 synoptic survey of seabirds and mammals within the NCC (Briggs et al. 1992). Some locally nesting groups (common murres -- gulls and terns -- murrelets) were not obviously underestimated by the BPA survey relative to breeding colony census estimates and no scaling factor was applied to these groups.</t>
  </si>
  <si>
    <t>JSOES seabirds (local nesters group 2)</t>
  </si>
  <si>
    <t>BPA survey-based abundance estimates were adjusted to account for birds ashore in rookeries or on nests -- birds foraging near the coastline inshore of survey efforts -- and the efficiency of survey technique. Appropriate scaling factors for individual functional groups were determined by comparing the BPA survey abundance estimates to breeding colony censuses (Speich and Wahl 1989; Naughton et al. 2007) and the 1989/1990 synoptic survey of seabirds and mammals within the NCC (Briggs et al. 1992). Other locally nesting groups (auklets -- pigeon guillemots -- puffins -- storm-petrels) were one-third to one-half that of breeding colony census estimates and were scaled by a factor of (X2) to account for seabirds inshore of the BPA survey effort or offshore of the survey effort in the case of storm-petrels.</t>
  </si>
  <si>
    <t>JSOES seabirds (divers)</t>
  </si>
  <si>
    <t>BPA survey-based abundance estimates were adjusted to account for birds ashore in rookeries or on nests --birds foraging near the coastline inshore of survey efforts -- and the efficiency of survey technique. Appropriate scaling factors for individual functional groups were determined by comparing the BPA survey abundance estimates to breeding colony censuses (Speich and Wahl 1989; Naughton et al. 2007) and the 1989/1990 synoptic survey of seabirds and mammals within the NCC (Briggs et al. 1992). Coastal diver (cormorants) abundance estimated by the BPA survey was about half that indicated from the breeding colony census. Cormorants are tightly associated with the coastline but forage both at sea and within bays -- estuaries -- lakes -- and rivers (Ainley and Boekelheide 1990; Marshall et al. 2003; Naughton et al. 2007). No scaling factor was applied to the BPA coastal diver estimate on the assumption that the fraction of the population inshore of the survey effort was approximately equal to the fraction of foraging done within bays -- estuaries --and freshwater.</t>
  </si>
  <si>
    <t>JSOES trawl adult salmon</t>
  </si>
  <si>
    <t>Adult salmon biomasses were estimated from the BPA daytime survey and scaled (X8) based upon a comparison between survey biomass estimates and the estimated coho terminal run sizes and ocean fishery take. (Ruzicka et al. 2012) &amp; (Ruzicka et al. 2016)</t>
  </si>
  <si>
    <t>JSOES trawl forage fish</t>
  </si>
  <si>
    <t>Ruzicka et al. 2012</t>
  </si>
  <si>
    <t>JSOES &amp; WCGBTS sharks</t>
  </si>
  <si>
    <t>Updated Phytoplankton biomass numbers by looking at new satellite data</t>
  </si>
  <si>
    <t>2014-2021; April - Sept</t>
  </si>
  <si>
    <t>NOAA bottom trawl survey (semi-pelagic or larger)</t>
  </si>
  <si>
    <t>0.137465569  (NOT USED)</t>
  </si>
  <si>
    <t>JSOES eggs</t>
  </si>
  <si>
    <t>Not well sampled. Assumed a scaler of 10X for small invert eggs</t>
  </si>
  <si>
    <t>JSOES / NH line fish eggs</t>
  </si>
  <si>
    <t>Not well sampled. Assumed a scaler of 5X for fish eggs</t>
  </si>
  <si>
    <t>JSOES invertebrate eggs</t>
  </si>
  <si>
    <t>Scaled by 2X to account for phytoplankton deeper in water than satellite images can detect</t>
  </si>
  <si>
    <t>krill - hake acoustic survey</t>
  </si>
  <si>
    <t>was required to scale down to get a balanced model</t>
  </si>
  <si>
    <t>no scaler</t>
  </si>
  <si>
    <t>Hake; PreRecruit for juveniles</t>
  </si>
  <si>
    <t>PreRecruit (no juvenile hake)</t>
  </si>
  <si>
    <t xml:space="preserve">pre-recruit juvenile fish </t>
  </si>
  <si>
    <t>Fishery1: dredge</t>
  </si>
  <si>
    <t>Fishery2: Hook &amp; line</t>
  </si>
  <si>
    <t>Fishery3: Other gear</t>
  </si>
  <si>
    <t>Fishery4: Net</t>
  </si>
  <si>
    <t>Fishery5: pot &amp; trap</t>
  </si>
  <si>
    <t>Fishery6: Trolling</t>
  </si>
  <si>
    <t>Fishery7: Trawl (non-shrimp)</t>
  </si>
  <si>
    <t>Fishery8: Shrimp trawls</t>
  </si>
  <si>
    <t>F Fishery1: dredge</t>
  </si>
  <si>
    <t>F Fishery2: Hook &amp; line</t>
  </si>
  <si>
    <t>F Fishery3: Other gear</t>
  </si>
  <si>
    <t>F Fishery4: Net</t>
  </si>
  <si>
    <t>F Fishery5: pot &amp; trap</t>
  </si>
  <si>
    <t>F Fishery6: Trolling</t>
  </si>
  <si>
    <t>F Fishery7: Trawl (non-shrimp)</t>
  </si>
  <si>
    <t>F Fishery8: Shrimp trawls</t>
  </si>
  <si>
    <t>2015 - 2019 (odd years) age 2+ individuals; 2014-2019 juveniles (age 0)</t>
  </si>
  <si>
    <t>hake acoustic survey; pre-recruit trawl for juveniles</t>
  </si>
  <si>
    <t>acoustic-trawl surveys are high data quality -but are age 2+ only. We scaled up to account for age 0-1 hake that aren't adequately captured in the PreRecruit survey</t>
  </si>
  <si>
    <t>CPS survey mackerel</t>
  </si>
  <si>
    <t>CPS survey forage fish</t>
  </si>
  <si>
    <t>Used biomass numbers from Ruzicka et al. 2012 + 5 mt to balance</t>
  </si>
  <si>
    <t>Other updates are tracked in file "TrackingEE.xlsx"</t>
  </si>
  <si>
    <t>&lt;&lt;--Rec assumed to be 0 for now (Jruz 5/9/2022)</t>
  </si>
  <si>
    <t>NCC2_05092022</t>
  </si>
  <si>
    <t>JRuz filled in balnk cells in Fishing &amp; Discards tabs</t>
  </si>
  <si>
    <t>JRuz filled in pedigree tabs</t>
  </si>
  <si>
    <t>JRuz updated EcotranType &amp; EcotranRecycling tabs</t>
  </si>
  <si>
    <t>JRuz updated FunctionalResponse tab</t>
  </si>
  <si>
    <t>fraction</t>
  </si>
  <si>
    <t>Assumed same PB  ProdCons  Unassim and DetInput as small jellyfish (net-feeders)</t>
  </si>
  <si>
    <t>No scaler applied in Ruzicka et al. (2016)  but much of our data here is from the NOAA bottom trawl survey  which was scaled by a factor of 2 above</t>
  </si>
  <si>
    <t>Estimated biomass was so low it was removed (group not sampled well)  estimated by model instead</t>
  </si>
  <si>
    <t>Underestimate  if anything  assumed 20% increase</t>
  </si>
  <si>
    <t>Estimated biomass was so low it was removed  estimated by model instead</t>
  </si>
  <si>
    <t>all PB  QB  EE  ProdCons  BioAcc  Unassim  DetInput values taken from Ruzicka et al 2012</t>
  </si>
  <si>
    <t>For small jellies  converted water content to copepod equivalents by multiplying by 0.21. That is zoop wet weight / jelly wet weight = 0.21.</t>
  </si>
  <si>
    <t>For large jellyfish (that's just the big scyphozoans)  convert water content to fish equivalents by multiplying by a factor of 0.13. That is fish wet weight / jelly wet weight = 0.13.</t>
  </si>
  <si>
    <t>These conversions come from a jelly DWT/WWT = 0.04  copepod DWT/WWT = 0.19  and fish DWT/WWT = 0.3. Conversions are from the excel file invert_LW_table_01-18-11.xls.</t>
  </si>
  <si>
    <t>Pyrosomes were scaled by (0.21 (small jellies conversion) x a seasonal scaling factor); [see notes in columns BB to BF  rows 2 to 26]</t>
  </si>
  <si>
    <t>Saury and Shad initial biomass densities (2022 updated model) were from the JSOES survey. JSOES researchers said not to use these numbers because they were not quantitative. We tried to use them to see how far off they might be  and indeed they were out of balance by a few orders of magnitude. Instead of scaling arbitrarily  I returned to biomass density estimates from Ruzicka et al. 2012.</t>
  </si>
  <si>
    <t>For epibenthic shrimp (Caridea)  the estimated biomass was so low from the survey (likely not pulled from bethos)  that it was removed  estimated by model instead</t>
  </si>
  <si>
    <t>Allowed smelt biomass to be estimated by model (EE = 0.85)  since biomass was so low (~ factor of 1800 too low); Jim's old model: 1.85  Estimated here as ~ 1.19; went back to using Jim's old value</t>
  </si>
  <si>
    <t>Allowed mesopelagic fish biomass to be estimated by model (EE = 0.85)  since biomass was so low; it makes sense that estimates were so low given the groundfish trawl isn't designed for mesopelagics; Jim's old model: 1  Estimated here ~ 0.84</t>
  </si>
  <si>
    <t>Following Gulf of Alaska model  increased scaler for zooplankton/copepods/etc. from 1 to 2</t>
  </si>
  <si>
    <t>Reduced Pyrosome starting biomass by re-calcluating vertical distribution following a new reference Lyle et al. 2022 (https://doi.org/10.1093/plankt/fbac006)  this brought pyrosome biomass density down to about 30% of what it was previously</t>
  </si>
  <si>
    <t>Re-calculated juvenile salmon biomass because all May and June catch were allocated to all fish (including those that were late-ocean entry). Re-distributed September survey fish separately from May and June  which gave each group more biomass to work with</t>
  </si>
  <si>
    <t>For shad  smelt  and saury  returned to using estimates from Ruzicka et al. 2012 and a consistent scaling factor for these fish</t>
  </si>
  <si>
    <t>On 2/25/2022: Jim realized that Z2g: small jellyfish (net-feeders) were consuming pelagic amphipods &amp; other macrozoop  and filter feeders shouldn't be eating these big zooplankton  so they were removed from diet and weight re-allocated to mesozooplankton guild</t>
  </si>
  <si>
    <t>On 2/25/2022: Jim reallocated diets of predators (see below for list) consuming small zooplankton based on production of each prey guild  since these prey are not easily identified and separated in diet analyses  and are mostly based on assumptions. Predators</t>
  </si>
  <si>
    <t>Added in some of Jim's scaling factors (need to add detail)/ un-did some groups that we have lots of diets for (some CPS  sharks  hexagrammids)… not sure if should un-do these (sablefish and dogfish left… but should be consistent… to think about)</t>
  </si>
  <si>
    <t>Pyrosome calculations. Density and Lengths from: O'Loughlin  J. H.  Bernard  K. S.  Daly  E. A.  Zeman  S.  Fisher  J. L.  Brodeur  R. D.  &amp; Hurst  T. P. (2020). Implications of Pyrosoma atlanticum range expansion on phytoplankton standing stocks in the Northern California Current. Progress in Oceanography  188  102424.</t>
  </si>
  <si>
    <t>0.446703021964304 x 0.21; See calculations to right for seasonal scaling factor (0.446703021964304)  0.21 is for gelatinous plankton from Ruzicka et al. 2012</t>
  </si>
  <si>
    <t>Ruzicka et al 2012 scaled wet weight biomass (WWT) by 0.13 so that a unit of large jellyfish biomass had approximately the same water content as that of fish: DWT:WWT of fish = 0.3 and DWT:WWT of large jellyfish = 0.04 (derived from tables in Shenker  1985).</t>
  </si>
  <si>
    <t>Used an existing assumed net efficiency correction factor (Ruzicka et al. 2012) and multipled by 2 again for increased estimates in CPS  hake and krill due to addition of improved surveys (Acoustic-trawl surveys)</t>
  </si>
  <si>
    <t>forage fish are low in current ecosystem  but many diets are collected from earlier periods. We adjusted diets to based on relative forage fish abundance and scaled up here</t>
  </si>
  <si>
    <t>&lt;-recreational fishery take numbers were assumed</t>
  </si>
  <si>
    <t>Total krill</t>
  </si>
  <si>
    <t>Prop</t>
  </si>
  <si>
    <t>Epac</t>
  </si>
  <si>
    <t>Tspin</t>
  </si>
  <si>
    <t>Species</t>
  </si>
  <si>
    <t>Breakout</t>
  </si>
  <si>
    <t>Robert O'Malley - Ocean Productivity Site; NH Line</t>
  </si>
  <si>
    <t>Hake; NH Line; PreRecruit</t>
  </si>
  <si>
    <t>2015 - 2019 (odd years); 2014-2016;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</si>
</sst>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0"/>
  </numFmts>
  <fonts count="24"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10"/>
      <name val="Arial"/>
      <family val="2"/>
    </font>
    <font>
      <b/>
      <sz val="11"/>
      <color rgb="FF000000"/>
      <name val="Calibri"/>
      <family val="2"/>
    </font>
    <font>
      <b/>
      <sz val="10"/>
      <name val="Verdana"/>
      <family val="2"/>
    </font>
    <font>
      <sz val="10"/>
      <color indexed="10"/>
      <name val="Verdana"/>
      <family val="2"/>
    </font>
    <font>
      <sz val="12"/>
      <name val="Verdana"/>
      <family val="2"/>
    </font>
    <font>
      <sz val="12"/>
      <name val="Arial"/>
      <family val="2"/>
    </font>
    <font>
      <sz val="12"/>
      <color rgb="FF222222"/>
      <name val="Arial"/>
      <family val="2"/>
    </font>
    <font>
      <sz val="10"/>
      <color rgb="FF000000"/>
      <name val="Arial"/>
      <family val="2"/>
    </font>
    <font>
      <sz val="10"/>
      <color indexed="8"/>
      <name val="Arial"/>
      <family val="2"/>
    </font>
    <font>
      <sz val="10"/>
      <color theme="1"/>
      <name val="Arial"/>
      <family val="2"/>
    </font>
    <font>
      <sz val="10"/>
      <color theme="0"/>
      <name val="Arial"/>
      <family val="2"/>
    </font>
    <font>
      <sz val="11"/>
      <color rgb="FF000000"/>
      <name val="Calibri"/>
      <family val="2"/>
    </font>
    <font>
      <b/>
      <sz val="11"/>
      <color rgb="FFFF0000"/>
      <name val="Calibri"/>
      <family val="2"/>
    </font>
  </fonts>
  <fills count="280">
    <fill>
      <patternFill patternType="none"/>
    </fill>
    <fill>
      <patternFill patternType="gray125"/>
    </fill>
    <fill>
      <patternFill patternType="solid">
        <fgColor indexed="53"/>
        <bgColor indexed="64"/>
      </patternFill>
    </fill>
    <fill>
      <patternFill patternType="solid">
        <fgColor indexed="22"/>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rgb="FF0FFF00"/>
        <bgColor indexed="64"/>
      </patternFill>
    </fill>
    <fill>
      <patternFill patternType="solid">
        <fgColor rgb="FF0CFF00"/>
        <bgColor indexed="64"/>
      </patternFill>
    </fill>
    <fill>
      <patternFill patternType="solid">
        <fgColor rgb="FF17FF00"/>
        <bgColor indexed="64"/>
      </patternFill>
    </fill>
    <fill>
      <patternFill patternType="solid">
        <fgColor rgb="FF11FF00"/>
        <bgColor indexed="64"/>
      </patternFill>
    </fill>
    <fill>
      <patternFill patternType="solid">
        <fgColor rgb="FF14FF00"/>
        <bgColor indexed="64"/>
      </patternFill>
    </fill>
    <fill>
      <patternFill patternType="solid">
        <fgColor theme="9"/>
        <bgColor indexed="64"/>
      </patternFill>
    </fill>
    <fill>
      <patternFill patternType="solid">
        <fgColor rgb="FFFFFF00"/>
        <bgColor indexed="64"/>
      </patternFill>
    </fill>
    <fill>
      <patternFill patternType="solid">
        <fgColor rgb="FF32FF0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0BFF00"/>
        <bgColor indexed="64"/>
      </patternFill>
    </fill>
    <fill>
      <patternFill patternType="solid">
        <fgColor rgb="FF60FF00"/>
        <bgColor indexed="64"/>
      </patternFill>
    </fill>
    <fill>
      <patternFill patternType="solid">
        <fgColor rgb="FF46FF00"/>
        <bgColor indexed="64"/>
      </patternFill>
    </fill>
    <fill>
      <patternFill patternType="solid">
        <fgColor rgb="FF30FF00"/>
        <bgColor indexed="64"/>
      </patternFill>
    </fill>
    <fill>
      <patternFill patternType="solid">
        <fgColor rgb="FF1FFF00"/>
        <bgColor indexed="64"/>
      </patternFill>
    </fill>
    <fill>
      <patternFill patternType="solid">
        <fgColor rgb="FF19FF00"/>
        <bgColor indexed="64"/>
      </patternFill>
    </fill>
    <fill>
      <patternFill patternType="solid">
        <fgColor rgb="FF27FF00"/>
        <bgColor indexed="64"/>
      </patternFill>
    </fill>
    <fill>
      <patternFill patternType="solid">
        <fgColor rgb="FF1BFF00"/>
        <bgColor indexed="64"/>
      </patternFill>
    </fill>
    <fill>
      <patternFill patternType="solid">
        <fgColor rgb="FF29FF00"/>
        <bgColor indexed="64"/>
      </patternFill>
    </fill>
    <fill>
      <patternFill patternType="solid">
        <fgColor rgb="FF15FF00"/>
        <bgColor indexed="64"/>
      </patternFill>
    </fill>
    <fill>
      <patternFill patternType="solid">
        <fgColor rgb="FF28FF00"/>
        <bgColor indexed="64"/>
      </patternFill>
    </fill>
    <fill>
      <patternFill patternType="solid">
        <fgColor rgb="FF21FF00"/>
        <bgColor indexed="64"/>
      </patternFill>
    </fill>
    <fill>
      <patternFill patternType="solid">
        <fgColor rgb="FF2FFF00"/>
        <bgColor indexed="64"/>
      </patternFill>
    </fill>
    <fill>
      <patternFill patternType="solid">
        <fgColor rgb="FF12FF00"/>
        <bgColor indexed="64"/>
      </patternFill>
    </fill>
    <fill>
      <patternFill patternType="solid">
        <fgColor rgb="FF25FF00"/>
        <bgColor indexed="64"/>
      </patternFill>
    </fill>
    <fill>
      <patternFill patternType="solid">
        <fgColor rgb="FF40FF00"/>
        <bgColor indexed="64"/>
      </patternFill>
    </fill>
    <fill>
      <patternFill patternType="solid">
        <fgColor rgb="FF1DFF00"/>
        <bgColor indexed="64"/>
      </patternFill>
    </fill>
    <fill>
      <patternFill patternType="solid">
        <fgColor rgb="FF1CFF00"/>
        <bgColor indexed="64"/>
      </patternFill>
    </fill>
    <fill>
      <patternFill patternType="solid">
        <fgColor rgb="FF4BFF00"/>
        <bgColor indexed="64"/>
      </patternFill>
    </fill>
    <fill>
      <patternFill patternType="solid">
        <fgColor rgb="FF2DFF00"/>
        <bgColor indexed="64"/>
      </patternFill>
    </fill>
    <fill>
      <patternFill patternType="solid">
        <fgColor rgb="FF22FF00"/>
        <bgColor indexed="64"/>
      </patternFill>
    </fill>
    <fill>
      <patternFill patternType="solid">
        <fgColor rgb="FF42FF00"/>
        <bgColor indexed="64"/>
      </patternFill>
    </fill>
    <fill>
      <patternFill patternType="solid">
        <fgColor rgb="FF36FF00"/>
        <bgColor indexed="64"/>
      </patternFill>
    </fill>
    <fill>
      <patternFill patternType="solid">
        <fgColor rgb="FF39FF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20FF00"/>
        <bgColor indexed="64"/>
      </patternFill>
    </fill>
    <fill>
      <patternFill patternType="solid">
        <fgColor rgb="FF1AFF00"/>
        <bgColor indexed="64"/>
      </patternFill>
    </fill>
    <fill>
      <patternFill patternType="solid">
        <fgColor rgb="FF5DFF00"/>
        <bgColor indexed="64"/>
      </patternFill>
    </fill>
    <fill>
      <patternFill patternType="solid">
        <fgColor rgb="FF3CFF00"/>
        <bgColor indexed="64"/>
      </patternFill>
    </fill>
    <fill>
      <patternFill patternType="solid">
        <fgColor rgb="FF41FF00"/>
        <bgColor indexed="64"/>
      </patternFill>
    </fill>
    <fill>
      <patternFill patternType="solid">
        <fgColor rgb="FF33FF00"/>
        <bgColor indexed="64"/>
      </patternFill>
    </fill>
    <fill>
      <patternFill patternType="solid">
        <fgColor rgb="FF38FF00"/>
        <bgColor indexed="64"/>
      </patternFill>
    </fill>
    <fill>
      <patternFill patternType="solid">
        <fgColor rgb="FF34FF00"/>
        <bgColor indexed="64"/>
      </patternFill>
    </fill>
    <fill>
      <patternFill patternType="solid">
        <fgColor rgb="FF3AFF00"/>
        <bgColor indexed="64"/>
      </patternFill>
    </fill>
    <fill>
      <patternFill patternType="solid">
        <fgColor rgb="FF1EFF00"/>
        <bgColor indexed="64"/>
      </patternFill>
    </fill>
    <fill>
      <patternFill patternType="solid">
        <fgColor rgb="FF6BFF00"/>
        <bgColor indexed="64"/>
      </patternFill>
    </fill>
    <fill>
      <patternFill patternType="solid">
        <fgColor rgb="FF35FF00"/>
        <bgColor indexed="64"/>
      </patternFill>
    </fill>
    <fill>
      <patternFill patternType="solid">
        <fgColor rgb="FF7DFF00"/>
        <bgColor indexed="64"/>
      </patternFill>
    </fill>
    <fill>
      <patternFill patternType="solid">
        <fgColor rgb="FF2BFF00"/>
        <bgColor indexed="64"/>
      </patternFill>
    </fill>
    <fill>
      <patternFill patternType="solid">
        <fgColor rgb="FFBDFF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rgb="FF24FF00"/>
        <bgColor indexed="64"/>
      </patternFill>
    </fill>
    <fill>
      <patternFill patternType="solid">
        <fgColor rgb="FF6FFF00"/>
        <bgColor indexed="64"/>
      </patternFill>
    </fill>
    <fill>
      <patternFill patternType="solid">
        <fgColor rgb="FF23FF00"/>
        <bgColor indexed="64"/>
      </patternFill>
    </fill>
    <fill>
      <patternFill patternType="solid">
        <fgColor rgb="FFFF8200"/>
        <bgColor indexed="64"/>
      </patternFill>
    </fill>
    <fill>
      <patternFill patternType="solid">
        <fgColor rgb="FF7AFF00"/>
        <bgColor indexed="64"/>
      </patternFill>
    </fill>
    <fill>
      <patternFill patternType="solid">
        <fgColor rgb="FF68FF00"/>
        <bgColor indexed="64"/>
      </patternFill>
    </fill>
    <fill>
      <patternFill patternType="solid">
        <fgColor rgb="FF50FF00"/>
        <bgColor indexed="64"/>
      </patternFill>
    </fill>
    <fill>
      <patternFill patternType="solid">
        <fgColor rgb="FF89FF00"/>
        <bgColor indexed="64"/>
      </patternFill>
    </fill>
    <fill>
      <patternFill patternType="solid">
        <fgColor rgb="FF3DFF00"/>
        <bgColor indexed="64"/>
      </patternFill>
    </fill>
    <fill>
      <patternFill patternType="solid">
        <fgColor rgb="FF54FF00"/>
        <bgColor indexed="64"/>
      </patternFill>
    </fill>
    <fill>
      <patternFill patternType="solid">
        <fgColor theme="5" tint="0.39997558519241921"/>
        <bgColor indexed="64"/>
      </patternFill>
    </fill>
    <fill>
      <patternFill patternType="solid">
        <fgColor rgb="FF26FF00"/>
        <bgColor indexed="64"/>
      </patternFill>
    </fill>
    <fill>
      <patternFill patternType="solid">
        <fgColor rgb="FF43FF00"/>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AFF00"/>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67FF00"/>
        <bgColor indexed="64"/>
      </patternFill>
    </fill>
    <fill>
      <patternFill patternType="solid">
        <fgColor theme="6" tint="0.79998168889431442"/>
        <bgColor indexed="64"/>
      </patternFill>
    </fill>
    <fill>
      <patternFill patternType="solid">
        <fgColor rgb="FF61FF00"/>
        <bgColor indexed="64"/>
      </patternFill>
    </fill>
    <fill>
      <patternFill patternType="solid">
        <fgColor rgb="FF3BFF00"/>
        <bgColor indexed="64"/>
      </patternFill>
    </fill>
    <fill>
      <patternFill patternType="solid">
        <fgColor rgb="FF37FF00"/>
        <bgColor indexed="64"/>
      </patternFill>
    </fill>
    <fill>
      <patternFill patternType="solid">
        <fgColor rgb="FF57FF00"/>
        <bgColor indexed="64"/>
      </patternFill>
    </fill>
    <fill>
      <patternFill patternType="solid">
        <fgColor rgb="FF52FF00"/>
        <bgColor indexed="64"/>
      </patternFill>
    </fill>
    <fill>
      <patternFill patternType="solid">
        <fgColor rgb="FFB3FF00"/>
        <bgColor indexed="64"/>
      </patternFill>
    </fill>
    <fill>
      <patternFill patternType="solid">
        <fgColor rgb="FF59FF00"/>
        <bgColor indexed="64"/>
      </patternFill>
    </fill>
    <fill>
      <patternFill patternType="solid">
        <fgColor rgb="FFFFC800"/>
        <bgColor indexed="64"/>
      </patternFill>
    </fill>
    <fill>
      <patternFill patternType="solid">
        <fgColor rgb="FF70FF00"/>
        <bgColor indexed="64"/>
      </patternFill>
    </fill>
    <fill>
      <patternFill patternType="solid">
        <fgColor theme="8" tint="0.79998168889431442"/>
        <bgColor indexed="64"/>
      </patternFill>
    </fill>
    <fill>
      <patternFill patternType="solid">
        <fgColor rgb="FF3FFF00"/>
        <bgColor indexed="64"/>
      </patternFill>
    </fill>
    <fill>
      <patternFill patternType="solid">
        <fgColor rgb="FF31FF00"/>
        <bgColor indexed="64"/>
      </patternFill>
    </fill>
    <fill>
      <patternFill patternType="solid">
        <fgColor rgb="FF73FF00"/>
        <bgColor indexed="64"/>
      </patternFill>
    </fill>
    <fill>
      <patternFill patternType="solid">
        <fgColor rgb="FFBEFF00"/>
        <bgColor indexed="64"/>
      </patternFill>
    </fill>
    <fill>
      <patternFill patternType="solid">
        <fgColor rgb="FF56FF00"/>
        <bgColor indexed="64"/>
      </patternFill>
    </fill>
    <fill>
      <patternFill patternType="solid">
        <fgColor rgb="FF2EFF00"/>
        <bgColor indexed="64"/>
      </patternFill>
    </fill>
    <fill>
      <patternFill patternType="solid">
        <fgColor rgb="FF6EFF00"/>
        <bgColor indexed="64"/>
      </patternFill>
    </fill>
    <fill>
      <patternFill patternType="solid">
        <fgColor rgb="FF98FF00"/>
        <bgColor indexed="64"/>
      </patternFill>
    </fill>
    <fill>
      <patternFill patternType="solid">
        <fgColor rgb="FF92FF00"/>
        <bgColor indexed="64"/>
      </patternFill>
    </fill>
    <fill>
      <patternFill patternType="solid">
        <fgColor rgb="FFA2FF00"/>
        <bgColor indexed="64"/>
      </patternFill>
    </fill>
    <fill>
      <patternFill patternType="solid">
        <fgColor rgb="FF53FF00"/>
        <bgColor indexed="64"/>
      </patternFill>
    </fill>
    <fill>
      <patternFill patternType="solid">
        <fgColor rgb="FF44FF00"/>
        <bgColor indexed="64"/>
      </patternFill>
    </fill>
    <fill>
      <patternFill patternType="solid">
        <fgColor rgb="FFA5FF00"/>
        <bgColor indexed="64"/>
      </patternFill>
    </fill>
    <fill>
      <patternFill patternType="solid">
        <fgColor rgb="FF63FF00"/>
        <bgColor indexed="64"/>
      </patternFill>
    </fill>
    <fill>
      <patternFill patternType="solid">
        <fgColor rgb="FF5FFF00"/>
        <bgColor indexed="64"/>
      </patternFill>
    </fill>
    <fill>
      <patternFill patternType="solid">
        <fgColor rgb="FF8FFF00"/>
        <bgColor indexed="64"/>
      </patternFill>
    </fill>
    <fill>
      <patternFill patternType="solid">
        <fgColor rgb="FFF1FF00"/>
        <bgColor indexed="64"/>
      </patternFill>
    </fill>
    <fill>
      <patternFill patternType="solid">
        <fgColor rgb="FFDEFF00"/>
        <bgColor indexed="64"/>
      </patternFill>
    </fill>
    <fill>
      <patternFill patternType="solid">
        <fgColor rgb="FFCFFF00"/>
        <bgColor indexed="64"/>
      </patternFill>
    </fill>
    <fill>
      <patternFill patternType="solid">
        <fgColor rgb="FF91FF00"/>
        <bgColor indexed="64"/>
      </patternFill>
    </fill>
    <fill>
      <patternFill patternType="solid">
        <fgColor rgb="FF7CFF00"/>
        <bgColor indexed="64"/>
      </patternFill>
    </fill>
    <fill>
      <patternFill patternType="solid">
        <fgColor rgb="FF86FF00"/>
        <bgColor indexed="64"/>
      </patternFill>
    </fill>
    <fill>
      <patternFill patternType="solid">
        <fgColor rgb="FFFEFF00"/>
        <bgColor indexed="64"/>
      </patternFill>
    </fill>
    <fill>
      <patternFill patternType="solid">
        <fgColor rgb="FFB6FF00"/>
        <bgColor indexed="64"/>
      </patternFill>
    </fill>
    <fill>
      <patternFill patternType="solid">
        <fgColor rgb="FF2CFF00"/>
        <bgColor indexed="64"/>
      </patternFill>
    </fill>
    <fill>
      <patternFill patternType="solid">
        <fgColor rgb="FF4AFF00"/>
        <bgColor indexed="64"/>
      </patternFill>
    </fill>
    <fill>
      <patternFill patternType="solid">
        <fgColor rgb="FFCDFF00"/>
        <bgColor indexed="64"/>
      </patternFill>
    </fill>
    <fill>
      <patternFill patternType="solid">
        <fgColor rgb="FFADFF00"/>
        <bgColor indexed="64"/>
      </patternFill>
    </fill>
    <fill>
      <patternFill patternType="solid">
        <fgColor rgb="FFB1FF00"/>
        <bgColor indexed="64"/>
      </patternFill>
    </fill>
    <fill>
      <patternFill patternType="solid">
        <fgColor rgb="FF6CFF00"/>
        <bgColor indexed="64"/>
      </patternFill>
    </fill>
    <fill>
      <patternFill patternType="solid">
        <fgColor rgb="FF8EFF00"/>
        <bgColor indexed="64"/>
      </patternFill>
    </fill>
    <fill>
      <patternFill patternType="solid">
        <fgColor rgb="FFEBFF00"/>
        <bgColor indexed="64"/>
      </patternFill>
    </fill>
    <fill>
      <patternFill patternType="solid">
        <fgColor rgb="FFFFC600"/>
        <bgColor indexed="64"/>
      </patternFill>
    </fill>
    <fill>
      <patternFill patternType="solid">
        <fgColor rgb="FFFFEF00"/>
        <bgColor indexed="64"/>
      </patternFill>
    </fill>
    <fill>
      <patternFill patternType="solid">
        <fgColor rgb="FF58FF00"/>
        <bgColor indexed="64"/>
      </patternFill>
    </fill>
    <fill>
      <patternFill patternType="solid">
        <fgColor rgb="FF4EFF00"/>
        <bgColor indexed="64"/>
      </patternFill>
    </fill>
    <fill>
      <patternFill patternType="solid">
        <fgColor rgb="FFFFFE00"/>
        <bgColor indexed="64"/>
      </patternFill>
    </fill>
    <fill>
      <patternFill patternType="solid">
        <fgColor rgb="FF6AFF00"/>
        <bgColor indexed="64"/>
      </patternFill>
    </fill>
    <fill>
      <patternFill patternType="solid">
        <fgColor rgb="FFD2FF00"/>
        <bgColor indexed="64"/>
      </patternFill>
    </fill>
    <fill>
      <patternFill patternType="solid">
        <fgColor rgb="FFB5FF00"/>
        <bgColor indexed="64"/>
      </patternFill>
    </fill>
    <fill>
      <patternFill patternType="solid">
        <fgColor rgb="FF94FF00"/>
        <bgColor indexed="64"/>
      </patternFill>
    </fill>
    <fill>
      <patternFill patternType="solid">
        <fgColor rgb="FFFFF700"/>
        <bgColor indexed="64"/>
      </patternFill>
    </fill>
    <fill>
      <patternFill patternType="solid">
        <fgColor rgb="FFFFF400"/>
        <bgColor indexed="64"/>
      </patternFill>
    </fill>
    <fill>
      <patternFill patternType="solid">
        <fgColor rgb="FFFFDF00"/>
        <bgColor indexed="64"/>
      </patternFill>
    </fill>
    <fill>
      <patternFill patternType="solid">
        <fgColor rgb="FFC9FF00"/>
        <bgColor indexed="64"/>
      </patternFill>
    </fill>
    <fill>
      <patternFill patternType="solid">
        <fgColor rgb="FF3EFF00"/>
        <bgColor indexed="64"/>
      </patternFill>
    </fill>
    <fill>
      <patternFill patternType="solid">
        <fgColor rgb="FF69FF00"/>
        <bgColor indexed="64"/>
      </patternFill>
    </fill>
    <fill>
      <patternFill patternType="solid">
        <fgColor rgb="FF85FF00"/>
        <bgColor indexed="64"/>
      </patternFill>
    </fill>
    <fill>
      <patternFill patternType="solid">
        <fgColor rgb="FF4DFF00"/>
        <bgColor indexed="64"/>
      </patternFill>
    </fill>
    <fill>
      <patternFill patternType="solid">
        <fgColor rgb="FFFFDC00"/>
        <bgColor indexed="64"/>
      </patternFill>
    </fill>
    <fill>
      <patternFill patternType="solid">
        <fgColor rgb="FFFF8800"/>
        <bgColor indexed="64"/>
      </patternFill>
    </fill>
    <fill>
      <patternFill patternType="solid">
        <fgColor rgb="FF90FF00"/>
        <bgColor indexed="64"/>
      </patternFill>
    </fill>
    <fill>
      <patternFill patternType="solid">
        <fgColor rgb="FFFFDE00"/>
        <bgColor indexed="64"/>
      </patternFill>
    </fill>
    <fill>
      <patternFill patternType="solid">
        <fgColor rgb="FF9DFF00"/>
        <bgColor indexed="64"/>
      </patternFill>
    </fill>
    <fill>
      <patternFill patternType="solid">
        <fgColor rgb="FF5AFF00"/>
        <bgColor indexed="64"/>
      </patternFill>
    </fill>
    <fill>
      <patternFill patternType="solid">
        <fgColor rgb="FFC6FF00"/>
        <bgColor indexed="64"/>
      </patternFill>
    </fill>
    <fill>
      <patternFill patternType="solid">
        <fgColor rgb="FF93FF00"/>
        <bgColor indexed="64"/>
      </patternFill>
    </fill>
    <fill>
      <patternFill patternType="solid">
        <fgColor rgb="FFFFE8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70B7B"/>
        <bgColor indexed="64"/>
      </patternFill>
    </fill>
    <fill>
      <patternFill patternType="solid">
        <fgColor rgb="FF35DC96"/>
        <bgColor indexed="64"/>
      </patternFill>
    </fill>
    <fill>
      <patternFill patternType="solid">
        <fgColor rgb="FFC1ED54"/>
        <bgColor indexed="64"/>
      </patternFill>
    </fill>
    <fill>
      <patternFill patternType="solid">
        <fgColor rgb="FF8A15A2"/>
        <bgColor indexed="64"/>
      </patternFill>
    </fill>
    <fill>
      <patternFill patternType="solid">
        <fgColor rgb="FF69F51D"/>
        <bgColor indexed="64"/>
      </patternFill>
    </fill>
    <fill>
      <patternFill patternType="solid">
        <fgColor rgb="FFEB9E59"/>
        <bgColor indexed="64"/>
      </patternFill>
    </fill>
    <fill>
      <patternFill patternType="solid">
        <fgColor rgb="FF267A38"/>
        <bgColor indexed="64"/>
      </patternFill>
    </fill>
    <fill>
      <patternFill patternType="solid">
        <fgColor rgb="FFFD2107"/>
        <bgColor indexed="64"/>
      </patternFill>
    </fill>
    <fill>
      <patternFill patternType="solid">
        <fgColor rgb="FF588CEB"/>
        <bgColor indexed="64"/>
      </patternFill>
    </fill>
    <fill>
      <patternFill patternType="solid">
        <fgColor rgb="FF8968D8"/>
        <bgColor indexed="64"/>
      </patternFill>
    </fill>
    <fill>
      <patternFill patternType="solid">
        <fgColor rgb="FFD3ABB8"/>
        <bgColor indexed="64"/>
      </patternFill>
    </fill>
    <fill>
      <patternFill patternType="solid">
        <fgColor rgb="FFFE577E"/>
        <bgColor indexed="64"/>
      </patternFill>
    </fill>
    <fill>
      <patternFill patternType="solid">
        <fgColor rgb="FF69B12E"/>
        <bgColor indexed="64"/>
      </patternFill>
    </fill>
    <fill>
      <patternFill patternType="solid">
        <fgColor rgb="FF6C8BD0"/>
        <bgColor indexed="64"/>
      </patternFill>
    </fill>
    <fill>
      <patternFill patternType="solid">
        <fgColor rgb="FF8A6D82"/>
        <bgColor indexed="64"/>
      </patternFill>
    </fill>
    <fill>
      <patternFill patternType="solid">
        <fgColor rgb="FF3A9E7D"/>
        <bgColor indexed="64"/>
      </patternFill>
    </fill>
    <fill>
      <patternFill patternType="solid">
        <fgColor rgb="FFAEE25E"/>
        <bgColor indexed="64"/>
      </patternFill>
    </fill>
    <fill>
      <patternFill patternType="solid">
        <fgColor rgb="FF4D4B26"/>
        <bgColor indexed="64"/>
      </patternFill>
    </fill>
    <fill>
      <patternFill patternType="solid">
        <fgColor rgb="FF873995"/>
        <bgColor indexed="64"/>
      </patternFill>
    </fill>
    <fill>
      <patternFill patternType="solid">
        <fgColor rgb="FF5DDF7A"/>
        <bgColor indexed="64"/>
      </patternFill>
    </fill>
    <fill>
      <patternFill patternType="solid">
        <fgColor rgb="FF31AEBF"/>
        <bgColor indexed="64"/>
      </patternFill>
    </fill>
    <fill>
      <patternFill patternType="solid">
        <fgColor rgb="FF9DC729"/>
        <bgColor indexed="64"/>
      </patternFill>
    </fill>
    <fill>
      <patternFill patternType="solid">
        <fgColor rgb="FFCE34F4"/>
        <bgColor indexed="64"/>
      </patternFill>
    </fill>
    <fill>
      <patternFill patternType="solid">
        <fgColor rgb="FF1110CA"/>
        <bgColor indexed="64"/>
      </patternFill>
    </fill>
    <fill>
      <patternFill patternType="solid">
        <fgColor rgb="FF61761E"/>
        <bgColor indexed="64"/>
      </patternFill>
    </fill>
    <fill>
      <patternFill patternType="solid">
        <fgColor rgb="FF1D2C0C"/>
        <bgColor indexed="64"/>
      </patternFill>
    </fill>
    <fill>
      <patternFill patternType="solid">
        <fgColor rgb="FFB6888F"/>
        <bgColor indexed="64"/>
      </patternFill>
    </fill>
    <fill>
      <patternFill patternType="solid">
        <fgColor rgb="FF3777BE"/>
        <bgColor indexed="64"/>
      </patternFill>
    </fill>
    <fill>
      <patternFill patternType="solid">
        <fgColor rgb="FFC066E6"/>
        <bgColor indexed="64"/>
      </patternFill>
    </fill>
    <fill>
      <patternFill patternType="solid">
        <fgColor rgb="FFBE17A2"/>
        <bgColor indexed="64"/>
      </patternFill>
    </fill>
    <fill>
      <patternFill patternType="solid">
        <fgColor rgb="FFB6046E"/>
        <bgColor indexed="64"/>
      </patternFill>
    </fill>
    <fill>
      <patternFill patternType="solid">
        <fgColor rgb="FF6746FB"/>
        <bgColor indexed="64"/>
      </patternFill>
    </fill>
    <fill>
      <patternFill patternType="solid">
        <fgColor rgb="FFCDB26A"/>
        <bgColor indexed="64"/>
      </patternFill>
    </fill>
    <fill>
      <patternFill patternType="solid">
        <fgColor rgb="FFBB475B"/>
        <bgColor indexed="64"/>
      </patternFill>
    </fill>
    <fill>
      <patternFill patternType="solid">
        <fgColor rgb="FF6FF11F"/>
        <bgColor indexed="64"/>
      </patternFill>
    </fill>
    <fill>
      <patternFill patternType="solid">
        <fgColor rgb="FFA5591B"/>
        <bgColor indexed="64"/>
      </patternFill>
    </fill>
    <fill>
      <patternFill patternType="solid">
        <fgColor rgb="FF2F146E"/>
        <bgColor indexed="64"/>
      </patternFill>
    </fill>
    <fill>
      <patternFill patternType="solid">
        <fgColor rgb="FFF58A7E"/>
        <bgColor indexed="64"/>
      </patternFill>
    </fill>
    <fill>
      <patternFill patternType="solid">
        <fgColor rgb="FFF83861"/>
        <bgColor indexed="64"/>
      </patternFill>
    </fill>
    <fill>
      <patternFill patternType="solid">
        <fgColor rgb="FF654880"/>
        <bgColor indexed="64"/>
      </patternFill>
    </fill>
    <fill>
      <patternFill patternType="solid">
        <fgColor rgb="FF2384F6"/>
        <bgColor indexed="64"/>
      </patternFill>
    </fill>
    <fill>
      <patternFill patternType="solid">
        <fgColor rgb="FF8EE8A8"/>
        <bgColor indexed="64"/>
      </patternFill>
    </fill>
    <fill>
      <patternFill patternType="solid">
        <fgColor rgb="FF70B110"/>
        <bgColor indexed="64"/>
      </patternFill>
    </fill>
    <fill>
      <patternFill patternType="solid">
        <fgColor rgb="FFC1B37F"/>
        <bgColor indexed="64"/>
      </patternFill>
    </fill>
    <fill>
      <patternFill patternType="solid">
        <fgColor rgb="FF5BFF00"/>
        <bgColor indexed="64"/>
      </patternFill>
    </fill>
  </fills>
  <borders count="16">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5112">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19" fillId="0" borderId="0"/>
    <xf numFmtId="0" fontId="19" fillId="0" borderId="0"/>
  </cellStyleXfs>
  <cellXfs count="485">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0" borderId="0" xfId="0" applyAlignment="1">
      <alignment horizontal="left"/>
    </xf>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0" fontId="1" fillId="0" borderId="0" xfId="0" applyFont="1" applyAlignment="1">
      <alignment horizontal="right"/>
    </xf>
    <xf numFmtId="0" fontId="1" fillId="0" borderId="0" xfId="0" applyFont="1" applyFill="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4" borderId="2" xfId="0" applyFont="1" applyFill="1" applyBorder="1" applyAlignment="1">
      <alignment horizontal="center"/>
    </xf>
    <xf numFmtId="0" fontId="1" fillId="24" borderId="4" xfId="0" applyFont="1" applyFill="1" applyBorder="1" applyAlignment="1">
      <alignment horizontal="center"/>
    </xf>
    <xf numFmtId="0" fontId="1" fillId="24"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4" borderId="5" xfId="0" applyFill="1" applyBorder="1"/>
    <xf numFmtId="0" fontId="0" fillId="24" borderId="6" xfId="0" applyFill="1" applyBorder="1"/>
    <xf numFmtId="0" fontId="0" fillId="24" borderId="7" xfId="0" applyFill="1" applyBorder="1"/>
    <xf numFmtId="0" fontId="0" fillId="24" borderId="8" xfId="0" applyFill="1" applyBorder="1"/>
    <xf numFmtId="0" fontId="0" fillId="24" borderId="9" xfId="0" applyFill="1" applyBorder="1"/>
    <xf numFmtId="0" fontId="0" fillId="24" borderId="11" xfId="0" applyFill="1" applyBorder="1"/>
    <xf numFmtId="0" fontId="8" fillId="0" borderId="0" xfId="0" applyFont="1"/>
    <xf numFmtId="0" fontId="9" fillId="0" borderId="0" xfId="0" applyFont="1"/>
    <xf numFmtId="0" fontId="1" fillId="2" borderId="0" xfId="0" applyFont="1" applyFill="1" applyBorder="1"/>
    <xf numFmtId="0" fontId="1" fillId="0" borderId="0" xfId="0" applyFont="1" applyAlignment="1">
      <alignment horizontal="center"/>
    </xf>
    <xf numFmtId="0" fontId="0" fillId="0" borderId="0" xfId="0" applyAlignment="1">
      <alignment horizontal="right"/>
    </xf>
    <xf numFmtId="0" fontId="0" fillId="0" borderId="0" xfId="0" applyFont="1" applyFill="1"/>
    <xf numFmtId="0" fontId="0" fillId="0" borderId="0" xfId="0" applyFont="1" applyAlignment="1">
      <alignment horizontal="center"/>
    </xf>
    <xf numFmtId="0" fontId="0" fillId="0" borderId="0" xfId="0" applyFill="1" applyAlignment="1">
      <alignment horizontal="right"/>
    </xf>
    <xf numFmtId="0" fontId="0" fillId="0" borderId="0" xfId="0" applyFont="1" applyFill="1" applyAlignment="1">
      <alignment horizontal="center"/>
    </xf>
    <xf numFmtId="0" fontId="1" fillId="0" borderId="0" xfId="0" applyFont="1" applyAlignment="1"/>
    <xf numFmtId="0" fontId="1" fillId="0" borderId="0" xfId="0" applyFont="1" applyFill="1" applyAlignment="1"/>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5" borderId="2" xfId="0" applyNumberFormat="1" applyFont="1" applyFill="1" applyBorder="1"/>
    <xf numFmtId="0" fontId="10" fillId="0" borderId="0" xfId="0" applyFont="1"/>
    <xf numFmtId="0" fontId="0" fillId="0" borderId="1" xfId="0" applyFont="1" applyBorder="1" applyAlignment="1">
      <alignment horizontal="center"/>
    </xf>
    <xf numFmtId="0" fontId="0" fillId="0" borderId="0" xfId="0" applyFont="1" applyFill="1" applyBorder="1" applyAlignment="1">
      <alignment horizontal="center"/>
    </xf>
    <xf numFmtId="0" fontId="0" fillId="35" borderId="3" xfId="0" applyNumberFormat="1" applyFont="1" applyFill="1" applyBorder="1"/>
    <xf numFmtId="0" fontId="0" fillId="35" borderId="2" xfId="0" applyFont="1" applyFill="1" applyBorder="1"/>
    <xf numFmtId="0" fontId="0" fillId="35" borderId="3" xfId="0" applyFont="1" applyFill="1" applyBorder="1"/>
    <xf numFmtId="0" fontId="0" fillId="35" borderId="4" xfId="0" applyFont="1" applyFill="1" applyBorder="1"/>
    <xf numFmtId="0" fontId="0" fillId="0" borderId="0" xfId="0" applyFont="1" applyBorder="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0" borderId="0" xfId="0" applyAlignment="1">
      <alignment horizontal="center"/>
    </xf>
    <xf numFmtId="0" fontId="0" fillId="0" borderId="0" xfId="0" applyFill="1" applyAlignment="1">
      <alignment horizontal="center"/>
    </xf>
    <xf numFmtId="0" fontId="0" fillId="36" borderId="0" xfId="0" applyFill="1"/>
    <xf numFmtId="0" fontId="0" fillId="0" borderId="0" xfId="0" applyBorder="1"/>
    <xf numFmtId="0" fontId="0" fillId="0" borderId="0" xfId="0" applyFill="1" applyBorder="1"/>
    <xf numFmtId="0" fontId="9" fillId="36" borderId="0" xfId="0" applyFont="1" applyFill="1"/>
    <xf numFmtId="0" fontId="1" fillId="39" borderId="0" xfId="0" applyFont="1" applyFill="1" applyAlignment="1">
      <alignment horizontal="left"/>
    </xf>
    <xf numFmtId="0" fontId="0" fillId="39" borderId="0" xfId="0" applyFont="1" applyFill="1" applyAlignment="1">
      <alignment horizontal="center"/>
    </xf>
    <xf numFmtId="0" fontId="0" fillId="39" borderId="1" xfId="0" applyFont="1" applyFill="1" applyBorder="1" applyAlignment="1">
      <alignment horizontal="center"/>
    </xf>
    <xf numFmtId="0" fontId="11" fillId="0" borderId="0" xfId="0" applyFont="1"/>
    <xf numFmtId="0" fontId="0" fillId="0" borderId="0" xfId="0" applyBorder="1" applyAlignment="1"/>
    <xf numFmtId="1" fontId="1" fillId="0" borderId="0" xfId="0" applyNumberFormat="1" applyFont="1"/>
    <xf numFmtId="1" fontId="0" fillId="0" borderId="0" xfId="0" applyNumberFormat="1" applyFont="1"/>
    <xf numFmtId="0" fontId="0" fillId="29" borderId="0" xfId="0" applyFill="1"/>
    <xf numFmtId="0" fontId="1" fillId="0" borderId="0" xfId="0" applyFont="1" applyFill="1" applyBorder="1"/>
    <xf numFmtId="0" fontId="4" fillId="0" borderId="0" xfId="0" applyFont="1"/>
    <xf numFmtId="0" fontId="4" fillId="0" borderId="0" xfId="0" applyFont="1" applyFill="1" applyBorder="1"/>
    <xf numFmtId="11" fontId="4" fillId="0" borderId="0" xfId="0" applyNumberFormat="1" applyFont="1" applyFill="1" applyBorder="1"/>
    <xf numFmtId="0" fontId="4" fillId="29" borderId="0" xfId="0" applyFont="1" applyFill="1"/>
    <xf numFmtId="0" fontId="0" fillId="0" borderId="0" xfId="0" applyAlignment="1">
      <alignment wrapText="1"/>
    </xf>
    <xf numFmtId="0" fontId="0" fillId="3" borderId="0" xfId="0" applyFill="1"/>
    <xf numFmtId="0" fontId="12" fillId="0" borderId="0" xfId="0" applyFont="1" applyFill="1" applyBorder="1" applyAlignment="1" applyProtection="1">
      <alignment horizontal="center" vertical="center"/>
    </xf>
    <xf numFmtId="0" fontId="13" fillId="0" borderId="0" xfId="0" applyFont="1" applyAlignment="1">
      <alignment horizontal="center"/>
    </xf>
    <xf numFmtId="0" fontId="13" fillId="0" borderId="0" xfId="0" applyFont="1" applyFill="1" applyAlignment="1">
      <alignment horizontal="center"/>
    </xf>
    <xf numFmtId="0" fontId="13" fillId="29" borderId="0" xfId="0" applyFont="1" applyFill="1" applyAlignment="1">
      <alignment horizontal="center"/>
    </xf>
    <xf numFmtId="0" fontId="13" fillId="27" borderId="0" xfId="0" applyFont="1" applyFill="1" applyAlignment="1">
      <alignment horizontal="center"/>
    </xf>
    <xf numFmtId="0" fontId="13" fillId="28" borderId="0" xfId="0" applyFont="1" applyFill="1" applyAlignment="1">
      <alignment horizontal="center"/>
    </xf>
    <xf numFmtId="0" fontId="13" fillId="25" borderId="0" xfId="0" applyFont="1" applyFill="1" applyAlignment="1">
      <alignment horizontal="center"/>
    </xf>
    <xf numFmtId="0" fontId="13" fillId="26" borderId="0" xfId="0" applyFont="1" applyFill="1" applyAlignment="1">
      <alignment horizontal="center"/>
    </xf>
    <xf numFmtId="0" fontId="13" fillId="0" borderId="0" xfId="0" applyFont="1" applyFill="1" applyAlignment="1">
      <alignment horizontal="right"/>
    </xf>
    <xf numFmtId="0" fontId="0" fillId="24" borderId="2" xfId="0" applyFill="1" applyBorder="1" applyAlignment="1">
      <alignment horizontal="center"/>
    </xf>
    <xf numFmtId="0" fontId="0" fillId="24" borderId="4" xfId="0" applyFill="1" applyBorder="1" applyAlignment="1">
      <alignment horizontal="center"/>
    </xf>
    <xf numFmtId="0" fontId="0" fillId="24" borderId="3" xfId="0" applyFill="1" applyBorder="1"/>
    <xf numFmtId="0" fontId="0" fillId="64" borderId="0" xfId="0" applyFill="1" applyBorder="1" applyAlignment="1">
      <alignment horizontal="center"/>
    </xf>
    <xf numFmtId="0" fontId="0" fillId="64" borderId="0" xfId="0" applyFill="1" applyAlignment="1">
      <alignment horizontal="center"/>
    </xf>
    <xf numFmtId="0" fontId="0" fillId="0" borderId="0" xfId="0" applyFill="1" applyBorder="1" applyAlignment="1"/>
    <xf numFmtId="0" fontId="0" fillId="38" borderId="13" xfId="0" applyFill="1" applyBorder="1"/>
    <xf numFmtId="0" fontId="0" fillId="38" borderId="14" xfId="0" applyFill="1" applyBorder="1"/>
    <xf numFmtId="0" fontId="0" fillId="65" borderId="5" xfId="0" applyFill="1" applyBorder="1"/>
    <xf numFmtId="0" fontId="0" fillId="65" borderId="6" xfId="0" applyFill="1" applyBorder="1"/>
    <xf numFmtId="0" fontId="0" fillId="65" borderId="7" xfId="0" applyFill="1" applyBorder="1"/>
    <xf numFmtId="0" fontId="0" fillId="65" borderId="8" xfId="0" applyFill="1" applyBorder="1"/>
    <xf numFmtId="0" fontId="0" fillId="65" borderId="9" xfId="0" applyFill="1" applyBorder="1"/>
    <xf numFmtId="0" fontId="0" fillId="65" borderId="11" xfId="0" applyFill="1" applyBorder="1"/>
    <xf numFmtId="0" fontId="1" fillId="0" borderId="13" xfId="0" applyFont="1" applyBorder="1"/>
    <xf numFmtId="0" fontId="1" fillId="0" borderId="15" xfId="0" applyFont="1" applyBorder="1" applyAlignment="1">
      <alignment horizontal="center"/>
    </xf>
    <xf numFmtId="0" fontId="14" fillId="0" borderId="0" xfId="0" applyFont="1"/>
    <xf numFmtId="0" fontId="0" fillId="39" borderId="0" xfId="0" applyFill="1"/>
    <xf numFmtId="0" fontId="7" fillId="0" borderId="0" xfId="0" applyFont="1"/>
    <xf numFmtId="0" fontId="1" fillId="0" borderId="0" xfId="0" applyFont="1" applyFill="1" applyBorder="1" applyAlignment="1"/>
    <xf numFmtId="0" fontId="0" fillId="39" borderId="0" xfId="0" applyFill="1" applyBorder="1"/>
    <xf numFmtId="164" fontId="11" fillId="0" borderId="0" xfId="0" applyNumberFormat="1" applyFont="1" applyFill="1" applyBorder="1"/>
    <xf numFmtId="0" fontId="0" fillId="0" borderId="0" xfId="0" applyFont="1" applyFill="1" applyBorder="1"/>
    <xf numFmtId="0" fontId="0" fillId="0" borderId="0" xfId="0" applyNumberFormat="1"/>
    <xf numFmtId="0" fontId="0" fillId="36" borderId="0" xfId="0" applyNumberFormat="1" applyFill="1"/>
    <xf numFmtId="164" fontId="0" fillId="0" borderId="0" xfId="0" applyNumberFormat="1" applyFill="1" applyBorder="1"/>
    <xf numFmtId="164" fontId="15" fillId="0" borderId="0" xfId="0" applyNumberFormat="1" applyFont="1" applyFill="1" applyBorder="1"/>
    <xf numFmtId="14" fontId="0" fillId="0" borderId="0" xfId="0" applyNumberFormat="1" applyFill="1" applyBorder="1"/>
    <xf numFmtId="0" fontId="16" fillId="0" borderId="0" xfId="0" applyFont="1" applyFill="1" applyBorder="1"/>
    <xf numFmtId="0" fontId="0" fillId="36" borderId="0" xfId="0" applyFill="1" applyBorder="1"/>
    <xf numFmtId="0" fontId="17" fillId="0" borderId="0" xfId="0" applyFont="1" applyAlignment="1">
      <alignment vertical="center" wrapText="1"/>
    </xf>
    <xf numFmtId="0" fontId="17" fillId="0" borderId="0" xfId="0" applyFont="1" applyAlignment="1">
      <alignment vertical="center"/>
    </xf>
    <xf numFmtId="0" fontId="11" fillId="0" borderId="0" xfId="0" applyFont="1" applyFill="1" applyBorder="1"/>
    <xf numFmtId="0" fontId="0" fillId="0" borderId="10" xfId="0" applyBorder="1"/>
    <xf numFmtId="0" fontId="0" fillId="0" borderId="10" xfId="0" applyBorder="1" applyAlignment="1">
      <alignment horizontal="center"/>
    </xf>
    <xf numFmtId="0" fontId="0" fillId="81" borderId="0" xfId="0" applyFill="1"/>
    <xf numFmtId="0" fontId="0" fillId="82" borderId="0" xfId="0" applyFill="1"/>
    <xf numFmtId="0" fontId="19" fillId="0" borderId="0" xfId="5110" applyAlignment="1">
      <alignment wrapText="1"/>
    </xf>
    <xf numFmtId="0" fontId="19" fillId="0" borderId="0" xfId="5111" applyAlignment="1">
      <alignment wrapText="1"/>
    </xf>
    <xf numFmtId="11" fontId="0" fillId="0" borderId="0" xfId="0" applyNumberFormat="1" applyFill="1"/>
    <xf numFmtId="0" fontId="0" fillId="83" borderId="0" xfId="0" applyFill="1"/>
    <xf numFmtId="0" fontId="0" fillId="0" borderId="1" xfId="0" applyBorder="1"/>
    <xf numFmtId="0" fontId="11" fillId="0" borderId="0" xfId="0" quotePrefix="1" applyFont="1"/>
    <xf numFmtId="0" fontId="0" fillId="0" borderId="0" xfId="0" applyFill="1" applyAlignment="1">
      <alignment wrapText="1"/>
    </xf>
    <xf numFmtId="0" fontId="0" fillId="88" borderId="0" xfId="0" applyFill="1"/>
    <xf numFmtId="0" fontId="0" fillId="93" borderId="0" xfId="0" applyFill="1"/>
    <xf numFmtId="0" fontId="17" fillId="0" borderId="0" xfId="0" applyFont="1" applyFill="1" applyBorder="1" applyAlignment="1">
      <alignment vertical="center"/>
    </xf>
    <xf numFmtId="11" fontId="0" fillId="94" borderId="0" xfId="0" applyNumberFormat="1" applyFill="1"/>
    <xf numFmtId="0" fontId="18" fillId="0" borderId="0" xfId="0" applyFont="1" applyAlignment="1">
      <alignment horizontal="left"/>
    </xf>
    <xf numFmtId="0" fontId="0" fillId="94" borderId="0" xfId="0" applyFill="1"/>
    <xf numFmtId="0" fontId="11" fillId="64" borderId="0" xfId="0" applyFont="1" applyFill="1" applyBorder="1"/>
    <xf numFmtId="14" fontId="0" fillId="64" borderId="0" xfId="0" applyNumberFormat="1" applyFill="1" applyBorder="1"/>
    <xf numFmtId="0" fontId="0" fillId="64" borderId="0" xfId="0" applyFill="1" applyBorder="1"/>
    <xf numFmtId="0" fontId="11" fillId="36" borderId="0" xfId="0" applyFont="1" applyFill="1" applyBorder="1"/>
    <xf numFmtId="0" fontId="11" fillId="27" borderId="11" xfId="0" applyFont="1" applyFill="1" applyBorder="1"/>
    <xf numFmtId="0" fontId="11" fillId="0" borderId="9" xfId="0" applyFont="1" applyFill="1" applyBorder="1" applyAlignment="1">
      <alignment horizontal="center"/>
    </xf>
    <xf numFmtId="0" fontId="21" fillId="107" borderId="8" xfId="0" applyFont="1" applyFill="1" applyBorder="1"/>
    <xf numFmtId="0" fontId="11" fillId="105" borderId="8" xfId="0" applyFont="1" applyFill="1" applyBorder="1"/>
    <xf numFmtId="0" fontId="11" fillId="94" borderId="8" xfId="0" applyFont="1" applyFill="1" applyBorder="1"/>
    <xf numFmtId="0" fontId="11" fillId="99" borderId="8" xfId="0" applyFont="1" applyFill="1" applyBorder="1"/>
    <xf numFmtId="0" fontId="11" fillId="98" borderId="8" xfId="0" applyFont="1" applyFill="1" applyBorder="1"/>
    <xf numFmtId="0" fontId="11" fillId="0" borderId="7" xfId="0" applyFont="1" applyBorder="1" applyAlignment="1">
      <alignment horizontal="center"/>
    </xf>
    <xf numFmtId="0" fontId="11" fillId="38" borderId="8" xfId="0" applyFont="1" applyFill="1" applyBorder="1"/>
    <xf numFmtId="0" fontId="11" fillId="102" borderId="8" xfId="0" applyFont="1" applyFill="1" applyBorder="1"/>
    <xf numFmtId="0" fontId="11" fillId="0" borderId="7" xfId="0" applyFont="1" applyFill="1" applyBorder="1" applyAlignment="1">
      <alignment horizontal="center"/>
    </xf>
    <xf numFmtId="0" fontId="0" fillId="83" borderId="8" xfId="0" applyFill="1" applyBorder="1"/>
    <xf numFmtId="0" fontId="0" fillId="82" borderId="8" xfId="0" applyFill="1" applyBorder="1"/>
    <xf numFmtId="0" fontId="0" fillId="81" borderId="8" xfId="0" applyFill="1" applyBorder="1"/>
    <xf numFmtId="0" fontId="18" fillId="106" borderId="8" xfId="0" applyFont="1" applyFill="1" applyBorder="1" applyAlignment="1">
      <alignment horizontal="left"/>
    </xf>
    <xf numFmtId="0" fontId="0" fillId="0" borderId="7" xfId="0" applyBorder="1" applyAlignment="1">
      <alignment horizontal="center"/>
    </xf>
    <xf numFmtId="0" fontId="11" fillId="101" borderId="6" xfId="0" applyFont="1" applyFill="1" applyBorder="1"/>
    <xf numFmtId="0" fontId="11" fillId="0" borderId="5" xfId="0" applyFont="1" applyBorder="1" applyAlignment="1">
      <alignment horizontal="center"/>
    </xf>
    <xf numFmtId="0" fontId="11" fillId="27" borderId="0" xfId="0" applyFont="1" applyFill="1"/>
    <xf numFmtId="0" fontId="0" fillId="112" borderId="0" xfId="0" applyFill="1"/>
    <xf numFmtId="14" fontId="0" fillId="111" borderId="0" xfId="0" applyNumberFormat="1" applyFill="1" applyBorder="1"/>
    <xf numFmtId="0" fontId="0" fillId="111" borderId="0" xfId="0" applyFill="1" applyBorder="1"/>
    <xf numFmtId="0" fontId="0" fillId="0" borderId="0" xfId="0" applyFont="1" applyAlignment="1">
      <alignment horizontal="left" vertical="top" wrapText="1"/>
    </xf>
    <xf numFmtId="0" fontId="0"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20" fillId="0" borderId="0" xfId="0" applyFont="1" applyFill="1" applyAlignment="1">
      <alignment horizontal="left" vertical="top" wrapText="1"/>
    </xf>
    <xf numFmtId="0" fontId="8" fillId="36" borderId="0" xfId="0" applyFont="1" applyFill="1" applyAlignment="1">
      <alignment horizontal="left" vertical="top" wrapText="1"/>
    </xf>
    <xf numFmtId="0" fontId="11" fillId="0" borderId="0" xfId="0" applyFont="1"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left" vertical="top" wrapText="1"/>
    </xf>
    <xf numFmtId="0" fontId="1" fillId="0" borderId="0" xfId="0" applyFont="1" applyAlignment="1">
      <alignment horizontal="left" vertical="top" wrapText="1"/>
    </xf>
    <xf numFmtId="0" fontId="0" fillId="0" borderId="0" xfId="0" applyFill="1" applyBorder="1" applyAlignment="1">
      <alignment horizontal="center"/>
    </xf>
    <xf numFmtId="0" fontId="11" fillId="0" borderId="0" xfId="0" applyFont="1" applyFill="1" applyBorder="1" applyAlignment="1">
      <alignment horizontal="right"/>
    </xf>
    <xf numFmtId="0" fontId="11" fillId="0" borderId="0" xfId="0" applyFont="1" applyBorder="1" applyAlignment="1">
      <alignment horizontal="right"/>
    </xf>
    <xf numFmtId="0" fontId="0" fillId="0" borderId="0" xfId="0" applyFill="1" applyBorder="1" applyAlignment="1">
      <alignment horizontal="right"/>
    </xf>
    <xf numFmtId="0" fontId="0" fillId="0" borderId="0" xfId="0"/>
    <xf numFmtId="0" fontId="0" fillId="0" borderId="0" xfId="0" applyAlignment="1">
      <alignment horizontal="left"/>
    </xf>
    <xf numFmtId="0" fontId="0" fillId="0" borderId="0" xfId="0" applyAlignment="1">
      <alignment horizontal="center"/>
    </xf>
    <xf numFmtId="0" fontId="0" fillId="0" borderId="0" xfId="0" applyFill="1" applyBorder="1"/>
    <xf numFmtId="0" fontId="11" fillId="0" borderId="0" xfId="0" applyFont="1"/>
    <xf numFmtId="0" fontId="0" fillId="84" borderId="0" xfId="0" applyFill="1"/>
    <xf numFmtId="0" fontId="0" fillId="85" borderId="0" xfId="0" applyFill="1"/>
    <xf numFmtId="0" fontId="0" fillId="86" borderId="0" xfId="0" applyFill="1"/>
    <xf numFmtId="0" fontId="0" fillId="87" borderId="0" xfId="0" applyFill="1"/>
    <xf numFmtId="0" fontId="0" fillId="89" borderId="0" xfId="0" applyFill="1"/>
    <xf numFmtId="0" fontId="0" fillId="90" borderId="0" xfId="0" applyFill="1"/>
    <xf numFmtId="0" fontId="0" fillId="91" borderId="0" xfId="0" applyFill="1"/>
    <xf numFmtId="0" fontId="0" fillId="92" borderId="0" xfId="0" applyFill="1"/>
    <xf numFmtId="0" fontId="17" fillId="0" borderId="0" xfId="0" applyFont="1" applyFill="1" applyBorder="1" applyAlignment="1">
      <alignment vertical="center"/>
    </xf>
    <xf numFmtId="0" fontId="11" fillId="0" borderId="0" xfId="0" applyFont="1" applyFill="1"/>
    <xf numFmtId="0" fontId="11" fillId="38" borderId="0" xfId="0" applyFont="1" applyFill="1"/>
    <xf numFmtId="0" fontId="11" fillId="98" borderId="0" xfId="0" applyFont="1" applyFill="1"/>
    <xf numFmtId="0" fontId="11" fillId="101" borderId="0" xfId="0" applyFont="1" applyFill="1"/>
    <xf numFmtId="0" fontId="11" fillId="102" borderId="0" xfId="0" applyFont="1" applyFill="1"/>
    <xf numFmtId="0" fontId="11" fillId="97" borderId="0" xfId="0" applyFont="1" applyFill="1"/>
    <xf numFmtId="0" fontId="11" fillId="0" borderId="8" xfId="0" applyFont="1" applyBorder="1"/>
    <xf numFmtId="0" fontId="11" fillId="0" borderId="4" xfId="0" applyFont="1" applyBorder="1" applyAlignment="1">
      <alignment horizontal="center"/>
    </xf>
    <xf numFmtId="0" fontId="11" fillId="0" borderId="3" xfId="0" applyFont="1" applyBorder="1" applyAlignment="1">
      <alignment horizontal="center"/>
    </xf>
    <xf numFmtId="0" fontId="11" fillId="39" borderId="0" xfId="0" applyFont="1" applyFill="1"/>
    <xf numFmtId="0" fontId="11" fillId="83" borderId="0" xfId="0" applyFont="1" applyFill="1"/>
    <xf numFmtId="0" fontId="11" fillId="103" borderId="0" xfId="0" applyFont="1" applyFill="1"/>
    <xf numFmtId="0" fontId="11" fillId="104" borderId="0" xfId="0" applyFont="1" applyFill="1"/>
    <xf numFmtId="0" fontId="18" fillId="106" borderId="0" xfId="0" applyFont="1" applyFill="1" applyAlignment="1">
      <alignment horizontal="left"/>
    </xf>
    <xf numFmtId="0" fontId="11" fillId="108" borderId="0" xfId="0" applyFont="1" applyFill="1"/>
    <xf numFmtId="0" fontId="11" fillId="109" borderId="0" xfId="0" applyFont="1" applyFill="1"/>
    <xf numFmtId="0" fontId="0" fillId="0" borderId="0" xfId="0"/>
    <xf numFmtId="0" fontId="0" fillId="0" borderId="0" xfId="0" applyFill="1"/>
    <xf numFmtId="0" fontId="0" fillId="0" borderId="0" xfId="0" applyAlignment="1">
      <alignment horizontal="left"/>
    </xf>
    <xf numFmtId="0" fontId="0" fillId="0" borderId="0" xfId="0" applyAlignment="1">
      <alignment horizontal="center"/>
    </xf>
    <xf numFmtId="0" fontId="0" fillId="36" borderId="0" xfId="0" applyFill="1"/>
    <xf numFmtId="0" fontId="0" fillId="0" borderId="0" xfId="0" applyFill="1" applyBorder="1"/>
    <xf numFmtId="0" fontId="0" fillId="94" borderId="0" xfId="0" applyFill="1"/>
    <xf numFmtId="0" fontId="11" fillId="0" borderId="0" xfId="0" applyFont="1" applyAlignment="1">
      <alignment horizontal="left"/>
    </xf>
    <xf numFmtId="0" fontId="0" fillId="116" borderId="0" xfId="0" applyFill="1"/>
    <xf numFmtId="0" fontId="0" fillId="118" borderId="0" xfId="0" applyFill="1"/>
    <xf numFmtId="0" fontId="0" fillId="119" borderId="0" xfId="0" applyFill="1"/>
    <xf numFmtId="0" fontId="11" fillId="94" borderId="0" xfId="0" applyFont="1" applyFill="1"/>
    <xf numFmtId="0" fontId="0" fillId="120" borderId="0" xfId="0" applyFill="1"/>
    <xf numFmtId="0" fontId="0" fillId="121" borderId="0" xfId="0" applyFill="1"/>
    <xf numFmtId="0" fontId="1" fillId="0" borderId="0" xfId="0" applyFont="1" applyAlignment="1">
      <alignment horizontal="center" vertical="center"/>
    </xf>
    <xf numFmtId="0" fontId="0" fillId="101" borderId="0" xfId="0" applyFill="1"/>
    <xf numFmtId="11" fontId="0" fillId="101" borderId="0" xfId="0" applyNumberFormat="1" applyFill="1"/>
    <xf numFmtId="0" fontId="0" fillId="124" borderId="0" xfId="0" applyFill="1"/>
    <xf numFmtId="0" fontId="11" fillId="0" borderId="0" xfId="0" applyFont="1" applyAlignment="1">
      <alignment horizontal="left" vertical="center"/>
    </xf>
    <xf numFmtId="0" fontId="22" fillId="0" borderId="0" xfId="0" applyFont="1" applyFill="1" applyBorder="1" applyAlignment="1" applyProtection="1">
      <alignment horizontal="left" vertical="center"/>
    </xf>
    <xf numFmtId="0" fontId="0" fillId="125" borderId="0" xfId="0" applyFill="1"/>
    <xf numFmtId="0" fontId="0" fillId="128" borderId="0" xfId="0" applyFill="1"/>
    <xf numFmtId="0" fontId="0" fillId="130" borderId="0" xfId="0" applyFill="1"/>
    <xf numFmtId="0" fontId="0" fillId="131" borderId="0" xfId="0" applyFill="1"/>
    <xf numFmtId="0" fontId="0" fillId="133" borderId="0" xfId="0" applyFill="1"/>
    <xf numFmtId="0" fontId="0" fillId="134" borderId="0" xfId="0" applyFill="1"/>
    <xf numFmtId="0" fontId="0" fillId="136" borderId="0" xfId="0" applyFill="1"/>
    <xf numFmtId="0" fontId="0" fillId="138" borderId="0" xfId="0" applyFill="1"/>
    <xf numFmtId="11" fontId="11" fillId="0" borderId="0" xfId="0" applyNumberFormat="1" applyFont="1"/>
    <xf numFmtId="0" fontId="16" fillId="0" borderId="0" xfId="0" applyFont="1" applyFill="1" applyAlignment="1">
      <alignment horizontal="right"/>
    </xf>
    <xf numFmtId="0" fontId="16" fillId="0" borderId="0" xfId="0" applyFont="1" applyAlignment="1">
      <alignment horizontal="right"/>
    </xf>
    <xf numFmtId="0" fontId="16" fillId="0" borderId="0" xfId="0" applyFont="1" applyFill="1" applyAlignment="1">
      <alignment horizontal="left"/>
    </xf>
    <xf numFmtId="0" fontId="16" fillId="0" borderId="0" xfId="0" applyFont="1" applyAlignment="1">
      <alignment horizontal="left"/>
    </xf>
    <xf numFmtId="0" fontId="23" fillId="36" borderId="0" xfId="0" applyFont="1" applyFill="1" applyBorder="1" applyAlignment="1" applyProtection="1">
      <alignment horizontal="center" vertical="center"/>
    </xf>
    <xf numFmtId="0" fontId="0" fillId="101" borderId="0" xfId="0" applyNumberFormat="1" applyFill="1"/>
    <xf numFmtId="0" fontId="0" fillId="0" borderId="0" xfId="0" applyNumberFormat="1" applyFill="1"/>
    <xf numFmtId="0" fontId="11" fillId="0" borderId="0" xfId="0" applyFont="1" applyAlignment="1">
      <alignment horizontal="right" vertical="center"/>
    </xf>
    <xf numFmtId="0" fontId="22" fillId="0" borderId="0" xfId="0" applyFont="1" applyFill="1" applyBorder="1" applyAlignment="1" applyProtection="1">
      <alignment horizontal="right" vertical="center"/>
    </xf>
    <xf numFmtId="0" fontId="1" fillId="0" borderId="14" xfId="0" applyFont="1" applyBorder="1" applyAlignment="1">
      <alignment horizontal="center"/>
    </xf>
    <xf numFmtId="0" fontId="0" fillId="0" borderId="9" xfId="0" applyBorder="1"/>
    <xf numFmtId="165" fontId="11" fillId="0" borderId="0" xfId="0" applyNumberFormat="1" applyFont="1"/>
    <xf numFmtId="0" fontId="11" fillId="0" borderId="0" xfId="0" applyFont="1" applyAlignment="1">
      <alignment vertical="top"/>
    </xf>
    <xf numFmtId="0" fontId="0" fillId="140" borderId="0" xfId="0" applyFill="1"/>
    <xf numFmtId="0" fontId="0" fillId="144" borderId="0" xfId="0" applyFill="1"/>
    <xf numFmtId="0" fontId="0" fillId="143" borderId="0" xfId="0" applyFill="1"/>
    <xf numFmtId="0" fontId="0" fillId="0" borderId="0" xfId="0" applyFill="1"/>
    <xf numFmtId="0" fontId="1" fillId="0" borderId="0" xfId="0" applyFont="1"/>
    <xf numFmtId="0" fontId="0" fillId="0" borderId="0" xfId="0" applyFill="1"/>
    <xf numFmtId="0" fontId="0" fillId="4" borderId="0" xfId="0" applyFill="1"/>
    <xf numFmtId="2" fontId="0" fillId="4" borderId="0" xfId="0" applyNumberFormat="1"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6" borderId="0" xfId="0" applyFill="1"/>
    <xf numFmtId="0" fontId="0" fillId="37" borderId="0" xfId="0" applyFill="1"/>
    <xf numFmtId="0" fontId="0" fillId="40" borderId="0" xfId="0" applyFill="1"/>
    <xf numFmtId="0" fontId="0" fillId="41" borderId="0" xfId="0" applyFill="1"/>
    <xf numFmtId="0" fontId="0" fillId="42" borderId="0" xfId="0" applyFill="1"/>
    <xf numFmtId="0" fontId="0" fillId="100" borderId="0" xfId="0" applyFill="1"/>
    <xf numFmtId="0" fontId="0" fillId="43" borderId="0" xfId="0" applyFill="1"/>
    <xf numFmtId="0" fontId="0" fillId="44" borderId="0" xfId="0" applyFill="1"/>
    <xf numFmtId="0" fontId="0" fillId="45" borderId="0" xfId="0" applyFill="1"/>
    <xf numFmtId="0" fontId="0" fillId="123"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122" borderId="0" xfId="0" applyFill="1"/>
    <xf numFmtId="0" fontId="0" fillId="54" borderId="0" xfId="0" applyFill="1"/>
    <xf numFmtId="0" fontId="0" fillId="55" borderId="0" xfId="0" applyFill="1"/>
    <xf numFmtId="0" fontId="0" fillId="56" borderId="0" xfId="0" applyFill="1"/>
    <xf numFmtId="0" fontId="0" fillId="113" borderId="0" xfId="0" applyFill="1"/>
    <xf numFmtId="0" fontId="0" fillId="95" borderId="0" xfId="0" applyFill="1"/>
    <xf numFmtId="0" fontId="0" fillId="57" borderId="0" xfId="0" applyFill="1"/>
    <xf numFmtId="0" fontId="0" fillId="58" borderId="0" xfId="0" applyFill="1"/>
    <xf numFmtId="0" fontId="0" fillId="59" borderId="0" xfId="0" applyFill="1"/>
    <xf numFmtId="0" fontId="0" fillId="139" borderId="0" xfId="0" applyFill="1"/>
    <xf numFmtId="0" fontId="0" fillId="60" borderId="0" xfId="0" applyFill="1"/>
    <xf numFmtId="0" fontId="0" fillId="61" borderId="0" xfId="0" applyFill="1"/>
    <xf numFmtId="0" fontId="0" fillId="62" borderId="0" xfId="0" applyFill="1"/>
    <xf numFmtId="0" fontId="0" fillId="129" borderId="0" xfId="0" applyFill="1"/>
    <xf numFmtId="0" fontId="0" fillId="63" borderId="0" xfId="0" applyFill="1"/>
    <xf numFmtId="0" fontId="0" fillId="66" borderId="0" xfId="0" applyFill="1"/>
    <xf numFmtId="0" fontId="0" fillId="115" borderId="0" xfId="0" applyFill="1"/>
    <xf numFmtId="0" fontId="0" fillId="114" borderId="0" xfId="0" applyFill="1"/>
    <xf numFmtId="0" fontId="0" fillId="67" borderId="0" xfId="0" applyFill="1"/>
    <xf numFmtId="0" fontId="0" fillId="68" borderId="0" xfId="0" applyFill="1"/>
    <xf numFmtId="0" fontId="0" fillId="126" borderId="0" xfId="0" applyFill="1"/>
    <xf numFmtId="0" fontId="0" fillId="137" borderId="0" xfId="0" applyFill="1"/>
    <xf numFmtId="0" fontId="0" fillId="69" borderId="0" xfId="0" applyFill="1"/>
    <xf numFmtId="0" fontId="0" fillId="70" borderId="0" xfId="0" applyFill="1"/>
    <xf numFmtId="0" fontId="0" fillId="132" borderId="0" xfId="0" applyFill="1"/>
    <xf numFmtId="0" fontId="0" fillId="71" borderId="0" xfId="0" applyFill="1"/>
    <xf numFmtId="0" fontId="0" fillId="72" borderId="0" xfId="0" applyFill="1"/>
    <xf numFmtId="0" fontId="0" fillId="73" borderId="0" xfId="0" applyFill="1"/>
    <xf numFmtId="0" fontId="0" fillId="117" borderId="0" xfId="0" applyFill="1"/>
    <xf numFmtId="0" fontId="0" fillId="96" borderId="0" xfId="0" applyFill="1"/>
    <xf numFmtId="0" fontId="0" fillId="74" borderId="0" xfId="0" applyFill="1"/>
    <xf numFmtId="0" fontId="0" fillId="110" borderId="0" xfId="0" applyFill="1"/>
    <xf numFmtId="0" fontId="0" fillId="127" borderId="0" xfId="0" applyFill="1"/>
    <xf numFmtId="0" fontId="0" fillId="75" borderId="0" xfId="0" applyFill="1"/>
    <xf numFmtId="0" fontId="0" fillId="76" borderId="0" xfId="0" applyFill="1"/>
    <xf numFmtId="0" fontId="0" fillId="141" borderId="0" xfId="0" applyFill="1"/>
    <xf numFmtId="0" fontId="0" fillId="77" borderId="0" xfId="0" applyFill="1"/>
    <xf numFmtId="0" fontId="0" fillId="78" borderId="0" xfId="0" applyFill="1"/>
    <xf numFmtId="0" fontId="0" fillId="135" borderId="0" xfId="0" applyFill="1"/>
    <xf numFmtId="0" fontId="0" fillId="79" borderId="0" xfId="0" applyFill="1"/>
    <xf numFmtId="0" fontId="0" fillId="142" borderId="0" xfId="0" applyFill="1"/>
    <xf numFmtId="0" fontId="0" fillId="80"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0" fillId="192" borderId="0" xfId="0" applyFill="1"/>
    <xf numFmtId="0" fontId="0" fillId="193" borderId="0" xfId="0" applyFill="1"/>
    <xf numFmtId="0" fontId="0" fillId="194" borderId="0" xfId="0" applyFill="1"/>
    <xf numFmtId="0" fontId="0" fillId="195" borderId="0" xfId="0" applyFill="1"/>
    <xf numFmtId="0" fontId="0" fillId="196" borderId="0" xfId="0" applyFill="1"/>
    <xf numFmtId="0" fontId="0" fillId="197" borderId="0" xfId="0" applyFill="1"/>
    <xf numFmtId="0" fontId="0" fillId="198" borderId="0" xfId="0" applyFill="1"/>
    <xf numFmtId="0" fontId="0" fillId="199" borderId="0" xfId="0" applyFill="1"/>
    <xf numFmtId="0" fontId="0" fillId="200" borderId="0" xfId="0" applyFill="1"/>
    <xf numFmtId="0" fontId="0" fillId="201" borderId="0" xfId="0" applyFill="1"/>
    <xf numFmtId="0" fontId="0" fillId="202" borderId="0" xfId="0" applyFill="1"/>
    <xf numFmtId="0" fontId="0" fillId="203" borderId="0" xfId="0" applyFill="1"/>
    <xf numFmtId="0" fontId="0" fillId="204" borderId="0" xfId="0" applyFill="1"/>
    <xf numFmtId="0" fontId="0" fillId="205" borderId="0" xfId="0" applyFill="1"/>
    <xf numFmtId="0" fontId="0" fillId="206" borderId="0" xfId="0" applyFill="1"/>
    <xf numFmtId="0" fontId="0" fillId="207" borderId="0" xfId="0" applyFill="1"/>
    <xf numFmtId="0" fontId="0" fillId="208" borderId="0" xfId="0" applyFill="1"/>
    <xf numFmtId="0" fontId="0" fillId="209" borderId="0" xfId="0" applyFill="1"/>
    <xf numFmtId="0" fontId="0" fillId="210" borderId="0" xfId="0" applyFill="1"/>
    <xf numFmtId="0" fontId="0" fillId="211" borderId="0" xfId="0" applyFill="1"/>
    <xf numFmtId="0" fontId="0" fillId="212" borderId="0" xfId="0" applyFill="1"/>
    <xf numFmtId="0" fontId="0" fillId="213" borderId="0" xfId="0" applyFill="1"/>
    <xf numFmtId="0" fontId="0" fillId="214" borderId="0" xfId="0" applyFill="1"/>
    <xf numFmtId="0" fontId="0" fillId="215" borderId="0" xfId="0" applyFill="1"/>
    <xf numFmtId="0" fontId="0" fillId="216" borderId="0" xfId="0" applyFill="1"/>
    <xf numFmtId="0" fontId="0" fillId="217" borderId="0" xfId="0" applyFill="1"/>
    <xf numFmtId="0" fontId="0" fillId="218" borderId="0" xfId="0" applyFill="1"/>
    <xf numFmtId="0" fontId="0" fillId="219" borderId="0" xfId="0" applyFill="1"/>
    <xf numFmtId="0" fontId="0" fillId="220" borderId="0" xfId="0" applyFill="1"/>
    <xf numFmtId="0" fontId="0" fillId="221" borderId="0" xfId="0" applyFill="1"/>
    <xf numFmtId="0" fontId="0" fillId="222" borderId="0" xfId="0" applyFill="1"/>
    <xf numFmtId="0" fontId="0" fillId="223" borderId="0" xfId="0" applyFill="1"/>
    <xf numFmtId="0" fontId="0" fillId="224" borderId="0" xfId="0" applyFill="1"/>
    <xf numFmtId="0" fontId="0" fillId="225" borderId="0" xfId="0" applyFill="1"/>
    <xf numFmtId="0" fontId="0" fillId="226" borderId="0" xfId="0" applyFill="1"/>
    <xf numFmtId="0" fontId="0" fillId="227" borderId="0" xfId="0" applyFill="1"/>
    <xf numFmtId="0" fontId="0" fillId="228" borderId="0" xfId="0" applyFill="1"/>
    <xf numFmtId="0" fontId="0" fillId="229" borderId="0" xfId="0" applyFill="1"/>
    <xf numFmtId="0" fontId="0" fillId="230" borderId="0" xfId="0" applyFill="1"/>
    <xf numFmtId="0" fontId="0" fillId="231" borderId="0" xfId="0" applyFill="1"/>
    <xf numFmtId="0" fontId="0" fillId="232" borderId="0" xfId="0" applyFill="1"/>
    <xf numFmtId="0" fontId="0" fillId="233" borderId="0" xfId="0" applyFill="1"/>
    <xf numFmtId="0" fontId="0" fillId="234" borderId="0" xfId="0" applyFill="1"/>
    <xf numFmtId="0" fontId="0" fillId="235" borderId="0" xfId="0" applyFill="1"/>
    <xf numFmtId="0" fontId="0" fillId="236" borderId="0" xfId="0" applyFill="1"/>
    <xf numFmtId="0" fontId="0" fillId="237" borderId="0" xfId="0" applyFill="1"/>
    <xf numFmtId="0" fontId="0" fillId="238" borderId="0" xfId="0" applyFill="1"/>
    <xf numFmtId="0" fontId="0" fillId="239" borderId="0" xfId="0" applyFill="1"/>
    <xf numFmtId="0" fontId="0" fillId="240" borderId="0" xfId="0" applyFill="1"/>
    <xf numFmtId="0" fontId="0" fillId="241" borderId="0" xfId="0" applyFill="1"/>
    <xf numFmtId="0" fontId="0" fillId="242" borderId="0" xfId="0" applyFill="1"/>
    <xf numFmtId="0" fontId="0" fillId="243" borderId="0" xfId="0" applyFill="1"/>
    <xf numFmtId="0" fontId="0" fillId="244" borderId="0" xfId="0" applyFill="1"/>
    <xf numFmtId="0" fontId="0" fillId="245" borderId="0" xfId="0" applyFill="1"/>
    <xf numFmtId="0" fontId="0" fillId="246" borderId="0" xfId="0" applyFill="1"/>
    <xf numFmtId="0" fontId="0" fillId="247" borderId="0" xfId="0" applyFill="1"/>
    <xf numFmtId="0" fontId="0" fillId="248" borderId="0" xfId="0" applyFill="1"/>
    <xf numFmtId="0" fontId="0" fillId="249" borderId="0" xfId="0" applyFill="1"/>
    <xf numFmtId="0" fontId="0" fillId="250" borderId="0" xfId="0" applyFill="1"/>
    <xf numFmtId="0" fontId="0" fillId="251" borderId="0" xfId="0" applyFill="1"/>
    <xf numFmtId="0" fontId="0" fillId="252" borderId="0" xfId="0" applyFill="1"/>
    <xf numFmtId="0" fontId="0" fillId="253" borderId="0" xfId="0" applyFill="1"/>
    <xf numFmtId="0" fontId="0" fillId="254" borderId="0" xfId="0" applyFill="1"/>
    <xf numFmtId="0" fontId="0" fillId="255" borderId="0" xfId="0" applyFill="1"/>
    <xf numFmtId="0" fontId="0" fillId="256" borderId="0" xfId="0" applyFill="1"/>
    <xf numFmtId="0" fontId="0" fillId="257" borderId="0" xfId="0" applyFill="1"/>
    <xf numFmtId="0" fontId="0" fillId="258" borderId="0" xfId="0" applyFill="1"/>
    <xf numFmtId="0" fontId="0" fillId="259" borderId="0" xfId="0" applyFill="1"/>
    <xf numFmtId="0" fontId="0" fillId="260" borderId="0" xfId="0" applyFill="1"/>
    <xf numFmtId="0" fontId="0" fillId="261" borderId="0" xfId="0" applyFill="1"/>
    <xf numFmtId="0" fontId="0" fillId="262" borderId="0" xfId="0" applyFill="1"/>
    <xf numFmtId="0" fontId="0" fillId="263" borderId="0" xfId="0" applyFill="1"/>
    <xf numFmtId="0" fontId="0" fillId="264" borderId="0" xfId="0" applyFill="1"/>
    <xf numFmtId="0" fontId="0" fillId="265" borderId="0" xfId="0" applyFill="1"/>
    <xf numFmtId="0" fontId="0" fillId="266" borderId="0" xfId="0" applyFill="1"/>
    <xf numFmtId="0" fontId="0" fillId="267" borderId="0" xfId="0" applyFill="1"/>
    <xf numFmtId="0" fontId="0" fillId="268" borderId="0" xfId="0" applyFill="1"/>
    <xf numFmtId="0" fontId="0" fillId="269" borderId="0" xfId="0" applyFill="1"/>
    <xf numFmtId="0" fontId="0" fillId="270" borderId="0" xfId="0" applyFill="1"/>
    <xf numFmtId="0" fontId="0" fillId="271" borderId="0" xfId="0" applyFill="1"/>
    <xf numFmtId="0" fontId="0" fillId="272" borderId="0" xfId="0" applyFill="1"/>
    <xf numFmtId="0" fontId="0" fillId="273" borderId="0" xfId="0" applyFill="1"/>
    <xf numFmtId="0" fontId="0" fillId="274" borderId="0" xfId="0" applyFill="1"/>
    <xf numFmtId="0" fontId="0" fillId="275" borderId="0" xfId="0" applyFill="1"/>
    <xf numFmtId="0" fontId="0" fillId="276" borderId="0" xfId="0" applyFill="1"/>
    <xf numFmtId="0" fontId="0" fillId="277" borderId="0" xfId="0" applyFill="1"/>
    <xf numFmtId="0" fontId="0" fillId="278" borderId="0" xfId="0" applyFill="1"/>
    <xf numFmtId="0" fontId="0" fillId="279" borderId="0" xfId="0" applyFill="1"/>
  </cellXfs>
  <cellStyles count="511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9"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015" builtinId="9" hidden="1"/>
    <cellStyle name="Followed Hyperlink" xfId="4017" builtinId="9" hidden="1"/>
    <cellStyle name="Followed Hyperlink" xfId="4019" builtinId="9" hidden="1"/>
    <cellStyle name="Followed Hyperlink" xfId="4021" builtinId="9" hidden="1"/>
    <cellStyle name="Followed Hyperlink" xfId="4023" builtinId="9" hidden="1"/>
    <cellStyle name="Followed Hyperlink" xfId="4025" builtinId="9" hidden="1"/>
    <cellStyle name="Followed Hyperlink" xfId="4027" builtinId="9" hidden="1"/>
    <cellStyle name="Followed Hyperlink" xfId="4029" builtinId="9" hidden="1"/>
    <cellStyle name="Followed Hyperlink" xfId="4031" builtinId="9" hidden="1"/>
    <cellStyle name="Followed Hyperlink" xfId="4033" builtinId="9" hidden="1"/>
    <cellStyle name="Followed Hyperlink" xfId="4035" builtinId="9" hidden="1"/>
    <cellStyle name="Followed Hyperlink" xfId="4037" builtinId="9" hidden="1"/>
    <cellStyle name="Followed Hyperlink" xfId="4039" builtinId="9" hidden="1"/>
    <cellStyle name="Followed Hyperlink" xfId="4041" builtinId="9" hidden="1"/>
    <cellStyle name="Followed Hyperlink" xfId="4043" builtinId="9" hidden="1"/>
    <cellStyle name="Followed Hyperlink" xfId="4045" builtinId="9" hidden="1"/>
    <cellStyle name="Followed Hyperlink" xfId="4047" builtinId="9" hidden="1"/>
    <cellStyle name="Followed Hyperlink" xfId="4049" builtinId="9" hidden="1"/>
    <cellStyle name="Followed Hyperlink" xfId="4051" builtinId="9" hidden="1"/>
    <cellStyle name="Followed Hyperlink" xfId="4053" builtinId="9" hidden="1"/>
    <cellStyle name="Followed Hyperlink" xfId="4055" builtinId="9" hidden="1"/>
    <cellStyle name="Followed Hyperlink" xfId="4057" builtinId="9" hidden="1"/>
    <cellStyle name="Followed Hyperlink" xfId="4059" builtinId="9" hidden="1"/>
    <cellStyle name="Followed Hyperlink" xfId="4061" builtinId="9" hidden="1"/>
    <cellStyle name="Followed Hyperlink" xfId="4063" builtinId="9" hidden="1"/>
    <cellStyle name="Followed Hyperlink" xfId="4065" builtinId="9" hidden="1"/>
    <cellStyle name="Followed Hyperlink" xfId="4067" builtinId="9" hidden="1"/>
    <cellStyle name="Followed Hyperlink" xfId="4069" builtinId="9" hidden="1"/>
    <cellStyle name="Followed Hyperlink" xfId="4071" builtinId="9" hidden="1"/>
    <cellStyle name="Followed Hyperlink" xfId="4073" builtinId="9" hidden="1"/>
    <cellStyle name="Followed Hyperlink" xfId="4075" builtinId="9" hidden="1"/>
    <cellStyle name="Followed Hyperlink" xfId="4077" builtinId="9" hidden="1"/>
    <cellStyle name="Followed Hyperlink" xfId="4079" builtinId="9" hidden="1"/>
    <cellStyle name="Followed Hyperlink" xfId="4081" builtinId="9" hidden="1"/>
    <cellStyle name="Followed Hyperlink" xfId="4083" builtinId="9" hidden="1"/>
    <cellStyle name="Followed Hyperlink" xfId="4085" builtinId="9" hidden="1"/>
    <cellStyle name="Followed Hyperlink" xfId="4087" builtinId="9" hidden="1"/>
    <cellStyle name="Followed Hyperlink" xfId="4089" builtinId="9" hidden="1"/>
    <cellStyle name="Followed Hyperlink" xfId="4091" builtinId="9" hidden="1"/>
    <cellStyle name="Followed Hyperlink" xfId="4093" builtinId="9" hidden="1"/>
    <cellStyle name="Followed Hyperlink" xfId="4095" builtinId="9" hidden="1"/>
    <cellStyle name="Followed Hyperlink" xfId="4097" builtinId="9" hidden="1"/>
    <cellStyle name="Followed Hyperlink" xfId="4099" builtinId="9" hidden="1"/>
    <cellStyle name="Followed Hyperlink" xfId="4101" builtinId="9" hidden="1"/>
    <cellStyle name="Followed Hyperlink" xfId="4103" builtinId="9" hidden="1"/>
    <cellStyle name="Followed Hyperlink" xfId="4105" builtinId="9" hidden="1"/>
    <cellStyle name="Followed Hyperlink" xfId="4107" builtinId="9" hidden="1"/>
    <cellStyle name="Followed Hyperlink" xfId="4109" builtinId="9" hidden="1"/>
    <cellStyle name="Followed Hyperlink" xfId="4111" builtinId="9" hidden="1"/>
    <cellStyle name="Followed Hyperlink" xfId="4113" builtinId="9" hidden="1"/>
    <cellStyle name="Followed Hyperlink" xfId="4115" builtinId="9" hidden="1"/>
    <cellStyle name="Followed Hyperlink" xfId="4117" builtinId="9" hidden="1"/>
    <cellStyle name="Followed Hyperlink" xfId="4119" builtinId="9" hidden="1"/>
    <cellStyle name="Followed Hyperlink" xfId="4121" builtinId="9" hidden="1"/>
    <cellStyle name="Followed Hyperlink" xfId="4123" builtinId="9" hidden="1"/>
    <cellStyle name="Followed Hyperlink" xfId="4125" builtinId="9" hidden="1"/>
    <cellStyle name="Followed Hyperlink" xfId="4127" builtinId="9" hidden="1"/>
    <cellStyle name="Followed Hyperlink" xfId="4129" builtinId="9" hidden="1"/>
    <cellStyle name="Followed Hyperlink" xfId="4131" builtinId="9" hidden="1"/>
    <cellStyle name="Followed Hyperlink" xfId="4133" builtinId="9" hidden="1"/>
    <cellStyle name="Followed Hyperlink" xfId="4135" builtinId="9" hidden="1"/>
    <cellStyle name="Followed Hyperlink" xfId="4137" builtinId="9" hidden="1"/>
    <cellStyle name="Followed Hyperlink" xfId="4139" builtinId="9" hidden="1"/>
    <cellStyle name="Followed Hyperlink" xfId="4141" builtinId="9" hidden="1"/>
    <cellStyle name="Followed Hyperlink" xfId="4143" builtinId="9" hidden="1"/>
    <cellStyle name="Followed Hyperlink" xfId="4145" builtinId="9" hidden="1"/>
    <cellStyle name="Followed Hyperlink" xfId="4147" builtinId="9" hidden="1"/>
    <cellStyle name="Followed Hyperlink" xfId="4149" builtinId="9" hidden="1"/>
    <cellStyle name="Followed Hyperlink" xfId="4151" builtinId="9" hidden="1"/>
    <cellStyle name="Followed Hyperlink" xfId="4153" builtinId="9" hidden="1"/>
    <cellStyle name="Followed Hyperlink" xfId="4155" builtinId="9" hidden="1"/>
    <cellStyle name="Followed Hyperlink" xfId="4157" builtinId="9" hidden="1"/>
    <cellStyle name="Followed Hyperlink" xfId="4159" builtinId="9" hidden="1"/>
    <cellStyle name="Followed Hyperlink" xfId="4161" builtinId="9" hidden="1"/>
    <cellStyle name="Followed Hyperlink" xfId="4163" builtinId="9" hidden="1"/>
    <cellStyle name="Followed Hyperlink" xfId="4165" builtinId="9" hidden="1"/>
    <cellStyle name="Followed Hyperlink" xfId="4167" builtinId="9" hidden="1"/>
    <cellStyle name="Followed Hyperlink" xfId="4169" builtinId="9" hidden="1"/>
    <cellStyle name="Followed Hyperlink" xfId="4171" builtinId="9" hidden="1"/>
    <cellStyle name="Followed Hyperlink" xfId="4173" builtinId="9" hidden="1"/>
    <cellStyle name="Followed Hyperlink" xfId="4175" builtinId="9" hidden="1"/>
    <cellStyle name="Followed Hyperlink" xfId="4177" builtinId="9" hidden="1"/>
    <cellStyle name="Followed Hyperlink" xfId="4179" builtinId="9" hidden="1"/>
    <cellStyle name="Followed Hyperlink" xfId="4181" builtinId="9" hidden="1"/>
    <cellStyle name="Followed Hyperlink" xfId="4183" builtinId="9" hidden="1"/>
    <cellStyle name="Followed Hyperlink" xfId="4185" builtinId="9" hidden="1"/>
    <cellStyle name="Followed Hyperlink" xfId="4187" builtinId="9" hidden="1"/>
    <cellStyle name="Followed Hyperlink" xfId="4189" builtinId="9" hidden="1"/>
    <cellStyle name="Followed Hyperlink" xfId="4191" builtinId="9" hidden="1"/>
    <cellStyle name="Followed Hyperlink" xfId="4193" builtinId="9" hidden="1"/>
    <cellStyle name="Followed Hyperlink" xfId="4195" builtinId="9" hidden="1"/>
    <cellStyle name="Followed Hyperlink" xfId="4197" builtinId="9" hidden="1"/>
    <cellStyle name="Followed Hyperlink" xfId="4199" builtinId="9" hidden="1"/>
    <cellStyle name="Followed Hyperlink" xfId="4201" builtinId="9" hidden="1"/>
    <cellStyle name="Followed Hyperlink" xfId="4203" builtinId="9" hidden="1"/>
    <cellStyle name="Followed Hyperlink" xfId="4205" builtinId="9" hidden="1"/>
    <cellStyle name="Followed Hyperlink" xfId="4207" builtinId="9" hidden="1"/>
    <cellStyle name="Followed Hyperlink" xfId="4209" builtinId="9" hidden="1"/>
    <cellStyle name="Followed Hyperlink" xfId="4211" builtinId="9" hidden="1"/>
    <cellStyle name="Followed Hyperlink" xfId="4213" builtinId="9" hidden="1"/>
    <cellStyle name="Followed Hyperlink" xfId="4215" builtinId="9" hidden="1"/>
    <cellStyle name="Followed Hyperlink" xfId="4217" builtinId="9" hidden="1"/>
    <cellStyle name="Followed Hyperlink" xfId="4219" builtinId="9" hidden="1"/>
    <cellStyle name="Followed Hyperlink" xfId="4221" builtinId="9" hidden="1"/>
    <cellStyle name="Followed Hyperlink" xfId="4223" builtinId="9" hidden="1"/>
    <cellStyle name="Followed Hyperlink" xfId="4225" builtinId="9" hidden="1"/>
    <cellStyle name="Followed Hyperlink" xfId="4227" builtinId="9" hidden="1"/>
    <cellStyle name="Followed Hyperlink" xfId="4229" builtinId="9" hidden="1"/>
    <cellStyle name="Followed Hyperlink" xfId="4231" builtinId="9" hidden="1"/>
    <cellStyle name="Followed Hyperlink" xfId="4233" builtinId="9" hidden="1"/>
    <cellStyle name="Followed Hyperlink" xfId="4235" builtinId="9" hidden="1"/>
    <cellStyle name="Followed Hyperlink" xfId="4237" builtinId="9" hidden="1"/>
    <cellStyle name="Followed Hyperlink" xfId="4239" builtinId="9" hidden="1"/>
    <cellStyle name="Followed Hyperlink" xfId="4241" builtinId="9" hidden="1"/>
    <cellStyle name="Followed Hyperlink" xfId="4243" builtinId="9" hidden="1"/>
    <cellStyle name="Followed Hyperlink" xfId="4245" builtinId="9" hidden="1"/>
    <cellStyle name="Followed Hyperlink" xfId="4247" builtinId="9" hidden="1"/>
    <cellStyle name="Followed Hyperlink" xfId="4249" builtinId="9" hidden="1"/>
    <cellStyle name="Followed Hyperlink" xfId="4251" builtinId="9" hidden="1"/>
    <cellStyle name="Followed Hyperlink" xfId="4253" builtinId="9" hidden="1"/>
    <cellStyle name="Followed Hyperlink" xfId="4255" builtinId="9" hidden="1"/>
    <cellStyle name="Followed Hyperlink" xfId="4257" builtinId="9" hidden="1"/>
    <cellStyle name="Followed Hyperlink" xfId="4259" builtinId="9" hidden="1"/>
    <cellStyle name="Followed Hyperlink" xfId="4261" builtinId="9" hidden="1"/>
    <cellStyle name="Followed Hyperlink" xfId="4263" builtinId="9" hidden="1"/>
    <cellStyle name="Followed Hyperlink" xfId="4265" builtinId="9" hidden="1"/>
    <cellStyle name="Followed Hyperlink" xfId="4267" builtinId="9" hidden="1"/>
    <cellStyle name="Followed Hyperlink" xfId="4269" builtinId="9" hidden="1"/>
    <cellStyle name="Followed Hyperlink" xfId="4271" builtinId="9" hidden="1"/>
    <cellStyle name="Followed Hyperlink" xfId="4273" builtinId="9" hidden="1"/>
    <cellStyle name="Followed Hyperlink" xfId="4275" builtinId="9" hidden="1"/>
    <cellStyle name="Followed Hyperlink" xfId="4277" builtinId="9" hidden="1"/>
    <cellStyle name="Followed Hyperlink" xfId="4279" builtinId="9" hidden="1"/>
    <cellStyle name="Followed Hyperlink" xfId="4281" builtinId="9" hidden="1"/>
    <cellStyle name="Followed Hyperlink" xfId="4283" builtinId="9" hidden="1"/>
    <cellStyle name="Followed Hyperlink" xfId="4285" builtinId="9" hidden="1"/>
    <cellStyle name="Followed Hyperlink" xfId="4287" builtinId="9" hidden="1"/>
    <cellStyle name="Followed Hyperlink" xfId="4289" builtinId="9" hidden="1"/>
    <cellStyle name="Followed Hyperlink" xfId="4291" builtinId="9" hidden="1"/>
    <cellStyle name="Followed Hyperlink" xfId="4293" builtinId="9" hidden="1"/>
    <cellStyle name="Followed Hyperlink" xfId="4295" builtinId="9" hidden="1"/>
    <cellStyle name="Followed Hyperlink" xfId="4297" builtinId="9" hidden="1"/>
    <cellStyle name="Followed Hyperlink" xfId="4299" builtinId="9" hidden="1"/>
    <cellStyle name="Followed Hyperlink" xfId="4301" builtinId="9" hidden="1"/>
    <cellStyle name="Followed Hyperlink" xfId="4303" builtinId="9" hidden="1"/>
    <cellStyle name="Followed Hyperlink" xfId="4305" builtinId="9" hidden="1"/>
    <cellStyle name="Followed Hyperlink" xfId="4307" builtinId="9" hidden="1"/>
    <cellStyle name="Followed Hyperlink" xfId="4309" builtinId="9" hidden="1"/>
    <cellStyle name="Followed Hyperlink" xfId="4311" builtinId="9" hidden="1"/>
    <cellStyle name="Followed Hyperlink" xfId="4313" builtinId="9" hidden="1"/>
    <cellStyle name="Followed Hyperlink" xfId="4315" builtinId="9" hidden="1"/>
    <cellStyle name="Followed Hyperlink" xfId="4317" builtinId="9" hidden="1"/>
    <cellStyle name="Followed Hyperlink" xfId="4319" builtinId="9" hidden="1"/>
    <cellStyle name="Followed Hyperlink" xfId="4321" builtinId="9" hidden="1"/>
    <cellStyle name="Followed Hyperlink" xfId="4323" builtinId="9" hidden="1"/>
    <cellStyle name="Followed Hyperlink" xfId="4325" builtinId="9" hidden="1"/>
    <cellStyle name="Followed Hyperlink" xfId="4327" builtinId="9" hidden="1"/>
    <cellStyle name="Followed Hyperlink" xfId="4329" builtinId="9" hidden="1"/>
    <cellStyle name="Followed Hyperlink" xfId="4331" builtinId="9" hidden="1"/>
    <cellStyle name="Followed Hyperlink" xfId="4333" builtinId="9" hidden="1"/>
    <cellStyle name="Followed Hyperlink" xfId="4335" builtinId="9" hidden="1"/>
    <cellStyle name="Followed Hyperlink" xfId="4337" builtinId="9" hidden="1"/>
    <cellStyle name="Followed Hyperlink" xfId="4339" builtinId="9" hidden="1"/>
    <cellStyle name="Followed Hyperlink" xfId="4341" builtinId="9" hidden="1"/>
    <cellStyle name="Followed Hyperlink" xfId="4343"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3"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1" builtinId="9" hidden="1"/>
    <cellStyle name="Followed Hyperlink" xfId="4393" builtinId="9" hidden="1"/>
    <cellStyle name="Followed Hyperlink" xfId="4395" builtinId="9" hidden="1"/>
    <cellStyle name="Followed Hyperlink" xfId="4397" builtinId="9" hidden="1"/>
    <cellStyle name="Followed Hyperlink" xfId="4399" builtinId="9" hidden="1"/>
    <cellStyle name="Followed Hyperlink" xfId="4401" builtinId="9" hidden="1"/>
    <cellStyle name="Followed Hyperlink" xfId="4403" builtinId="9" hidden="1"/>
    <cellStyle name="Followed Hyperlink" xfId="4405" builtinId="9" hidden="1"/>
    <cellStyle name="Followed Hyperlink" xfId="4407" builtinId="9" hidden="1"/>
    <cellStyle name="Followed Hyperlink" xfId="4409" builtinId="9" hidden="1"/>
    <cellStyle name="Followed Hyperlink" xfId="4411" builtinId="9" hidden="1"/>
    <cellStyle name="Followed Hyperlink" xfId="4413" builtinId="9" hidden="1"/>
    <cellStyle name="Followed Hyperlink" xfId="4415" builtinId="9" hidden="1"/>
    <cellStyle name="Followed Hyperlink" xfId="4417" builtinId="9" hidden="1"/>
    <cellStyle name="Followed Hyperlink" xfId="4419" builtinId="9" hidden="1"/>
    <cellStyle name="Followed Hyperlink" xfId="4421" builtinId="9" hidden="1"/>
    <cellStyle name="Followed Hyperlink" xfId="4423" builtinId="9" hidden="1"/>
    <cellStyle name="Followed Hyperlink" xfId="4425" builtinId="9" hidden="1"/>
    <cellStyle name="Followed Hyperlink" xfId="4427" builtinId="9" hidden="1"/>
    <cellStyle name="Followed Hyperlink" xfId="4429" builtinId="9" hidden="1"/>
    <cellStyle name="Followed Hyperlink" xfId="4431" builtinId="9" hidden="1"/>
    <cellStyle name="Followed Hyperlink" xfId="4433" builtinId="9" hidden="1"/>
    <cellStyle name="Followed Hyperlink" xfId="4435" builtinId="9" hidden="1"/>
    <cellStyle name="Followed Hyperlink" xfId="4437" builtinId="9" hidden="1"/>
    <cellStyle name="Followed Hyperlink" xfId="4439" builtinId="9" hidden="1"/>
    <cellStyle name="Followed Hyperlink" xfId="4441" builtinId="9" hidden="1"/>
    <cellStyle name="Followed Hyperlink" xfId="4443" builtinId="9" hidden="1"/>
    <cellStyle name="Followed Hyperlink" xfId="4445" builtinId="9" hidden="1"/>
    <cellStyle name="Followed Hyperlink" xfId="4447" builtinId="9" hidden="1"/>
    <cellStyle name="Followed Hyperlink" xfId="4449" builtinId="9" hidden="1"/>
    <cellStyle name="Followed Hyperlink" xfId="4451" builtinId="9" hidden="1"/>
    <cellStyle name="Followed Hyperlink" xfId="4453" builtinId="9" hidden="1"/>
    <cellStyle name="Followed Hyperlink" xfId="4455" builtinId="9" hidden="1"/>
    <cellStyle name="Followed Hyperlink" xfId="4457" builtinId="9" hidden="1"/>
    <cellStyle name="Followed Hyperlink" xfId="4459" builtinId="9" hidden="1"/>
    <cellStyle name="Followed Hyperlink" xfId="4461" builtinId="9" hidden="1"/>
    <cellStyle name="Followed Hyperlink" xfId="4463" builtinId="9" hidden="1"/>
    <cellStyle name="Followed Hyperlink" xfId="4465" builtinId="9" hidden="1"/>
    <cellStyle name="Followed Hyperlink" xfId="4467" builtinId="9" hidden="1"/>
    <cellStyle name="Followed Hyperlink" xfId="4469" builtinId="9" hidden="1"/>
    <cellStyle name="Followed Hyperlink" xfId="4471" builtinId="9" hidden="1"/>
    <cellStyle name="Followed Hyperlink" xfId="4473" builtinId="9" hidden="1"/>
    <cellStyle name="Followed Hyperlink" xfId="4475" builtinId="9" hidden="1"/>
    <cellStyle name="Followed Hyperlink" xfId="4477" builtinId="9" hidden="1"/>
    <cellStyle name="Followed Hyperlink" xfId="4479" builtinId="9" hidden="1"/>
    <cellStyle name="Followed Hyperlink" xfId="4481" builtinId="9" hidden="1"/>
    <cellStyle name="Followed Hyperlink" xfId="4483" builtinId="9" hidden="1"/>
    <cellStyle name="Followed Hyperlink" xfId="4485" builtinId="9" hidden="1"/>
    <cellStyle name="Followed Hyperlink" xfId="4487" builtinId="9" hidden="1"/>
    <cellStyle name="Followed Hyperlink" xfId="4489" builtinId="9" hidden="1"/>
    <cellStyle name="Followed Hyperlink" xfId="4491" builtinId="9" hidden="1"/>
    <cellStyle name="Followed Hyperlink" xfId="4493" builtinId="9" hidden="1"/>
    <cellStyle name="Followed Hyperlink" xfId="4495" builtinId="9" hidden="1"/>
    <cellStyle name="Followed Hyperlink" xfId="4497" builtinId="9" hidden="1"/>
    <cellStyle name="Followed Hyperlink" xfId="4499" builtinId="9" hidden="1"/>
    <cellStyle name="Followed Hyperlink" xfId="4501" builtinId="9" hidden="1"/>
    <cellStyle name="Followed Hyperlink" xfId="4503" builtinId="9" hidden="1"/>
    <cellStyle name="Followed Hyperlink" xfId="4505" builtinId="9" hidden="1"/>
    <cellStyle name="Followed Hyperlink" xfId="4507" builtinId="9" hidden="1"/>
    <cellStyle name="Followed Hyperlink" xfId="4509" builtinId="9" hidden="1"/>
    <cellStyle name="Followed Hyperlink" xfId="4511" builtinId="9" hidden="1"/>
    <cellStyle name="Followed Hyperlink" xfId="4513" builtinId="9" hidden="1"/>
    <cellStyle name="Followed Hyperlink" xfId="4515" builtinId="9" hidden="1"/>
    <cellStyle name="Followed Hyperlink" xfId="4517" builtinId="9" hidden="1"/>
    <cellStyle name="Followed Hyperlink" xfId="4519" builtinId="9" hidden="1"/>
    <cellStyle name="Followed Hyperlink" xfId="4521" builtinId="9" hidden="1"/>
    <cellStyle name="Followed Hyperlink" xfId="4523" builtinId="9" hidden="1"/>
    <cellStyle name="Followed Hyperlink" xfId="4525" builtinId="9" hidden="1"/>
    <cellStyle name="Followed Hyperlink" xfId="4527" builtinId="9" hidden="1"/>
    <cellStyle name="Followed Hyperlink" xfId="4529" builtinId="9" hidden="1"/>
    <cellStyle name="Followed Hyperlink" xfId="4531" builtinId="9" hidden="1"/>
    <cellStyle name="Followed Hyperlink" xfId="4533" builtinId="9" hidden="1"/>
    <cellStyle name="Followed Hyperlink" xfId="4535" builtinId="9" hidden="1"/>
    <cellStyle name="Followed Hyperlink" xfId="4537" builtinId="9" hidden="1"/>
    <cellStyle name="Followed Hyperlink" xfId="4539" builtinId="9" hidden="1"/>
    <cellStyle name="Followed Hyperlink" xfId="4541" builtinId="9" hidden="1"/>
    <cellStyle name="Followed Hyperlink" xfId="4543" builtinId="9" hidden="1"/>
    <cellStyle name="Followed Hyperlink" xfId="4545" builtinId="9" hidden="1"/>
    <cellStyle name="Followed Hyperlink" xfId="4547" builtinId="9" hidden="1"/>
    <cellStyle name="Followed Hyperlink" xfId="4549" builtinId="9" hidden="1"/>
    <cellStyle name="Followed Hyperlink" xfId="4551" builtinId="9" hidden="1"/>
    <cellStyle name="Followed Hyperlink" xfId="4553" builtinId="9" hidden="1"/>
    <cellStyle name="Followed Hyperlink" xfId="4555" builtinId="9" hidden="1"/>
    <cellStyle name="Followed Hyperlink" xfId="4557" builtinId="9" hidden="1"/>
    <cellStyle name="Followed Hyperlink" xfId="4559" builtinId="9" hidden="1"/>
    <cellStyle name="Followed Hyperlink" xfId="4561" builtinId="9" hidden="1"/>
    <cellStyle name="Followed Hyperlink" xfId="4563" builtinId="9" hidden="1"/>
    <cellStyle name="Followed Hyperlink" xfId="4565" builtinId="9" hidden="1"/>
    <cellStyle name="Followed Hyperlink" xfId="4567" builtinId="9" hidden="1"/>
    <cellStyle name="Followed Hyperlink" xfId="4569" builtinId="9" hidden="1"/>
    <cellStyle name="Followed Hyperlink" xfId="4571" builtinId="9" hidden="1"/>
    <cellStyle name="Followed Hyperlink" xfId="4573" builtinId="9" hidden="1"/>
    <cellStyle name="Followed Hyperlink" xfId="4575" builtinId="9" hidden="1"/>
    <cellStyle name="Followed Hyperlink" xfId="4577" builtinId="9" hidden="1"/>
    <cellStyle name="Followed Hyperlink" xfId="4579" builtinId="9" hidden="1"/>
    <cellStyle name="Followed Hyperlink" xfId="4581" builtinId="9" hidden="1"/>
    <cellStyle name="Followed Hyperlink" xfId="4583" builtinId="9" hidden="1"/>
    <cellStyle name="Followed Hyperlink" xfId="4585" builtinId="9" hidden="1"/>
    <cellStyle name="Followed Hyperlink" xfId="4587" builtinId="9" hidden="1"/>
    <cellStyle name="Followed Hyperlink" xfId="4589" builtinId="9" hidden="1"/>
    <cellStyle name="Followed Hyperlink" xfId="4591" builtinId="9" hidden="1"/>
    <cellStyle name="Followed Hyperlink" xfId="4593" builtinId="9" hidden="1"/>
    <cellStyle name="Followed Hyperlink" xfId="4595" builtinId="9" hidden="1"/>
    <cellStyle name="Followed Hyperlink" xfId="4597" builtinId="9" hidden="1"/>
    <cellStyle name="Followed Hyperlink" xfId="4599" builtinId="9" hidden="1"/>
    <cellStyle name="Followed Hyperlink" xfId="4601" builtinId="9" hidden="1"/>
    <cellStyle name="Followed Hyperlink" xfId="4603" builtinId="9" hidden="1"/>
    <cellStyle name="Followed Hyperlink" xfId="4605" builtinId="9" hidden="1"/>
    <cellStyle name="Followed Hyperlink" xfId="4607" builtinId="9" hidden="1"/>
    <cellStyle name="Followed Hyperlink" xfId="4609" builtinId="9" hidden="1"/>
    <cellStyle name="Followed Hyperlink" xfId="4611" builtinId="9" hidden="1"/>
    <cellStyle name="Followed Hyperlink" xfId="4613" builtinId="9" hidden="1"/>
    <cellStyle name="Followed Hyperlink" xfId="4615" builtinId="9" hidden="1"/>
    <cellStyle name="Followed Hyperlink" xfId="4617" builtinId="9" hidden="1"/>
    <cellStyle name="Followed Hyperlink" xfId="4619" builtinId="9" hidden="1"/>
    <cellStyle name="Followed Hyperlink" xfId="4621" builtinId="9" hidden="1"/>
    <cellStyle name="Followed Hyperlink" xfId="4623" builtinId="9" hidden="1"/>
    <cellStyle name="Followed Hyperlink" xfId="4625" builtinId="9" hidden="1"/>
    <cellStyle name="Followed Hyperlink" xfId="4627" builtinId="9" hidden="1"/>
    <cellStyle name="Followed Hyperlink" xfId="4629" builtinId="9" hidden="1"/>
    <cellStyle name="Followed Hyperlink" xfId="4631" builtinId="9" hidden="1"/>
    <cellStyle name="Followed Hyperlink" xfId="4633" builtinId="9" hidden="1"/>
    <cellStyle name="Followed Hyperlink" xfId="4635" builtinId="9" hidden="1"/>
    <cellStyle name="Followed Hyperlink" xfId="4637" builtinId="9" hidden="1"/>
    <cellStyle name="Followed Hyperlink" xfId="4639" builtinId="9" hidden="1"/>
    <cellStyle name="Followed Hyperlink" xfId="4641" builtinId="9" hidden="1"/>
    <cellStyle name="Followed Hyperlink" xfId="4643" builtinId="9" hidden="1"/>
    <cellStyle name="Followed Hyperlink" xfId="4645" builtinId="9" hidden="1"/>
    <cellStyle name="Followed Hyperlink" xfId="4647" builtinId="9" hidden="1"/>
    <cellStyle name="Followed Hyperlink" xfId="4649" builtinId="9" hidden="1"/>
    <cellStyle name="Followed Hyperlink" xfId="4651" builtinId="9" hidden="1"/>
    <cellStyle name="Followed Hyperlink" xfId="4653" builtinId="9" hidden="1"/>
    <cellStyle name="Followed Hyperlink" xfId="4655" builtinId="9" hidden="1"/>
    <cellStyle name="Followed Hyperlink" xfId="4657" builtinId="9" hidden="1"/>
    <cellStyle name="Followed Hyperlink" xfId="4659" builtinId="9" hidden="1"/>
    <cellStyle name="Followed Hyperlink" xfId="4661" builtinId="9" hidden="1"/>
    <cellStyle name="Followed Hyperlink" xfId="4663" builtinId="9" hidden="1"/>
    <cellStyle name="Followed Hyperlink" xfId="4665" builtinId="9" hidden="1"/>
    <cellStyle name="Followed Hyperlink" xfId="4667" builtinId="9" hidden="1"/>
    <cellStyle name="Followed Hyperlink" xfId="4669" builtinId="9" hidden="1"/>
    <cellStyle name="Followed Hyperlink" xfId="4671" builtinId="9" hidden="1"/>
    <cellStyle name="Followed Hyperlink" xfId="4673" builtinId="9" hidden="1"/>
    <cellStyle name="Followed Hyperlink" xfId="4675" builtinId="9" hidden="1"/>
    <cellStyle name="Followed Hyperlink" xfId="4677" builtinId="9" hidden="1"/>
    <cellStyle name="Followed Hyperlink" xfId="4679" builtinId="9" hidden="1"/>
    <cellStyle name="Followed Hyperlink" xfId="4681" builtinId="9" hidden="1"/>
    <cellStyle name="Followed Hyperlink" xfId="4683" builtinId="9" hidden="1"/>
    <cellStyle name="Followed Hyperlink" xfId="4685" builtinId="9" hidden="1"/>
    <cellStyle name="Followed Hyperlink" xfId="4687" builtinId="9" hidden="1"/>
    <cellStyle name="Followed Hyperlink" xfId="4689" builtinId="9" hidden="1"/>
    <cellStyle name="Followed Hyperlink" xfId="4691" builtinId="9" hidden="1"/>
    <cellStyle name="Followed Hyperlink" xfId="4693" builtinId="9" hidden="1"/>
    <cellStyle name="Followed Hyperlink" xfId="4695" builtinId="9" hidden="1"/>
    <cellStyle name="Followed Hyperlink" xfId="4697" builtinId="9" hidden="1"/>
    <cellStyle name="Followed Hyperlink" xfId="4699" builtinId="9" hidden="1"/>
    <cellStyle name="Followed Hyperlink" xfId="4701" builtinId="9" hidden="1"/>
    <cellStyle name="Followed Hyperlink" xfId="4703" builtinId="9" hidden="1"/>
    <cellStyle name="Followed Hyperlink" xfId="4705" builtinId="9" hidden="1"/>
    <cellStyle name="Followed Hyperlink" xfId="4707" builtinId="9" hidden="1"/>
    <cellStyle name="Followed Hyperlink" xfId="4709" builtinId="9" hidden="1"/>
    <cellStyle name="Followed Hyperlink" xfId="4711" builtinId="9" hidden="1"/>
    <cellStyle name="Followed Hyperlink" xfId="4713" builtinId="9" hidden="1"/>
    <cellStyle name="Followed Hyperlink" xfId="4715" builtinId="9" hidden="1"/>
    <cellStyle name="Followed Hyperlink" xfId="4717" builtinId="9" hidden="1"/>
    <cellStyle name="Followed Hyperlink" xfId="4719" builtinId="9" hidden="1"/>
    <cellStyle name="Followed Hyperlink" xfId="4721" builtinId="9" hidden="1"/>
    <cellStyle name="Followed Hyperlink" xfId="4723" builtinId="9" hidden="1"/>
    <cellStyle name="Followed Hyperlink" xfId="4725" builtinId="9" hidden="1"/>
    <cellStyle name="Followed Hyperlink" xfId="4727" builtinId="9" hidden="1"/>
    <cellStyle name="Followed Hyperlink" xfId="4729" builtinId="9" hidden="1"/>
    <cellStyle name="Followed Hyperlink" xfId="4731" builtinId="9" hidden="1"/>
    <cellStyle name="Followed Hyperlink" xfId="4733" builtinId="9" hidden="1"/>
    <cellStyle name="Followed Hyperlink" xfId="4735" builtinId="9" hidden="1"/>
    <cellStyle name="Followed Hyperlink" xfId="4737" builtinId="9" hidden="1"/>
    <cellStyle name="Followed Hyperlink" xfId="4739" builtinId="9" hidden="1"/>
    <cellStyle name="Followed Hyperlink" xfId="4741" builtinId="9" hidden="1"/>
    <cellStyle name="Followed Hyperlink" xfId="4743" builtinId="9" hidden="1"/>
    <cellStyle name="Followed Hyperlink" xfId="4745" builtinId="9" hidden="1"/>
    <cellStyle name="Followed Hyperlink" xfId="4747" builtinId="9" hidden="1"/>
    <cellStyle name="Followed Hyperlink" xfId="4749" builtinId="9" hidden="1"/>
    <cellStyle name="Followed Hyperlink" xfId="4751" builtinId="9" hidden="1"/>
    <cellStyle name="Followed Hyperlink" xfId="4753" builtinId="9" hidden="1"/>
    <cellStyle name="Followed Hyperlink" xfId="4755" builtinId="9" hidden="1"/>
    <cellStyle name="Followed Hyperlink" xfId="4757" builtinId="9" hidden="1"/>
    <cellStyle name="Followed Hyperlink" xfId="4759" builtinId="9" hidden="1"/>
    <cellStyle name="Followed Hyperlink" xfId="4761" builtinId="9" hidden="1"/>
    <cellStyle name="Followed Hyperlink" xfId="4763" builtinId="9" hidden="1"/>
    <cellStyle name="Followed Hyperlink" xfId="4765" builtinId="9" hidden="1"/>
    <cellStyle name="Followed Hyperlink" xfId="4767" builtinId="9" hidden="1"/>
    <cellStyle name="Followed Hyperlink" xfId="4769" builtinId="9" hidden="1"/>
    <cellStyle name="Followed Hyperlink" xfId="4771" builtinId="9" hidden="1"/>
    <cellStyle name="Followed Hyperlink" xfId="4773" builtinId="9" hidden="1"/>
    <cellStyle name="Followed Hyperlink" xfId="4775" builtinId="9" hidden="1"/>
    <cellStyle name="Followed Hyperlink" xfId="4777" builtinId="9" hidden="1"/>
    <cellStyle name="Followed Hyperlink" xfId="4779" builtinId="9" hidden="1"/>
    <cellStyle name="Followed Hyperlink" xfId="4781" builtinId="9" hidden="1"/>
    <cellStyle name="Followed Hyperlink" xfId="4783" builtinId="9" hidden="1"/>
    <cellStyle name="Followed Hyperlink" xfId="4785" builtinId="9" hidden="1"/>
    <cellStyle name="Followed Hyperlink" xfId="4787" builtinId="9" hidden="1"/>
    <cellStyle name="Followed Hyperlink" xfId="4789" builtinId="9" hidden="1"/>
    <cellStyle name="Followed Hyperlink" xfId="4791" builtinId="9" hidden="1"/>
    <cellStyle name="Followed Hyperlink" xfId="4793" builtinId="9" hidden="1"/>
    <cellStyle name="Followed Hyperlink" xfId="4795" builtinId="9" hidden="1"/>
    <cellStyle name="Followed Hyperlink" xfId="4797" builtinId="9" hidden="1"/>
    <cellStyle name="Followed Hyperlink" xfId="4799" builtinId="9" hidden="1"/>
    <cellStyle name="Followed Hyperlink" xfId="4801" builtinId="9" hidden="1"/>
    <cellStyle name="Followed Hyperlink" xfId="4803" builtinId="9" hidden="1"/>
    <cellStyle name="Followed Hyperlink" xfId="4805" builtinId="9" hidden="1"/>
    <cellStyle name="Followed Hyperlink" xfId="4807" builtinId="9" hidden="1"/>
    <cellStyle name="Followed Hyperlink" xfId="4809" builtinId="9" hidden="1"/>
    <cellStyle name="Followed Hyperlink" xfId="4811" builtinId="9" hidden="1"/>
    <cellStyle name="Followed Hyperlink" xfId="4813" builtinId="9" hidden="1"/>
    <cellStyle name="Followed Hyperlink" xfId="4815" builtinId="9" hidden="1"/>
    <cellStyle name="Followed Hyperlink" xfId="4817" builtinId="9" hidden="1"/>
    <cellStyle name="Followed Hyperlink" xfId="4819" builtinId="9" hidden="1"/>
    <cellStyle name="Followed Hyperlink" xfId="4821" builtinId="9" hidden="1"/>
    <cellStyle name="Followed Hyperlink" xfId="4823" builtinId="9" hidden="1"/>
    <cellStyle name="Followed Hyperlink" xfId="4825" builtinId="9" hidden="1"/>
    <cellStyle name="Followed Hyperlink" xfId="4827" builtinId="9" hidden="1"/>
    <cellStyle name="Followed Hyperlink" xfId="4829" builtinId="9" hidden="1"/>
    <cellStyle name="Followed Hyperlink" xfId="4831" builtinId="9" hidden="1"/>
    <cellStyle name="Followed Hyperlink" xfId="4833" builtinId="9" hidden="1"/>
    <cellStyle name="Followed Hyperlink" xfId="4835" builtinId="9" hidden="1"/>
    <cellStyle name="Followed Hyperlink" xfId="4837" builtinId="9" hidden="1"/>
    <cellStyle name="Followed Hyperlink" xfId="4839" builtinId="9" hidden="1"/>
    <cellStyle name="Followed Hyperlink" xfId="4841" builtinId="9" hidden="1"/>
    <cellStyle name="Followed Hyperlink" xfId="4843" builtinId="9" hidden="1"/>
    <cellStyle name="Followed Hyperlink" xfId="4845" builtinId="9" hidden="1"/>
    <cellStyle name="Followed Hyperlink" xfId="4847" builtinId="9" hidden="1"/>
    <cellStyle name="Followed Hyperlink" xfId="4849" builtinId="9" hidden="1"/>
    <cellStyle name="Followed Hyperlink" xfId="4851" builtinId="9" hidden="1"/>
    <cellStyle name="Followed Hyperlink" xfId="4853" builtinId="9" hidden="1"/>
    <cellStyle name="Followed Hyperlink" xfId="4855" builtinId="9" hidden="1"/>
    <cellStyle name="Followed Hyperlink" xfId="4857" builtinId="9" hidden="1"/>
    <cellStyle name="Followed Hyperlink" xfId="4859" builtinId="9" hidden="1"/>
    <cellStyle name="Followed Hyperlink" xfId="4861" builtinId="9" hidden="1"/>
    <cellStyle name="Followed Hyperlink" xfId="4863" builtinId="9" hidden="1"/>
    <cellStyle name="Followed Hyperlink" xfId="4865" builtinId="9" hidden="1"/>
    <cellStyle name="Followed Hyperlink" xfId="4867" builtinId="9" hidden="1"/>
    <cellStyle name="Followed Hyperlink" xfId="4869" builtinId="9" hidden="1"/>
    <cellStyle name="Followed Hyperlink" xfId="4871" builtinId="9" hidden="1"/>
    <cellStyle name="Followed Hyperlink" xfId="4873" builtinId="9" hidden="1"/>
    <cellStyle name="Followed Hyperlink" xfId="4875" builtinId="9" hidden="1"/>
    <cellStyle name="Followed Hyperlink" xfId="4877" builtinId="9" hidden="1"/>
    <cellStyle name="Followed Hyperlink" xfId="4879" builtinId="9" hidden="1"/>
    <cellStyle name="Followed Hyperlink" xfId="4881" builtinId="9" hidden="1"/>
    <cellStyle name="Followed Hyperlink" xfId="4883" builtinId="9" hidden="1"/>
    <cellStyle name="Followed Hyperlink" xfId="4885" builtinId="9" hidden="1"/>
    <cellStyle name="Followed Hyperlink" xfId="4887" builtinId="9" hidden="1"/>
    <cellStyle name="Followed Hyperlink" xfId="4889" builtinId="9" hidden="1"/>
    <cellStyle name="Followed Hyperlink" xfId="4891" builtinId="9" hidden="1"/>
    <cellStyle name="Followed Hyperlink" xfId="4893" builtinId="9" hidden="1"/>
    <cellStyle name="Followed Hyperlink" xfId="4895" builtinId="9" hidden="1"/>
    <cellStyle name="Followed Hyperlink" xfId="4897" builtinId="9" hidden="1"/>
    <cellStyle name="Followed Hyperlink" xfId="4899" builtinId="9" hidden="1"/>
    <cellStyle name="Followed Hyperlink" xfId="4901" builtinId="9" hidden="1"/>
    <cellStyle name="Followed Hyperlink" xfId="4903" builtinId="9" hidden="1"/>
    <cellStyle name="Followed Hyperlink" xfId="4905" builtinId="9" hidden="1"/>
    <cellStyle name="Followed Hyperlink" xfId="4907" builtinId="9" hidden="1"/>
    <cellStyle name="Followed Hyperlink" xfId="4909" builtinId="9" hidden="1"/>
    <cellStyle name="Followed Hyperlink" xfId="4911" builtinId="9" hidden="1"/>
    <cellStyle name="Followed Hyperlink" xfId="4913" builtinId="9" hidden="1"/>
    <cellStyle name="Followed Hyperlink" xfId="4915" builtinId="9" hidden="1"/>
    <cellStyle name="Followed Hyperlink" xfId="4917" builtinId="9" hidden="1"/>
    <cellStyle name="Followed Hyperlink" xfId="4919" builtinId="9" hidden="1"/>
    <cellStyle name="Followed Hyperlink" xfId="4921" builtinId="9" hidden="1"/>
    <cellStyle name="Followed Hyperlink" xfId="4923" builtinId="9" hidden="1"/>
    <cellStyle name="Followed Hyperlink" xfId="4925" builtinId="9" hidden="1"/>
    <cellStyle name="Followed Hyperlink" xfId="4927" builtinId="9" hidden="1"/>
    <cellStyle name="Followed Hyperlink" xfId="4929" builtinId="9" hidden="1"/>
    <cellStyle name="Followed Hyperlink" xfId="4931" builtinId="9" hidden="1"/>
    <cellStyle name="Followed Hyperlink" xfId="4933" builtinId="9" hidden="1"/>
    <cellStyle name="Followed Hyperlink" xfId="4935" builtinId="9" hidden="1"/>
    <cellStyle name="Followed Hyperlink" xfId="4937" builtinId="9" hidden="1"/>
    <cellStyle name="Followed Hyperlink" xfId="4939" builtinId="9" hidden="1"/>
    <cellStyle name="Followed Hyperlink" xfId="4941" builtinId="9" hidden="1"/>
    <cellStyle name="Followed Hyperlink" xfId="4943" builtinId="9" hidden="1"/>
    <cellStyle name="Followed Hyperlink" xfId="4945" builtinId="9" hidden="1"/>
    <cellStyle name="Followed Hyperlink" xfId="4947" builtinId="9" hidden="1"/>
    <cellStyle name="Followed Hyperlink" xfId="4949" builtinId="9" hidden="1"/>
    <cellStyle name="Followed Hyperlink" xfId="4951" builtinId="9" hidden="1"/>
    <cellStyle name="Followed Hyperlink" xfId="4953" builtinId="9" hidden="1"/>
    <cellStyle name="Followed Hyperlink" xfId="4955" builtinId="9" hidden="1"/>
    <cellStyle name="Followed Hyperlink" xfId="4957" builtinId="9" hidden="1"/>
    <cellStyle name="Followed Hyperlink" xfId="4959" builtinId="9" hidden="1"/>
    <cellStyle name="Followed Hyperlink" xfId="4961" builtinId="9" hidden="1"/>
    <cellStyle name="Followed Hyperlink" xfId="4963" builtinId="9" hidden="1"/>
    <cellStyle name="Followed Hyperlink" xfId="4965" builtinId="9" hidden="1"/>
    <cellStyle name="Followed Hyperlink" xfId="4967" builtinId="9" hidden="1"/>
    <cellStyle name="Followed Hyperlink" xfId="4969" builtinId="9" hidden="1"/>
    <cellStyle name="Followed Hyperlink" xfId="4971" builtinId="9" hidden="1"/>
    <cellStyle name="Followed Hyperlink" xfId="4973" builtinId="9" hidden="1"/>
    <cellStyle name="Followed Hyperlink" xfId="4975" builtinId="9" hidden="1"/>
    <cellStyle name="Followed Hyperlink" xfId="4977" builtinId="9" hidden="1"/>
    <cellStyle name="Followed Hyperlink" xfId="4979" builtinId="9" hidden="1"/>
    <cellStyle name="Followed Hyperlink" xfId="4981" builtinId="9" hidden="1"/>
    <cellStyle name="Followed Hyperlink" xfId="4983" builtinId="9" hidden="1"/>
    <cellStyle name="Followed Hyperlink" xfId="4985" builtinId="9" hidden="1"/>
    <cellStyle name="Followed Hyperlink" xfId="4987" builtinId="9" hidden="1"/>
    <cellStyle name="Followed Hyperlink" xfId="4989" builtinId="9" hidden="1"/>
    <cellStyle name="Followed Hyperlink" xfId="4991" builtinId="9" hidden="1"/>
    <cellStyle name="Followed Hyperlink" xfId="4993" builtinId="9" hidden="1"/>
    <cellStyle name="Followed Hyperlink" xfId="4995" builtinId="9" hidden="1"/>
    <cellStyle name="Followed Hyperlink" xfId="4997" builtinId="9" hidden="1"/>
    <cellStyle name="Followed Hyperlink" xfId="4999" builtinId="9" hidden="1"/>
    <cellStyle name="Followed Hyperlink" xfId="5001" builtinId="9" hidden="1"/>
    <cellStyle name="Followed Hyperlink" xfId="5003" builtinId="9" hidden="1"/>
    <cellStyle name="Followed Hyperlink" xfId="5005" builtinId="9" hidden="1"/>
    <cellStyle name="Followed Hyperlink" xfId="5007" builtinId="9" hidden="1"/>
    <cellStyle name="Followed Hyperlink" xfId="5009" builtinId="9" hidden="1"/>
    <cellStyle name="Followed Hyperlink" xfId="5011" builtinId="9" hidden="1"/>
    <cellStyle name="Followed Hyperlink" xfId="5013" builtinId="9" hidden="1"/>
    <cellStyle name="Followed Hyperlink" xfId="5015" builtinId="9" hidden="1"/>
    <cellStyle name="Followed Hyperlink" xfId="5017" builtinId="9" hidden="1"/>
    <cellStyle name="Followed Hyperlink" xfId="5019" builtinId="9" hidden="1"/>
    <cellStyle name="Followed Hyperlink" xfId="5021" builtinId="9" hidden="1"/>
    <cellStyle name="Followed Hyperlink" xfId="5023" builtinId="9" hidden="1"/>
    <cellStyle name="Followed Hyperlink" xfId="5025" builtinId="9" hidden="1"/>
    <cellStyle name="Followed Hyperlink" xfId="5027" builtinId="9" hidden="1"/>
    <cellStyle name="Followed Hyperlink" xfId="5029" builtinId="9" hidden="1"/>
    <cellStyle name="Followed Hyperlink" xfId="5031" builtinId="9" hidden="1"/>
    <cellStyle name="Followed Hyperlink" xfId="5033" builtinId="9" hidden="1"/>
    <cellStyle name="Followed Hyperlink" xfId="5035" builtinId="9" hidden="1"/>
    <cellStyle name="Followed Hyperlink" xfId="5037" builtinId="9" hidden="1"/>
    <cellStyle name="Followed Hyperlink" xfId="5039" builtinId="9" hidden="1"/>
    <cellStyle name="Followed Hyperlink" xfId="5041" builtinId="9" hidden="1"/>
    <cellStyle name="Followed Hyperlink" xfId="5043" builtinId="9" hidden="1"/>
    <cellStyle name="Followed Hyperlink" xfId="5045" builtinId="9" hidden="1"/>
    <cellStyle name="Followed Hyperlink" xfId="5047" builtinId="9" hidden="1"/>
    <cellStyle name="Followed Hyperlink" xfId="5049" builtinId="9" hidden="1"/>
    <cellStyle name="Followed Hyperlink" xfId="5051" builtinId="9" hidden="1"/>
    <cellStyle name="Followed Hyperlink" xfId="5053" builtinId="9" hidden="1"/>
    <cellStyle name="Followed Hyperlink" xfId="5055" builtinId="9" hidden="1"/>
    <cellStyle name="Followed Hyperlink" xfId="5057" builtinId="9" hidden="1"/>
    <cellStyle name="Followed Hyperlink" xfId="5059" builtinId="9" hidden="1"/>
    <cellStyle name="Followed Hyperlink" xfId="5061" builtinId="9" hidden="1"/>
    <cellStyle name="Followed Hyperlink" xfId="5063" builtinId="9" hidden="1"/>
    <cellStyle name="Followed Hyperlink" xfId="5065" builtinId="9" hidden="1"/>
    <cellStyle name="Followed Hyperlink" xfId="5067" builtinId="9" hidden="1"/>
    <cellStyle name="Followed Hyperlink" xfId="5069" builtinId="9" hidden="1"/>
    <cellStyle name="Followed Hyperlink" xfId="5071" builtinId="9" hidden="1"/>
    <cellStyle name="Followed Hyperlink" xfId="5073" builtinId="9" hidden="1"/>
    <cellStyle name="Followed Hyperlink" xfId="5075" builtinId="9" hidden="1"/>
    <cellStyle name="Followed Hyperlink" xfId="5077" builtinId="9" hidden="1"/>
    <cellStyle name="Followed Hyperlink" xfId="5079" builtinId="9" hidden="1"/>
    <cellStyle name="Followed Hyperlink" xfId="5081" builtinId="9" hidden="1"/>
    <cellStyle name="Followed Hyperlink" xfId="5083" builtinId="9" hidden="1"/>
    <cellStyle name="Followed Hyperlink" xfId="5085" builtinId="9" hidden="1"/>
    <cellStyle name="Followed Hyperlink" xfId="5087" builtinId="9" hidden="1"/>
    <cellStyle name="Followed Hyperlink" xfId="5089" builtinId="9" hidden="1"/>
    <cellStyle name="Followed Hyperlink" xfId="5091" builtinId="9" hidden="1"/>
    <cellStyle name="Followed Hyperlink" xfId="5093" builtinId="9" hidden="1"/>
    <cellStyle name="Followed Hyperlink" xfId="5095" builtinId="9" hidden="1"/>
    <cellStyle name="Followed Hyperlink" xfId="5097" builtinId="9" hidden="1"/>
    <cellStyle name="Followed Hyperlink" xfId="5099" builtinId="9" hidden="1"/>
    <cellStyle name="Followed Hyperlink" xfId="5101" builtinId="9" hidden="1"/>
    <cellStyle name="Followed Hyperlink" xfId="5103" builtinId="9" hidden="1"/>
    <cellStyle name="Followed Hyperlink" xfId="5105" builtinId="9" hidden="1"/>
    <cellStyle name="Followed Hyperlink" xfId="5107" builtinId="9" hidden="1"/>
    <cellStyle name="Followed Hyperlink" xfId="510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9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014" builtinId="8" hidden="1"/>
    <cellStyle name="Hyperlink" xfId="4016" builtinId="8" hidden="1"/>
    <cellStyle name="Hyperlink" xfId="4018" builtinId="8" hidden="1"/>
    <cellStyle name="Hyperlink" xfId="4020" builtinId="8" hidden="1"/>
    <cellStyle name="Hyperlink" xfId="4022" builtinId="8" hidden="1"/>
    <cellStyle name="Hyperlink" xfId="4024" builtinId="8" hidden="1"/>
    <cellStyle name="Hyperlink" xfId="4026" builtinId="8" hidden="1"/>
    <cellStyle name="Hyperlink" xfId="4028" builtinId="8" hidden="1"/>
    <cellStyle name="Hyperlink" xfId="4030" builtinId="8" hidden="1"/>
    <cellStyle name="Hyperlink" xfId="4032" builtinId="8" hidden="1"/>
    <cellStyle name="Hyperlink" xfId="4034" builtinId="8" hidden="1"/>
    <cellStyle name="Hyperlink" xfId="4036" builtinId="8" hidden="1"/>
    <cellStyle name="Hyperlink" xfId="4038" builtinId="8" hidden="1"/>
    <cellStyle name="Hyperlink" xfId="4040" builtinId="8" hidden="1"/>
    <cellStyle name="Hyperlink" xfId="4042" builtinId="8" hidden="1"/>
    <cellStyle name="Hyperlink" xfId="4044" builtinId="8" hidden="1"/>
    <cellStyle name="Hyperlink" xfId="4046" builtinId="8" hidden="1"/>
    <cellStyle name="Hyperlink" xfId="4048" builtinId="8" hidden="1"/>
    <cellStyle name="Hyperlink" xfId="4050" builtinId="8" hidden="1"/>
    <cellStyle name="Hyperlink" xfId="4052" builtinId="8" hidden="1"/>
    <cellStyle name="Hyperlink" xfId="4054" builtinId="8" hidden="1"/>
    <cellStyle name="Hyperlink" xfId="4056" builtinId="8" hidden="1"/>
    <cellStyle name="Hyperlink" xfId="4058" builtinId="8" hidden="1"/>
    <cellStyle name="Hyperlink" xfId="4060" builtinId="8" hidden="1"/>
    <cellStyle name="Hyperlink" xfId="4062" builtinId="8" hidden="1"/>
    <cellStyle name="Hyperlink" xfId="4064" builtinId="8" hidden="1"/>
    <cellStyle name="Hyperlink" xfId="4066" builtinId="8" hidden="1"/>
    <cellStyle name="Hyperlink" xfId="4068" builtinId="8" hidden="1"/>
    <cellStyle name="Hyperlink" xfId="4070" builtinId="8" hidden="1"/>
    <cellStyle name="Hyperlink" xfId="4072" builtinId="8" hidden="1"/>
    <cellStyle name="Hyperlink" xfId="4074" builtinId="8" hidden="1"/>
    <cellStyle name="Hyperlink" xfId="4076" builtinId="8" hidden="1"/>
    <cellStyle name="Hyperlink" xfId="4078" builtinId="8" hidden="1"/>
    <cellStyle name="Hyperlink" xfId="4080" builtinId="8" hidden="1"/>
    <cellStyle name="Hyperlink" xfId="4082" builtinId="8" hidden="1"/>
    <cellStyle name="Hyperlink" xfId="4084" builtinId="8" hidden="1"/>
    <cellStyle name="Hyperlink" xfId="4086" builtinId="8" hidden="1"/>
    <cellStyle name="Hyperlink" xfId="4088" builtinId="8" hidden="1"/>
    <cellStyle name="Hyperlink" xfId="4090" builtinId="8" hidden="1"/>
    <cellStyle name="Hyperlink" xfId="4092" builtinId="8" hidden="1"/>
    <cellStyle name="Hyperlink" xfId="4094" builtinId="8" hidden="1"/>
    <cellStyle name="Hyperlink" xfId="4096" builtinId="8" hidden="1"/>
    <cellStyle name="Hyperlink" xfId="4098" builtinId="8" hidden="1"/>
    <cellStyle name="Hyperlink" xfId="4100" builtinId="8" hidden="1"/>
    <cellStyle name="Hyperlink" xfId="4102" builtinId="8" hidden="1"/>
    <cellStyle name="Hyperlink" xfId="4104" builtinId="8" hidden="1"/>
    <cellStyle name="Hyperlink" xfId="4106" builtinId="8" hidden="1"/>
    <cellStyle name="Hyperlink" xfId="4108" builtinId="8" hidden="1"/>
    <cellStyle name="Hyperlink" xfId="4110" builtinId="8" hidden="1"/>
    <cellStyle name="Hyperlink" xfId="4112" builtinId="8" hidden="1"/>
    <cellStyle name="Hyperlink" xfId="4114" builtinId="8" hidden="1"/>
    <cellStyle name="Hyperlink" xfId="4116" builtinId="8" hidden="1"/>
    <cellStyle name="Hyperlink" xfId="4118" builtinId="8" hidden="1"/>
    <cellStyle name="Hyperlink" xfId="4120" builtinId="8" hidden="1"/>
    <cellStyle name="Hyperlink" xfId="4122" builtinId="8" hidden="1"/>
    <cellStyle name="Hyperlink" xfId="4124" builtinId="8" hidden="1"/>
    <cellStyle name="Hyperlink" xfId="4126" builtinId="8" hidden="1"/>
    <cellStyle name="Hyperlink" xfId="4128" builtinId="8" hidden="1"/>
    <cellStyle name="Hyperlink" xfId="4130" builtinId="8" hidden="1"/>
    <cellStyle name="Hyperlink" xfId="4132" builtinId="8" hidden="1"/>
    <cellStyle name="Hyperlink" xfId="4134" builtinId="8" hidden="1"/>
    <cellStyle name="Hyperlink" xfId="4136" builtinId="8" hidden="1"/>
    <cellStyle name="Hyperlink" xfId="4138" builtinId="8" hidden="1"/>
    <cellStyle name="Hyperlink" xfId="4140" builtinId="8" hidden="1"/>
    <cellStyle name="Hyperlink" xfId="4142" builtinId="8" hidden="1"/>
    <cellStyle name="Hyperlink" xfId="4144" builtinId="8" hidden="1"/>
    <cellStyle name="Hyperlink" xfId="4146" builtinId="8" hidden="1"/>
    <cellStyle name="Hyperlink" xfId="4148" builtinId="8" hidden="1"/>
    <cellStyle name="Hyperlink" xfId="4150" builtinId="8" hidden="1"/>
    <cellStyle name="Hyperlink" xfId="4152" builtinId="8" hidden="1"/>
    <cellStyle name="Hyperlink" xfId="4154" builtinId="8" hidden="1"/>
    <cellStyle name="Hyperlink" xfId="4156" builtinId="8" hidden="1"/>
    <cellStyle name="Hyperlink" xfId="4158" builtinId="8" hidden="1"/>
    <cellStyle name="Hyperlink" xfId="4160" builtinId="8" hidden="1"/>
    <cellStyle name="Hyperlink" xfId="4162" builtinId="8" hidden="1"/>
    <cellStyle name="Hyperlink" xfId="4164" builtinId="8" hidden="1"/>
    <cellStyle name="Hyperlink" xfId="4166" builtinId="8" hidden="1"/>
    <cellStyle name="Hyperlink" xfId="4168" builtinId="8" hidden="1"/>
    <cellStyle name="Hyperlink" xfId="4170" builtinId="8" hidden="1"/>
    <cellStyle name="Hyperlink" xfId="4172" builtinId="8" hidden="1"/>
    <cellStyle name="Hyperlink" xfId="4174" builtinId="8" hidden="1"/>
    <cellStyle name="Hyperlink" xfId="4176" builtinId="8" hidden="1"/>
    <cellStyle name="Hyperlink" xfId="4178" builtinId="8" hidden="1"/>
    <cellStyle name="Hyperlink" xfId="4180" builtinId="8" hidden="1"/>
    <cellStyle name="Hyperlink" xfId="4182" builtinId="8" hidden="1"/>
    <cellStyle name="Hyperlink" xfId="4184" builtinId="8" hidden="1"/>
    <cellStyle name="Hyperlink" xfId="4186" builtinId="8" hidden="1"/>
    <cellStyle name="Hyperlink" xfId="4188" builtinId="8" hidden="1"/>
    <cellStyle name="Hyperlink" xfId="4190" builtinId="8" hidden="1"/>
    <cellStyle name="Hyperlink" xfId="4192" builtinId="8" hidden="1"/>
    <cellStyle name="Hyperlink" xfId="4194" builtinId="8" hidden="1"/>
    <cellStyle name="Hyperlink" xfId="4196" builtinId="8" hidden="1"/>
    <cellStyle name="Hyperlink" xfId="4198" builtinId="8" hidden="1"/>
    <cellStyle name="Hyperlink" xfId="4200" builtinId="8" hidden="1"/>
    <cellStyle name="Hyperlink" xfId="4202" builtinId="8" hidden="1"/>
    <cellStyle name="Hyperlink" xfId="4204" builtinId="8" hidden="1"/>
    <cellStyle name="Hyperlink" xfId="4206" builtinId="8" hidden="1"/>
    <cellStyle name="Hyperlink" xfId="4208" builtinId="8" hidden="1"/>
    <cellStyle name="Hyperlink" xfId="4210" builtinId="8" hidden="1"/>
    <cellStyle name="Hyperlink" xfId="4212" builtinId="8" hidden="1"/>
    <cellStyle name="Hyperlink" xfId="4214" builtinId="8" hidden="1"/>
    <cellStyle name="Hyperlink" xfId="4216" builtinId="8" hidden="1"/>
    <cellStyle name="Hyperlink" xfId="4218" builtinId="8" hidden="1"/>
    <cellStyle name="Hyperlink" xfId="4220" builtinId="8" hidden="1"/>
    <cellStyle name="Hyperlink" xfId="4222" builtinId="8" hidden="1"/>
    <cellStyle name="Hyperlink" xfId="4224" builtinId="8" hidden="1"/>
    <cellStyle name="Hyperlink" xfId="4226" builtinId="8" hidden="1"/>
    <cellStyle name="Hyperlink" xfId="4228" builtinId="8" hidden="1"/>
    <cellStyle name="Hyperlink" xfId="4230" builtinId="8" hidden="1"/>
    <cellStyle name="Hyperlink" xfId="4232" builtinId="8" hidden="1"/>
    <cellStyle name="Hyperlink" xfId="4234" builtinId="8" hidden="1"/>
    <cellStyle name="Hyperlink" xfId="4236" builtinId="8" hidden="1"/>
    <cellStyle name="Hyperlink" xfId="4238" builtinId="8" hidden="1"/>
    <cellStyle name="Hyperlink" xfId="4240" builtinId="8" hidden="1"/>
    <cellStyle name="Hyperlink" xfId="4242" builtinId="8" hidden="1"/>
    <cellStyle name="Hyperlink" xfId="4244" builtinId="8" hidden="1"/>
    <cellStyle name="Hyperlink" xfId="4246" builtinId="8" hidden="1"/>
    <cellStyle name="Hyperlink" xfId="4248" builtinId="8" hidden="1"/>
    <cellStyle name="Hyperlink" xfId="4250" builtinId="8" hidden="1"/>
    <cellStyle name="Hyperlink" xfId="4252" builtinId="8" hidden="1"/>
    <cellStyle name="Hyperlink" xfId="4254" builtinId="8" hidden="1"/>
    <cellStyle name="Hyperlink" xfId="4256" builtinId="8" hidden="1"/>
    <cellStyle name="Hyperlink" xfId="4258" builtinId="8" hidden="1"/>
    <cellStyle name="Hyperlink" xfId="4260" builtinId="8" hidden="1"/>
    <cellStyle name="Hyperlink" xfId="4262" builtinId="8" hidden="1"/>
    <cellStyle name="Hyperlink" xfId="4264" builtinId="8" hidden="1"/>
    <cellStyle name="Hyperlink" xfId="4266" builtinId="8" hidden="1"/>
    <cellStyle name="Hyperlink" xfId="4268" builtinId="8" hidden="1"/>
    <cellStyle name="Hyperlink" xfId="4270" builtinId="8" hidden="1"/>
    <cellStyle name="Hyperlink" xfId="4272" builtinId="8" hidden="1"/>
    <cellStyle name="Hyperlink" xfId="4274" builtinId="8" hidden="1"/>
    <cellStyle name="Hyperlink" xfId="4276" builtinId="8" hidden="1"/>
    <cellStyle name="Hyperlink" xfId="4278" builtinId="8" hidden="1"/>
    <cellStyle name="Hyperlink" xfId="4280" builtinId="8" hidden="1"/>
    <cellStyle name="Hyperlink" xfId="4282" builtinId="8" hidden="1"/>
    <cellStyle name="Hyperlink" xfId="4284" builtinId="8" hidden="1"/>
    <cellStyle name="Hyperlink" xfId="4286" builtinId="8" hidden="1"/>
    <cellStyle name="Hyperlink" xfId="4288" builtinId="8" hidden="1"/>
    <cellStyle name="Hyperlink" xfId="4290" builtinId="8" hidden="1"/>
    <cellStyle name="Hyperlink" xfId="4292" builtinId="8" hidden="1"/>
    <cellStyle name="Hyperlink" xfId="4294" builtinId="8" hidden="1"/>
    <cellStyle name="Hyperlink" xfId="4296" builtinId="8" hidden="1"/>
    <cellStyle name="Hyperlink" xfId="4298" builtinId="8" hidden="1"/>
    <cellStyle name="Hyperlink" xfId="4300" builtinId="8" hidden="1"/>
    <cellStyle name="Hyperlink" xfId="4302" builtinId="8" hidden="1"/>
    <cellStyle name="Hyperlink" xfId="4304" builtinId="8" hidden="1"/>
    <cellStyle name="Hyperlink" xfId="4306" builtinId="8" hidden="1"/>
    <cellStyle name="Hyperlink" xfId="4308" builtinId="8" hidden="1"/>
    <cellStyle name="Hyperlink" xfId="4310" builtinId="8" hidden="1"/>
    <cellStyle name="Hyperlink" xfId="4312" builtinId="8" hidden="1"/>
    <cellStyle name="Hyperlink" xfId="4314" builtinId="8" hidden="1"/>
    <cellStyle name="Hyperlink" xfId="4316" builtinId="8" hidden="1"/>
    <cellStyle name="Hyperlink" xfId="4318" builtinId="8" hidden="1"/>
    <cellStyle name="Hyperlink" xfId="4320" builtinId="8" hidden="1"/>
    <cellStyle name="Hyperlink" xfId="4322" builtinId="8" hidden="1"/>
    <cellStyle name="Hyperlink" xfId="4324" builtinId="8" hidden="1"/>
    <cellStyle name="Hyperlink" xfId="4326" builtinId="8" hidden="1"/>
    <cellStyle name="Hyperlink" xfId="4328" builtinId="8" hidden="1"/>
    <cellStyle name="Hyperlink" xfId="4330" builtinId="8" hidden="1"/>
    <cellStyle name="Hyperlink" xfId="4332" builtinId="8" hidden="1"/>
    <cellStyle name="Hyperlink" xfId="4334" builtinId="8" hidden="1"/>
    <cellStyle name="Hyperlink" xfId="4336" builtinId="8" hidden="1"/>
    <cellStyle name="Hyperlink" xfId="4338" builtinId="8" hidden="1"/>
    <cellStyle name="Hyperlink" xfId="4340" builtinId="8" hidden="1"/>
    <cellStyle name="Hyperlink" xfId="4342" builtinId="8" hidden="1"/>
    <cellStyle name="Hyperlink" xfId="4344" builtinId="8" hidden="1"/>
    <cellStyle name="Hyperlink" xfId="4346" builtinId="8" hidden="1"/>
    <cellStyle name="Hyperlink" xfId="4348" builtinId="8" hidden="1"/>
    <cellStyle name="Hyperlink" xfId="4350" builtinId="8" hidden="1"/>
    <cellStyle name="Hyperlink" xfId="4352" builtinId="8" hidden="1"/>
    <cellStyle name="Hyperlink" xfId="4354" builtinId="8" hidden="1"/>
    <cellStyle name="Hyperlink" xfId="4356" builtinId="8" hidden="1"/>
    <cellStyle name="Hyperlink" xfId="4358" builtinId="8" hidden="1"/>
    <cellStyle name="Hyperlink" xfId="4360" builtinId="8" hidden="1"/>
    <cellStyle name="Hyperlink" xfId="4362" builtinId="8" hidden="1"/>
    <cellStyle name="Hyperlink" xfId="4364" builtinId="8" hidden="1"/>
    <cellStyle name="Hyperlink" xfId="4366" builtinId="8" hidden="1"/>
    <cellStyle name="Hyperlink" xfId="4368" builtinId="8" hidden="1"/>
    <cellStyle name="Hyperlink" xfId="4370" builtinId="8" hidden="1"/>
    <cellStyle name="Hyperlink" xfId="4372" builtinId="8" hidden="1"/>
    <cellStyle name="Hyperlink" xfId="4374" builtinId="8" hidden="1"/>
    <cellStyle name="Hyperlink" xfId="4376" builtinId="8" hidden="1"/>
    <cellStyle name="Hyperlink" xfId="4378" builtinId="8" hidden="1"/>
    <cellStyle name="Hyperlink" xfId="4380" builtinId="8" hidden="1"/>
    <cellStyle name="Hyperlink" xfId="4382" builtinId="8" hidden="1"/>
    <cellStyle name="Hyperlink" xfId="4384" builtinId="8" hidden="1"/>
    <cellStyle name="Hyperlink" xfId="4386" builtinId="8" hidden="1"/>
    <cellStyle name="Hyperlink" xfId="4388" builtinId="8" hidden="1"/>
    <cellStyle name="Hyperlink" xfId="4390" builtinId="8" hidden="1"/>
    <cellStyle name="Hyperlink" xfId="4392" builtinId="8" hidden="1"/>
    <cellStyle name="Hyperlink" xfId="4394" builtinId="8" hidden="1"/>
    <cellStyle name="Hyperlink" xfId="4396" builtinId="8" hidden="1"/>
    <cellStyle name="Hyperlink" xfId="4398" builtinId="8" hidden="1"/>
    <cellStyle name="Hyperlink" xfId="4400" builtinId="8" hidden="1"/>
    <cellStyle name="Hyperlink" xfId="4402" builtinId="8" hidden="1"/>
    <cellStyle name="Hyperlink" xfId="4404" builtinId="8" hidden="1"/>
    <cellStyle name="Hyperlink" xfId="4406" builtinId="8" hidden="1"/>
    <cellStyle name="Hyperlink" xfId="4408" builtinId="8" hidden="1"/>
    <cellStyle name="Hyperlink" xfId="4410" builtinId="8" hidden="1"/>
    <cellStyle name="Hyperlink" xfId="4412" builtinId="8" hidden="1"/>
    <cellStyle name="Hyperlink" xfId="4414" builtinId="8" hidden="1"/>
    <cellStyle name="Hyperlink" xfId="4416" builtinId="8" hidden="1"/>
    <cellStyle name="Hyperlink" xfId="4418" builtinId="8" hidden="1"/>
    <cellStyle name="Hyperlink" xfId="4420" builtinId="8" hidden="1"/>
    <cellStyle name="Hyperlink" xfId="4422" builtinId="8" hidden="1"/>
    <cellStyle name="Hyperlink" xfId="4424" builtinId="8" hidden="1"/>
    <cellStyle name="Hyperlink" xfId="4426" builtinId="8" hidden="1"/>
    <cellStyle name="Hyperlink" xfId="4428" builtinId="8" hidden="1"/>
    <cellStyle name="Hyperlink" xfId="4430" builtinId="8" hidden="1"/>
    <cellStyle name="Hyperlink" xfId="4432" builtinId="8" hidden="1"/>
    <cellStyle name="Hyperlink" xfId="4434" builtinId="8" hidden="1"/>
    <cellStyle name="Hyperlink" xfId="4436" builtinId="8" hidden="1"/>
    <cellStyle name="Hyperlink" xfId="4438" builtinId="8" hidden="1"/>
    <cellStyle name="Hyperlink" xfId="4440" builtinId="8" hidden="1"/>
    <cellStyle name="Hyperlink" xfId="4442" builtinId="8" hidden="1"/>
    <cellStyle name="Hyperlink" xfId="4444" builtinId="8" hidden="1"/>
    <cellStyle name="Hyperlink" xfId="4446" builtinId="8" hidden="1"/>
    <cellStyle name="Hyperlink" xfId="4448" builtinId="8" hidden="1"/>
    <cellStyle name="Hyperlink" xfId="4450" builtinId="8" hidden="1"/>
    <cellStyle name="Hyperlink" xfId="4452" builtinId="8" hidden="1"/>
    <cellStyle name="Hyperlink" xfId="4454" builtinId="8" hidden="1"/>
    <cellStyle name="Hyperlink" xfId="4456" builtinId="8" hidden="1"/>
    <cellStyle name="Hyperlink" xfId="4458" builtinId="8" hidden="1"/>
    <cellStyle name="Hyperlink" xfId="4460" builtinId="8" hidden="1"/>
    <cellStyle name="Hyperlink" xfId="4462" builtinId="8" hidden="1"/>
    <cellStyle name="Hyperlink" xfId="4464" builtinId="8" hidden="1"/>
    <cellStyle name="Hyperlink" xfId="4466" builtinId="8" hidden="1"/>
    <cellStyle name="Hyperlink" xfId="4468" builtinId="8" hidden="1"/>
    <cellStyle name="Hyperlink" xfId="4470" builtinId="8" hidden="1"/>
    <cellStyle name="Hyperlink" xfId="4472" builtinId="8" hidden="1"/>
    <cellStyle name="Hyperlink" xfId="4474" builtinId="8" hidden="1"/>
    <cellStyle name="Hyperlink" xfId="4476" builtinId="8" hidden="1"/>
    <cellStyle name="Hyperlink" xfId="4478" builtinId="8" hidden="1"/>
    <cellStyle name="Hyperlink" xfId="4480" builtinId="8" hidden="1"/>
    <cellStyle name="Hyperlink" xfId="4482" builtinId="8" hidden="1"/>
    <cellStyle name="Hyperlink" xfId="4484" builtinId="8" hidden="1"/>
    <cellStyle name="Hyperlink" xfId="4486" builtinId="8" hidden="1"/>
    <cellStyle name="Hyperlink" xfId="4488" builtinId="8" hidden="1"/>
    <cellStyle name="Hyperlink" xfId="4490" builtinId="8" hidden="1"/>
    <cellStyle name="Hyperlink" xfId="4492" builtinId="8" hidden="1"/>
    <cellStyle name="Hyperlink" xfId="4494" builtinId="8" hidden="1"/>
    <cellStyle name="Hyperlink" xfId="4496" builtinId="8" hidden="1"/>
    <cellStyle name="Hyperlink" xfId="4498" builtinId="8" hidden="1"/>
    <cellStyle name="Hyperlink" xfId="4500" builtinId="8" hidden="1"/>
    <cellStyle name="Hyperlink" xfId="4502" builtinId="8" hidden="1"/>
    <cellStyle name="Hyperlink" xfId="4504" builtinId="8" hidden="1"/>
    <cellStyle name="Hyperlink" xfId="4506" builtinId="8" hidden="1"/>
    <cellStyle name="Hyperlink" xfId="4508" builtinId="8" hidden="1"/>
    <cellStyle name="Hyperlink" xfId="4510" builtinId="8" hidden="1"/>
    <cellStyle name="Hyperlink" xfId="4512" builtinId="8" hidden="1"/>
    <cellStyle name="Hyperlink" xfId="4514" builtinId="8" hidden="1"/>
    <cellStyle name="Hyperlink" xfId="4516" builtinId="8" hidden="1"/>
    <cellStyle name="Hyperlink" xfId="4518" builtinId="8" hidden="1"/>
    <cellStyle name="Hyperlink" xfId="4520" builtinId="8" hidden="1"/>
    <cellStyle name="Hyperlink" xfId="4522" builtinId="8" hidden="1"/>
    <cellStyle name="Hyperlink" xfId="4524" builtinId="8" hidden="1"/>
    <cellStyle name="Hyperlink" xfId="4526" builtinId="8" hidden="1"/>
    <cellStyle name="Hyperlink" xfId="4528" builtinId="8" hidden="1"/>
    <cellStyle name="Hyperlink" xfId="4530" builtinId="8" hidden="1"/>
    <cellStyle name="Hyperlink" xfId="4532" builtinId="8" hidden="1"/>
    <cellStyle name="Hyperlink" xfId="4534" builtinId="8" hidden="1"/>
    <cellStyle name="Hyperlink" xfId="4536" builtinId="8" hidden="1"/>
    <cellStyle name="Hyperlink" xfId="4538" builtinId="8" hidden="1"/>
    <cellStyle name="Hyperlink" xfId="4540" builtinId="8" hidden="1"/>
    <cellStyle name="Hyperlink" xfId="4542" builtinId="8" hidden="1"/>
    <cellStyle name="Hyperlink" xfId="4544" builtinId="8" hidden="1"/>
    <cellStyle name="Hyperlink" xfId="4546" builtinId="8" hidden="1"/>
    <cellStyle name="Hyperlink" xfId="4548" builtinId="8" hidden="1"/>
    <cellStyle name="Hyperlink" xfId="4550" builtinId="8" hidden="1"/>
    <cellStyle name="Hyperlink" xfId="4552" builtinId="8" hidden="1"/>
    <cellStyle name="Hyperlink" xfId="4554" builtinId="8" hidden="1"/>
    <cellStyle name="Hyperlink" xfId="4556" builtinId="8" hidden="1"/>
    <cellStyle name="Hyperlink" xfId="4558" builtinId="8" hidden="1"/>
    <cellStyle name="Hyperlink" xfId="4560" builtinId="8" hidden="1"/>
    <cellStyle name="Hyperlink" xfId="4562" builtinId="8" hidden="1"/>
    <cellStyle name="Hyperlink" xfId="4564" builtinId="8" hidden="1"/>
    <cellStyle name="Hyperlink" xfId="4566" builtinId="8" hidden="1"/>
    <cellStyle name="Hyperlink" xfId="4568" builtinId="8" hidden="1"/>
    <cellStyle name="Hyperlink" xfId="4570" builtinId="8" hidden="1"/>
    <cellStyle name="Hyperlink" xfId="4572" builtinId="8" hidden="1"/>
    <cellStyle name="Hyperlink" xfId="4574" builtinId="8" hidden="1"/>
    <cellStyle name="Hyperlink" xfId="4576" builtinId="8" hidden="1"/>
    <cellStyle name="Hyperlink" xfId="4578" builtinId="8" hidden="1"/>
    <cellStyle name="Hyperlink" xfId="4580" builtinId="8" hidden="1"/>
    <cellStyle name="Hyperlink" xfId="4582" builtinId="8" hidden="1"/>
    <cellStyle name="Hyperlink" xfId="4584" builtinId="8" hidden="1"/>
    <cellStyle name="Hyperlink" xfId="4586" builtinId="8" hidden="1"/>
    <cellStyle name="Hyperlink" xfId="4588" builtinId="8" hidden="1"/>
    <cellStyle name="Hyperlink" xfId="4590" builtinId="8" hidden="1"/>
    <cellStyle name="Hyperlink" xfId="4592" builtinId="8" hidden="1"/>
    <cellStyle name="Hyperlink" xfId="4594" builtinId="8" hidden="1"/>
    <cellStyle name="Hyperlink" xfId="4596" builtinId="8" hidden="1"/>
    <cellStyle name="Hyperlink" xfId="4598" builtinId="8" hidden="1"/>
    <cellStyle name="Hyperlink" xfId="4600" builtinId="8" hidden="1"/>
    <cellStyle name="Hyperlink" xfId="4602" builtinId="8" hidden="1"/>
    <cellStyle name="Hyperlink" xfId="4604" builtinId="8" hidden="1"/>
    <cellStyle name="Hyperlink" xfId="4606" builtinId="8" hidden="1"/>
    <cellStyle name="Hyperlink" xfId="4608" builtinId="8" hidden="1"/>
    <cellStyle name="Hyperlink" xfId="4610" builtinId="8" hidden="1"/>
    <cellStyle name="Hyperlink" xfId="4612" builtinId="8" hidden="1"/>
    <cellStyle name="Hyperlink" xfId="4614" builtinId="8" hidden="1"/>
    <cellStyle name="Hyperlink" xfId="4616" builtinId="8" hidden="1"/>
    <cellStyle name="Hyperlink" xfId="4618" builtinId="8" hidden="1"/>
    <cellStyle name="Hyperlink" xfId="4620" builtinId="8" hidden="1"/>
    <cellStyle name="Hyperlink" xfId="4622" builtinId="8" hidden="1"/>
    <cellStyle name="Hyperlink" xfId="4624" builtinId="8" hidden="1"/>
    <cellStyle name="Hyperlink" xfId="4626" builtinId="8" hidden="1"/>
    <cellStyle name="Hyperlink" xfId="4628" builtinId="8" hidden="1"/>
    <cellStyle name="Hyperlink" xfId="4630" builtinId="8" hidden="1"/>
    <cellStyle name="Hyperlink" xfId="4632" builtinId="8" hidden="1"/>
    <cellStyle name="Hyperlink" xfId="4634" builtinId="8" hidden="1"/>
    <cellStyle name="Hyperlink" xfId="4636" builtinId="8" hidden="1"/>
    <cellStyle name="Hyperlink" xfId="4638" builtinId="8" hidden="1"/>
    <cellStyle name="Hyperlink" xfId="4640" builtinId="8" hidden="1"/>
    <cellStyle name="Hyperlink" xfId="4642" builtinId="8" hidden="1"/>
    <cellStyle name="Hyperlink" xfId="4644" builtinId="8" hidden="1"/>
    <cellStyle name="Hyperlink" xfId="4646" builtinId="8" hidden="1"/>
    <cellStyle name="Hyperlink" xfId="4648" builtinId="8" hidden="1"/>
    <cellStyle name="Hyperlink" xfId="4650" builtinId="8" hidden="1"/>
    <cellStyle name="Hyperlink" xfId="4652" builtinId="8" hidden="1"/>
    <cellStyle name="Hyperlink" xfId="4654" builtinId="8" hidden="1"/>
    <cellStyle name="Hyperlink" xfId="4656" builtinId="8" hidden="1"/>
    <cellStyle name="Hyperlink" xfId="4658" builtinId="8" hidden="1"/>
    <cellStyle name="Hyperlink" xfId="4660" builtinId="8" hidden="1"/>
    <cellStyle name="Hyperlink" xfId="4662" builtinId="8" hidden="1"/>
    <cellStyle name="Hyperlink" xfId="4664" builtinId="8" hidden="1"/>
    <cellStyle name="Hyperlink" xfId="4666" builtinId="8" hidden="1"/>
    <cellStyle name="Hyperlink" xfId="4668" builtinId="8" hidden="1"/>
    <cellStyle name="Hyperlink" xfId="4670" builtinId="8" hidden="1"/>
    <cellStyle name="Hyperlink" xfId="4672" builtinId="8" hidden="1"/>
    <cellStyle name="Hyperlink" xfId="4674" builtinId="8" hidden="1"/>
    <cellStyle name="Hyperlink" xfId="4676" builtinId="8" hidden="1"/>
    <cellStyle name="Hyperlink" xfId="4678" builtinId="8" hidden="1"/>
    <cellStyle name="Hyperlink" xfId="4680" builtinId="8" hidden="1"/>
    <cellStyle name="Hyperlink" xfId="4682" builtinId="8" hidden="1"/>
    <cellStyle name="Hyperlink" xfId="4684" builtinId="8" hidden="1"/>
    <cellStyle name="Hyperlink" xfId="4686" builtinId="8" hidden="1"/>
    <cellStyle name="Hyperlink" xfId="4688" builtinId="8" hidden="1"/>
    <cellStyle name="Hyperlink" xfId="4690" builtinId="8" hidden="1"/>
    <cellStyle name="Hyperlink" xfId="4692" builtinId="8" hidden="1"/>
    <cellStyle name="Hyperlink" xfId="4694" builtinId="8" hidden="1"/>
    <cellStyle name="Hyperlink" xfId="4696" builtinId="8" hidden="1"/>
    <cellStyle name="Hyperlink" xfId="4698" builtinId="8" hidden="1"/>
    <cellStyle name="Hyperlink" xfId="4700" builtinId="8" hidden="1"/>
    <cellStyle name="Hyperlink" xfId="4702" builtinId="8" hidden="1"/>
    <cellStyle name="Hyperlink" xfId="4704" builtinId="8" hidden="1"/>
    <cellStyle name="Hyperlink" xfId="4706" builtinId="8" hidden="1"/>
    <cellStyle name="Hyperlink" xfId="4708" builtinId="8" hidden="1"/>
    <cellStyle name="Hyperlink" xfId="4710" builtinId="8" hidden="1"/>
    <cellStyle name="Hyperlink" xfId="4712" builtinId="8" hidden="1"/>
    <cellStyle name="Hyperlink" xfId="4714" builtinId="8" hidden="1"/>
    <cellStyle name="Hyperlink" xfId="4716" builtinId="8" hidden="1"/>
    <cellStyle name="Hyperlink" xfId="4718" builtinId="8" hidden="1"/>
    <cellStyle name="Hyperlink" xfId="4720" builtinId="8" hidden="1"/>
    <cellStyle name="Hyperlink" xfId="4722" builtinId="8" hidden="1"/>
    <cellStyle name="Hyperlink" xfId="4724" builtinId="8" hidden="1"/>
    <cellStyle name="Hyperlink" xfId="4726" builtinId="8" hidden="1"/>
    <cellStyle name="Hyperlink" xfId="4728" builtinId="8" hidden="1"/>
    <cellStyle name="Hyperlink" xfId="4730" builtinId="8" hidden="1"/>
    <cellStyle name="Hyperlink" xfId="4732" builtinId="8" hidden="1"/>
    <cellStyle name="Hyperlink" xfId="4734" builtinId="8" hidden="1"/>
    <cellStyle name="Hyperlink" xfId="4736" builtinId="8" hidden="1"/>
    <cellStyle name="Hyperlink" xfId="4738" builtinId="8" hidden="1"/>
    <cellStyle name="Hyperlink" xfId="4740" builtinId="8" hidden="1"/>
    <cellStyle name="Hyperlink" xfId="4742" builtinId="8" hidden="1"/>
    <cellStyle name="Hyperlink" xfId="4744" builtinId="8" hidden="1"/>
    <cellStyle name="Hyperlink" xfId="4746" builtinId="8" hidden="1"/>
    <cellStyle name="Hyperlink" xfId="4748" builtinId="8" hidden="1"/>
    <cellStyle name="Hyperlink" xfId="4750" builtinId="8" hidden="1"/>
    <cellStyle name="Hyperlink" xfId="4752" builtinId="8" hidden="1"/>
    <cellStyle name="Hyperlink" xfId="4754" builtinId="8" hidden="1"/>
    <cellStyle name="Hyperlink" xfId="4756" builtinId="8" hidden="1"/>
    <cellStyle name="Hyperlink" xfId="4758" builtinId="8" hidden="1"/>
    <cellStyle name="Hyperlink" xfId="4760" builtinId="8" hidden="1"/>
    <cellStyle name="Hyperlink" xfId="4762" builtinId="8" hidden="1"/>
    <cellStyle name="Hyperlink" xfId="4764" builtinId="8" hidden="1"/>
    <cellStyle name="Hyperlink" xfId="4766" builtinId="8" hidden="1"/>
    <cellStyle name="Hyperlink" xfId="4768" builtinId="8" hidden="1"/>
    <cellStyle name="Hyperlink" xfId="4770" builtinId="8" hidden="1"/>
    <cellStyle name="Hyperlink" xfId="4772" builtinId="8" hidden="1"/>
    <cellStyle name="Hyperlink" xfId="4774" builtinId="8" hidden="1"/>
    <cellStyle name="Hyperlink" xfId="4776" builtinId="8" hidden="1"/>
    <cellStyle name="Hyperlink" xfId="4778" builtinId="8" hidden="1"/>
    <cellStyle name="Hyperlink" xfId="4780" builtinId="8" hidden="1"/>
    <cellStyle name="Hyperlink" xfId="4782" builtinId="8" hidden="1"/>
    <cellStyle name="Hyperlink" xfId="4784" builtinId="8" hidden="1"/>
    <cellStyle name="Hyperlink" xfId="4786" builtinId="8" hidden="1"/>
    <cellStyle name="Hyperlink" xfId="4788" builtinId="8" hidden="1"/>
    <cellStyle name="Hyperlink" xfId="4790" builtinId="8" hidden="1"/>
    <cellStyle name="Hyperlink" xfId="4792" builtinId="8" hidden="1"/>
    <cellStyle name="Hyperlink" xfId="4794" builtinId="8" hidden="1"/>
    <cellStyle name="Hyperlink" xfId="4796" builtinId="8" hidden="1"/>
    <cellStyle name="Hyperlink" xfId="4798" builtinId="8" hidden="1"/>
    <cellStyle name="Hyperlink" xfId="4800" builtinId="8" hidden="1"/>
    <cellStyle name="Hyperlink" xfId="4802" builtinId="8" hidden="1"/>
    <cellStyle name="Hyperlink" xfId="4804" builtinId="8" hidden="1"/>
    <cellStyle name="Hyperlink" xfId="4806" builtinId="8" hidden="1"/>
    <cellStyle name="Hyperlink" xfId="4808" builtinId="8" hidden="1"/>
    <cellStyle name="Hyperlink" xfId="4810" builtinId="8" hidden="1"/>
    <cellStyle name="Hyperlink" xfId="4812" builtinId="8" hidden="1"/>
    <cellStyle name="Hyperlink" xfId="4814" builtinId="8" hidden="1"/>
    <cellStyle name="Hyperlink" xfId="4816" builtinId="8" hidden="1"/>
    <cellStyle name="Hyperlink" xfId="4818" builtinId="8" hidden="1"/>
    <cellStyle name="Hyperlink" xfId="4820" builtinId="8" hidden="1"/>
    <cellStyle name="Hyperlink" xfId="4822" builtinId="8" hidden="1"/>
    <cellStyle name="Hyperlink" xfId="4824" builtinId="8" hidden="1"/>
    <cellStyle name="Hyperlink" xfId="4826" builtinId="8" hidden="1"/>
    <cellStyle name="Hyperlink" xfId="4828" builtinId="8" hidden="1"/>
    <cellStyle name="Hyperlink" xfId="4830" builtinId="8" hidden="1"/>
    <cellStyle name="Hyperlink" xfId="4832" builtinId="8" hidden="1"/>
    <cellStyle name="Hyperlink" xfId="4834" builtinId="8" hidden="1"/>
    <cellStyle name="Hyperlink" xfId="4836" builtinId="8" hidden="1"/>
    <cellStyle name="Hyperlink" xfId="4838" builtinId="8" hidden="1"/>
    <cellStyle name="Hyperlink" xfId="4840" builtinId="8" hidden="1"/>
    <cellStyle name="Hyperlink" xfId="4842" builtinId="8" hidden="1"/>
    <cellStyle name="Hyperlink" xfId="4844" builtinId="8" hidden="1"/>
    <cellStyle name="Hyperlink" xfId="4846" builtinId="8" hidden="1"/>
    <cellStyle name="Hyperlink" xfId="4848" builtinId="8" hidden="1"/>
    <cellStyle name="Hyperlink" xfId="4850" builtinId="8" hidden="1"/>
    <cellStyle name="Hyperlink" xfId="4852" builtinId="8" hidden="1"/>
    <cellStyle name="Hyperlink" xfId="4854" builtinId="8" hidden="1"/>
    <cellStyle name="Hyperlink" xfId="4856" builtinId="8" hidden="1"/>
    <cellStyle name="Hyperlink" xfId="4858" builtinId="8" hidden="1"/>
    <cellStyle name="Hyperlink" xfId="4860" builtinId="8" hidden="1"/>
    <cellStyle name="Hyperlink" xfId="4862" builtinId="8" hidden="1"/>
    <cellStyle name="Hyperlink" xfId="4864" builtinId="8" hidden="1"/>
    <cellStyle name="Hyperlink" xfId="4866" builtinId="8" hidden="1"/>
    <cellStyle name="Hyperlink" xfId="4868" builtinId="8" hidden="1"/>
    <cellStyle name="Hyperlink" xfId="4870" builtinId="8" hidden="1"/>
    <cellStyle name="Hyperlink" xfId="4872" builtinId="8" hidden="1"/>
    <cellStyle name="Hyperlink" xfId="4874" builtinId="8" hidden="1"/>
    <cellStyle name="Hyperlink" xfId="4876" builtinId="8" hidden="1"/>
    <cellStyle name="Hyperlink" xfId="4878" builtinId="8" hidden="1"/>
    <cellStyle name="Hyperlink" xfId="4880" builtinId="8" hidden="1"/>
    <cellStyle name="Hyperlink" xfId="4882" builtinId="8" hidden="1"/>
    <cellStyle name="Hyperlink" xfId="4884" builtinId="8" hidden="1"/>
    <cellStyle name="Hyperlink" xfId="4886" builtinId="8" hidden="1"/>
    <cellStyle name="Hyperlink" xfId="4888" builtinId="8" hidden="1"/>
    <cellStyle name="Hyperlink" xfId="4890" builtinId="8" hidden="1"/>
    <cellStyle name="Hyperlink" xfId="4892" builtinId="8" hidden="1"/>
    <cellStyle name="Hyperlink" xfId="4894" builtinId="8" hidden="1"/>
    <cellStyle name="Hyperlink" xfId="4896" builtinId="8" hidden="1"/>
    <cellStyle name="Hyperlink" xfId="4898" builtinId="8" hidden="1"/>
    <cellStyle name="Hyperlink" xfId="4900" builtinId="8" hidden="1"/>
    <cellStyle name="Hyperlink" xfId="4902" builtinId="8" hidden="1"/>
    <cellStyle name="Hyperlink" xfId="4904" builtinId="8" hidden="1"/>
    <cellStyle name="Hyperlink" xfId="4906" builtinId="8" hidden="1"/>
    <cellStyle name="Hyperlink" xfId="4908" builtinId="8" hidden="1"/>
    <cellStyle name="Hyperlink" xfId="4910" builtinId="8" hidden="1"/>
    <cellStyle name="Hyperlink" xfId="4912" builtinId="8" hidden="1"/>
    <cellStyle name="Hyperlink" xfId="4914" builtinId="8" hidden="1"/>
    <cellStyle name="Hyperlink" xfId="4916" builtinId="8" hidden="1"/>
    <cellStyle name="Hyperlink" xfId="4918" builtinId="8" hidden="1"/>
    <cellStyle name="Hyperlink" xfId="4920" builtinId="8" hidden="1"/>
    <cellStyle name="Hyperlink" xfId="4922" builtinId="8" hidden="1"/>
    <cellStyle name="Hyperlink" xfId="4924" builtinId="8" hidden="1"/>
    <cellStyle name="Hyperlink" xfId="4926" builtinId="8" hidden="1"/>
    <cellStyle name="Hyperlink" xfId="4928" builtinId="8" hidden="1"/>
    <cellStyle name="Hyperlink" xfId="4930" builtinId="8" hidden="1"/>
    <cellStyle name="Hyperlink" xfId="4932" builtinId="8" hidden="1"/>
    <cellStyle name="Hyperlink" xfId="4934" builtinId="8" hidden="1"/>
    <cellStyle name="Hyperlink" xfId="4936" builtinId="8" hidden="1"/>
    <cellStyle name="Hyperlink" xfId="4938" builtinId="8" hidden="1"/>
    <cellStyle name="Hyperlink" xfId="4940" builtinId="8" hidden="1"/>
    <cellStyle name="Hyperlink" xfId="4942" builtinId="8" hidden="1"/>
    <cellStyle name="Hyperlink" xfId="4944" builtinId="8" hidden="1"/>
    <cellStyle name="Hyperlink" xfId="4946" builtinId="8" hidden="1"/>
    <cellStyle name="Hyperlink" xfId="4948" builtinId="8" hidden="1"/>
    <cellStyle name="Hyperlink" xfId="4950" builtinId="8" hidden="1"/>
    <cellStyle name="Hyperlink" xfId="4952" builtinId="8" hidden="1"/>
    <cellStyle name="Hyperlink" xfId="4954" builtinId="8" hidden="1"/>
    <cellStyle name="Hyperlink" xfId="4956" builtinId="8" hidden="1"/>
    <cellStyle name="Hyperlink" xfId="4958" builtinId="8" hidden="1"/>
    <cellStyle name="Hyperlink" xfId="4960" builtinId="8" hidden="1"/>
    <cellStyle name="Hyperlink" xfId="4962" builtinId="8" hidden="1"/>
    <cellStyle name="Hyperlink" xfId="4964" builtinId="8" hidden="1"/>
    <cellStyle name="Hyperlink" xfId="4966" builtinId="8" hidden="1"/>
    <cellStyle name="Hyperlink" xfId="4968" builtinId="8" hidden="1"/>
    <cellStyle name="Hyperlink" xfId="4970" builtinId="8" hidden="1"/>
    <cellStyle name="Hyperlink" xfId="4972" builtinId="8" hidden="1"/>
    <cellStyle name="Hyperlink" xfId="4974" builtinId="8" hidden="1"/>
    <cellStyle name="Hyperlink" xfId="4976" builtinId="8" hidden="1"/>
    <cellStyle name="Hyperlink" xfId="4978" builtinId="8" hidden="1"/>
    <cellStyle name="Hyperlink" xfId="4980" builtinId="8" hidden="1"/>
    <cellStyle name="Hyperlink" xfId="4982" builtinId="8" hidden="1"/>
    <cellStyle name="Hyperlink" xfId="4984" builtinId="8" hidden="1"/>
    <cellStyle name="Hyperlink" xfId="4986" builtinId="8" hidden="1"/>
    <cellStyle name="Hyperlink" xfId="4988" builtinId="8" hidden="1"/>
    <cellStyle name="Hyperlink" xfId="4990" builtinId="8" hidden="1"/>
    <cellStyle name="Hyperlink" xfId="4992" builtinId="8" hidden="1"/>
    <cellStyle name="Hyperlink" xfId="4994" builtinId="8" hidden="1"/>
    <cellStyle name="Hyperlink" xfId="4996" builtinId="8" hidden="1"/>
    <cellStyle name="Hyperlink" xfId="4998" builtinId="8" hidden="1"/>
    <cellStyle name="Hyperlink" xfId="5000" builtinId="8" hidden="1"/>
    <cellStyle name="Hyperlink" xfId="5002" builtinId="8" hidden="1"/>
    <cellStyle name="Hyperlink" xfId="5004" builtinId="8" hidden="1"/>
    <cellStyle name="Hyperlink" xfId="5006" builtinId="8" hidden="1"/>
    <cellStyle name="Hyperlink" xfId="5008" builtinId="8" hidden="1"/>
    <cellStyle name="Hyperlink" xfId="5010" builtinId="8" hidden="1"/>
    <cellStyle name="Hyperlink" xfId="5012" builtinId="8" hidden="1"/>
    <cellStyle name="Hyperlink" xfId="5014" builtinId="8" hidden="1"/>
    <cellStyle name="Hyperlink" xfId="5016" builtinId="8" hidden="1"/>
    <cellStyle name="Hyperlink" xfId="5018" builtinId="8" hidden="1"/>
    <cellStyle name="Hyperlink" xfId="5020" builtinId="8" hidden="1"/>
    <cellStyle name="Hyperlink" xfId="5022" builtinId="8" hidden="1"/>
    <cellStyle name="Hyperlink" xfId="5024" builtinId="8" hidden="1"/>
    <cellStyle name="Hyperlink" xfId="5026" builtinId="8" hidden="1"/>
    <cellStyle name="Hyperlink" xfId="5028" builtinId="8" hidden="1"/>
    <cellStyle name="Hyperlink" xfId="5030" builtinId="8" hidden="1"/>
    <cellStyle name="Hyperlink" xfId="5032" builtinId="8" hidden="1"/>
    <cellStyle name="Hyperlink" xfId="5034" builtinId="8" hidden="1"/>
    <cellStyle name="Hyperlink" xfId="5036" builtinId="8" hidden="1"/>
    <cellStyle name="Hyperlink" xfId="5038" builtinId="8" hidden="1"/>
    <cellStyle name="Hyperlink" xfId="5040" builtinId="8" hidden="1"/>
    <cellStyle name="Hyperlink" xfId="5042" builtinId="8" hidden="1"/>
    <cellStyle name="Hyperlink" xfId="5044" builtinId="8" hidden="1"/>
    <cellStyle name="Hyperlink" xfId="5046" builtinId="8" hidden="1"/>
    <cellStyle name="Hyperlink" xfId="5048" builtinId="8" hidden="1"/>
    <cellStyle name="Hyperlink" xfId="5050" builtinId="8" hidden="1"/>
    <cellStyle name="Hyperlink" xfId="5052" builtinId="8" hidden="1"/>
    <cellStyle name="Hyperlink" xfId="5054" builtinId="8" hidden="1"/>
    <cellStyle name="Hyperlink" xfId="5056" builtinId="8" hidden="1"/>
    <cellStyle name="Hyperlink" xfId="5058" builtinId="8" hidden="1"/>
    <cellStyle name="Hyperlink" xfId="5060" builtinId="8" hidden="1"/>
    <cellStyle name="Hyperlink" xfId="5062" builtinId="8" hidden="1"/>
    <cellStyle name="Hyperlink" xfId="5064" builtinId="8" hidden="1"/>
    <cellStyle name="Hyperlink" xfId="5066" builtinId="8" hidden="1"/>
    <cellStyle name="Hyperlink" xfId="5068" builtinId="8" hidden="1"/>
    <cellStyle name="Hyperlink" xfId="5070" builtinId="8" hidden="1"/>
    <cellStyle name="Hyperlink" xfId="5072" builtinId="8" hidden="1"/>
    <cellStyle name="Hyperlink" xfId="5074" builtinId="8" hidden="1"/>
    <cellStyle name="Hyperlink" xfId="5076" builtinId="8" hidden="1"/>
    <cellStyle name="Hyperlink" xfId="5078" builtinId="8" hidden="1"/>
    <cellStyle name="Hyperlink" xfId="5080" builtinId="8" hidden="1"/>
    <cellStyle name="Hyperlink" xfId="5082" builtinId="8" hidden="1"/>
    <cellStyle name="Hyperlink" xfId="5084" builtinId="8" hidden="1"/>
    <cellStyle name="Hyperlink" xfId="5086" builtinId="8" hidden="1"/>
    <cellStyle name="Hyperlink" xfId="5088" builtinId="8" hidden="1"/>
    <cellStyle name="Hyperlink" xfId="5090" builtinId="8" hidden="1"/>
    <cellStyle name="Hyperlink" xfId="5092" builtinId="8" hidden="1"/>
    <cellStyle name="Hyperlink" xfId="5094" builtinId="8" hidden="1"/>
    <cellStyle name="Hyperlink" xfId="5096" builtinId="8" hidden="1"/>
    <cellStyle name="Hyperlink" xfId="5098" builtinId="8" hidden="1"/>
    <cellStyle name="Hyperlink" xfId="5100" builtinId="8" hidden="1"/>
    <cellStyle name="Hyperlink" xfId="5102" builtinId="8" hidden="1"/>
    <cellStyle name="Hyperlink" xfId="5104" builtinId="8" hidden="1"/>
    <cellStyle name="Hyperlink" xfId="5106" builtinId="8" hidden="1"/>
    <cellStyle name="Hyperlink" xfId="5108" builtinId="8" hidden="1"/>
    <cellStyle name="Normal" xfId="0" builtinId="0"/>
    <cellStyle name="Normal 2" xfId="971" xr:uid="{00000000-0005-0000-0000-0000F5130000}"/>
    <cellStyle name="Normal_mean_qtrs2&amp;3" xfId="5111" xr:uid="{7AFC728C-0EDF-474D-9820-7D65AD250636}"/>
    <cellStyle name="Normal_Sheet1" xfId="5110" xr:uid="{2BE0A87C-844F-499E-A47C-78235B839281}"/>
  </cellStyles>
  <dxfs count="12">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
      <font>
        <color theme="0" tint="-0.499984740745262"/>
      </font>
      <numFmt numFmtId="1" formatCode="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76623</xdr:colOff>
      <xdr:row>16</xdr:row>
      <xdr:rowOff>135043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29209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16</xdr:row>
      <xdr:rowOff>63472</xdr:rowOff>
    </xdr:from>
    <xdr:to>
      <xdr:col>20</xdr:col>
      <xdr:colOff>581268</xdr:colOff>
      <xdr:row>25</xdr:row>
      <xdr:rowOff>181582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36830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151130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51"/>
  <sheetViews>
    <sheetView topLeftCell="A10" zoomScale="125" zoomScaleNormal="125" zoomScalePageLayoutView="125" workbookViewId="0">
      <selection activeCell="B14" sqref="B14"/>
    </sheetView>
  </sheetViews>
  <sheetFormatPr defaultColWidth="8.83203125" defaultRowHeight="12.3" x14ac:dyDescent="0.4"/>
  <cols>
    <col min="2" max="2" width="34.83203125" customWidth="1"/>
  </cols>
  <sheetData>
    <row r="2" spans="2:4" x14ac:dyDescent="0.4">
      <c r="B2" t="s">
        <v>146</v>
      </c>
    </row>
    <row r="3" spans="2:4" x14ac:dyDescent="0.4">
      <c r="B3" t="s">
        <v>147</v>
      </c>
    </row>
    <row r="4" spans="2:4" x14ac:dyDescent="0.4">
      <c r="B4" s="38" t="s">
        <v>169</v>
      </c>
    </row>
    <row r="6" spans="2:4" ht="12.6" thickBot="1" x14ac:dyDescent="0.45">
      <c r="B6" s="22" t="s">
        <v>142</v>
      </c>
    </row>
    <row r="7" spans="2:4" x14ac:dyDescent="0.4">
      <c r="B7" s="38" t="s">
        <v>144</v>
      </c>
    </row>
    <row r="8" spans="2:4" x14ac:dyDescent="0.4">
      <c r="B8" s="38" t="s">
        <v>143</v>
      </c>
    </row>
    <row r="9" spans="2:4" x14ac:dyDescent="0.4">
      <c r="B9" s="38" t="s">
        <v>145</v>
      </c>
    </row>
    <row r="10" spans="2:4" x14ac:dyDescent="0.4">
      <c r="B10" s="38" t="s">
        <v>148</v>
      </c>
    </row>
    <row r="11" spans="2:4" x14ac:dyDescent="0.4">
      <c r="B11" s="38" t="s">
        <v>152</v>
      </c>
    </row>
    <row r="12" spans="2:4" x14ac:dyDescent="0.4">
      <c r="B12" s="38" t="s">
        <v>155</v>
      </c>
    </row>
    <row r="13" spans="2:4" x14ac:dyDescent="0.4">
      <c r="B13" s="38" t="s">
        <v>170</v>
      </c>
    </row>
    <row r="15" spans="2:4" ht="12.6" thickBot="1" x14ac:dyDescent="0.45"/>
    <row r="16" spans="2:4" ht="12.6" thickBot="1" x14ac:dyDescent="0.45">
      <c r="B16" s="23" t="s">
        <v>138</v>
      </c>
      <c r="C16" s="24"/>
      <c r="D16" s="8">
        <v>41373</v>
      </c>
    </row>
    <row r="17" spans="2:4" x14ac:dyDescent="0.4">
      <c r="B17" s="25" t="s">
        <v>58</v>
      </c>
      <c r="C17" s="11">
        <v>0</v>
      </c>
    </row>
    <row r="18" spans="2:4" x14ac:dyDescent="0.4">
      <c r="B18" s="25" t="s">
        <v>59</v>
      </c>
      <c r="C18" s="11">
        <v>1</v>
      </c>
    </row>
    <row r="19" spans="2:4" x14ac:dyDescent="0.4">
      <c r="B19" s="25" t="s">
        <v>60</v>
      </c>
      <c r="C19" s="11">
        <v>2</v>
      </c>
    </row>
    <row r="20" spans="2:4" ht="12.6" thickBot="1" x14ac:dyDescent="0.45">
      <c r="B20" s="26" t="s">
        <v>44</v>
      </c>
      <c r="C20" s="12">
        <v>3</v>
      </c>
    </row>
    <row r="21" spans="2:4" x14ac:dyDescent="0.4">
      <c r="B21" s="27" t="s">
        <v>141</v>
      </c>
    </row>
    <row r="22" spans="2:4" ht="12.6" thickBot="1" x14ac:dyDescent="0.45"/>
    <row r="23" spans="2:4" ht="12.6" thickBot="1" x14ac:dyDescent="0.45">
      <c r="B23" s="23" t="s">
        <v>66</v>
      </c>
      <c r="C23" s="24"/>
      <c r="D23" s="8" t="s">
        <v>149</v>
      </c>
    </row>
    <row r="24" spans="2:4" x14ac:dyDescent="0.4">
      <c r="B24" s="29" t="s">
        <v>38</v>
      </c>
      <c r="C24" s="9">
        <v>1</v>
      </c>
    </row>
    <row r="25" spans="2:4" x14ac:dyDescent="0.4">
      <c r="B25" s="25" t="s">
        <v>40</v>
      </c>
      <c r="C25" s="11">
        <v>1.1000000000000001</v>
      </c>
    </row>
    <row r="26" spans="2:4" x14ac:dyDescent="0.4">
      <c r="B26" s="25" t="s">
        <v>41</v>
      </c>
      <c r="C26" s="11">
        <v>1.2</v>
      </c>
    </row>
    <row r="27" spans="2:4" x14ac:dyDescent="0.4">
      <c r="B27" s="25"/>
      <c r="C27" s="11"/>
    </row>
    <row r="28" spans="2:4" x14ac:dyDescent="0.4">
      <c r="B28" s="25" t="s">
        <v>42</v>
      </c>
      <c r="C28" s="11">
        <v>2.1</v>
      </c>
    </row>
    <row r="29" spans="2:4" x14ac:dyDescent="0.4">
      <c r="B29" s="25" t="s">
        <v>43</v>
      </c>
      <c r="C29" s="11">
        <v>2.2000000000000002</v>
      </c>
    </row>
    <row r="30" spans="2:4" x14ac:dyDescent="0.4">
      <c r="B30" s="25" t="s">
        <v>68</v>
      </c>
      <c r="C30" s="11">
        <v>2.2999999999999998</v>
      </c>
    </row>
    <row r="31" spans="2:4" x14ac:dyDescent="0.4">
      <c r="B31" s="25"/>
      <c r="C31" s="11"/>
    </row>
    <row r="32" spans="2:4" x14ac:dyDescent="0.4">
      <c r="B32" s="25" t="s">
        <v>63</v>
      </c>
      <c r="C32" s="11">
        <v>3.11</v>
      </c>
    </row>
    <row r="33" spans="2:3" x14ac:dyDescent="0.4">
      <c r="B33" s="25" t="s">
        <v>62</v>
      </c>
      <c r="C33" s="11">
        <v>3.12</v>
      </c>
    </row>
    <row r="34" spans="2:3" x14ac:dyDescent="0.4">
      <c r="B34" s="25" t="s">
        <v>69</v>
      </c>
      <c r="C34" s="11">
        <v>3.13</v>
      </c>
    </row>
    <row r="35" spans="2:3" x14ac:dyDescent="0.4">
      <c r="B35" s="25"/>
      <c r="C35" s="11"/>
    </row>
    <row r="36" spans="2:3" x14ac:dyDescent="0.4">
      <c r="B36" s="25" t="s">
        <v>67</v>
      </c>
      <c r="C36" s="11">
        <v>3.21</v>
      </c>
    </row>
    <row r="37" spans="2:3" x14ac:dyDescent="0.4">
      <c r="B37" s="25" t="s">
        <v>64</v>
      </c>
      <c r="C37" s="11">
        <v>3.22</v>
      </c>
    </row>
    <row r="38" spans="2:3" x14ac:dyDescent="0.4">
      <c r="B38" s="25" t="s">
        <v>70</v>
      </c>
      <c r="C38" s="11">
        <v>3.23</v>
      </c>
    </row>
    <row r="39" spans="2:3" x14ac:dyDescent="0.4">
      <c r="B39" s="25"/>
      <c r="C39" s="11"/>
    </row>
    <row r="40" spans="2:3" x14ac:dyDescent="0.4">
      <c r="B40" s="25" t="s">
        <v>65</v>
      </c>
      <c r="C40" s="11">
        <v>8</v>
      </c>
    </row>
    <row r="41" spans="2:3" x14ac:dyDescent="0.4">
      <c r="B41" s="25"/>
      <c r="C41" s="11"/>
    </row>
    <row r="42" spans="2:3" x14ac:dyDescent="0.4">
      <c r="B42" s="25" t="s">
        <v>72</v>
      </c>
      <c r="C42" s="11">
        <v>4.0999999999999996</v>
      </c>
    </row>
    <row r="43" spans="2:3" x14ac:dyDescent="0.4">
      <c r="B43" s="25" t="s">
        <v>71</v>
      </c>
      <c r="C43" s="11">
        <v>4.2</v>
      </c>
    </row>
    <row r="44" spans="2:3" x14ac:dyDescent="0.4">
      <c r="B44" s="25" t="s">
        <v>73</v>
      </c>
      <c r="C44" s="11">
        <v>4.3</v>
      </c>
    </row>
    <row r="45" spans="2:3" x14ac:dyDescent="0.4">
      <c r="B45" s="10"/>
      <c r="C45" s="11"/>
    </row>
    <row r="46" spans="2:3" x14ac:dyDescent="0.4">
      <c r="B46" s="25" t="s">
        <v>139</v>
      </c>
      <c r="C46" s="11">
        <v>6.1</v>
      </c>
    </row>
    <row r="47" spans="2:3" x14ac:dyDescent="0.4">
      <c r="B47" s="25" t="s">
        <v>45</v>
      </c>
      <c r="C47" s="11">
        <v>6.2</v>
      </c>
    </row>
    <row r="48" spans="2:3" x14ac:dyDescent="0.4">
      <c r="B48" s="25"/>
      <c r="C48" s="11"/>
    </row>
    <row r="49" spans="2:3" x14ac:dyDescent="0.4">
      <c r="B49" s="25" t="s">
        <v>44</v>
      </c>
      <c r="C49" s="11">
        <v>5</v>
      </c>
    </row>
    <row r="50" spans="2:3" x14ac:dyDescent="0.4">
      <c r="B50" s="25"/>
      <c r="C50" s="11"/>
    </row>
    <row r="51" spans="2:3" ht="12.6" thickBot="1" x14ac:dyDescent="0.45">
      <c r="B51" s="26" t="s">
        <v>74</v>
      </c>
      <c r="C51" s="12">
        <v>7</v>
      </c>
    </row>
  </sheetData>
  <phoneticPr fontId="2" type="noConversion"/>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BH504"/>
  <sheetViews>
    <sheetView zoomScale="115" zoomScaleNormal="115" workbookViewId="0">
      <pane xSplit="5" ySplit="1" topLeftCell="M2" activePane="bottomRight" state="frozen"/>
      <selection pane="topRight" activeCell="F1" sqref="F1"/>
      <selection pane="bottomLeft" activeCell="A2" sqref="A2"/>
      <selection pane="bottomRight" activeCell="E9" sqref="E9"/>
    </sheetView>
  </sheetViews>
  <sheetFormatPr defaultColWidth="8.83203125" defaultRowHeight="15" customHeight="1" x14ac:dyDescent="0.4"/>
  <cols>
    <col min="1" max="1" width="22.5" style="48" customWidth="1"/>
    <col min="2" max="2" width="7.6640625" style="48" customWidth="1"/>
    <col min="3" max="3" width="8.83203125" style="48"/>
    <col min="4" max="4" width="14.33203125" style="48" customWidth="1"/>
    <col min="5" max="5" width="28.33203125" style="48" customWidth="1"/>
    <col min="6" max="6" width="9.5" style="48" bestFit="1" customWidth="1"/>
    <col min="7" max="7" width="12.33203125" style="119" bestFit="1" customWidth="1"/>
    <col min="8" max="12" width="8.83203125" style="119"/>
    <col min="13" max="14" width="8.83203125" style="48"/>
    <col min="15" max="15" width="18.83203125" style="48" customWidth="1"/>
    <col min="16" max="16" width="15.83203125" style="173" customWidth="1"/>
    <col min="17" max="25" width="8.83203125" style="48"/>
    <col min="26" max="26" width="16.1640625" style="48" bestFit="1" customWidth="1"/>
    <col min="27" max="27" width="28.1640625" customWidth="1"/>
    <col min="28" max="28" width="21.83203125" style="7" customWidth="1"/>
    <col min="29" max="29" width="24.6640625" style="67" customWidth="1"/>
    <col min="30" max="30" width="40.33203125" customWidth="1"/>
    <col min="32" max="32" width="8.83203125" style="185"/>
    <col min="33" max="33" width="37.1640625" customWidth="1"/>
    <col min="35" max="35" width="34.83203125" customWidth="1"/>
    <col min="37" max="37" width="14.6640625" customWidth="1"/>
    <col min="44" max="44" width="12.33203125" bestFit="1" customWidth="1"/>
    <col min="54" max="54" width="13" customWidth="1"/>
    <col min="55" max="16384" width="8.83203125" style="48"/>
  </cols>
  <sheetData>
    <row r="1" spans="1:60" s="60" customFormat="1" ht="15" customHeight="1" thickBot="1" x14ac:dyDescent="0.45">
      <c r="A1" s="46" t="s">
        <v>19</v>
      </c>
      <c r="C1" s="47" t="s">
        <v>7</v>
      </c>
      <c r="D1" s="46" t="s">
        <v>23</v>
      </c>
      <c r="E1" s="46" t="s">
        <v>0</v>
      </c>
      <c r="F1" s="46" t="s">
        <v>6</v>
      </c>
      <c r="G1" s="116" t="s">
        <v>14</v>
      </c>
      <c r="H1" s="116" t="s">
        <v>1</v>
      </c>
      <c r="I1" s="116" t="s">
        <v>2</v>
      </c>
      <c r="J1" s="116" t="s">
        <v>15</v>
      </c>
      <c r="K1" s="116" t="s">
        <v>355</v>
      </c>
      <c r="L1" s="116" t="s">
        <v>3</v>
      </c>
      <c r="M1" s="46" t="s">
        <v>4</v>
      </c>
      <c r="N1" s="46" t="s">
        <v>5</v>
      </c>
      <c r="O1" s="46" t="s">
        <v>142</v>
      </c>
      <c r="P1" s="181" t="s">
        <v>358</v>
      </c>
      <c r="AA1" s="67" t="s">
        <v>294</v>
      </c>
      <c r="AB1" s="145" t="s">
        <v>295</v>
      </c>
      <c r="AC1" s="67" t="s">
        <v>296</v>
      </c>
      <c r="AD1" s="130" t="s">
        <v>298</v>
      </c>
      <c r="AE1" s="131" t="s">
        <v>297</v>
      </c>
      <c r="AF1" s="185" t="s">
        <v>290</v>
      </c>
      <c r="AG1" t="s">
        <v>301</v>
      </c>
      <c r="AH1" s="67" t="s">
        <v>290</v>
      </c>
      <c r="AI1" s="67" t="s">
        <v>393</v>
      </c>
      <c r="AJ1" s="67" t="s">
        <v>291</v>
      </c>
      <c r="AK1"/>
      <c r="AL1"/>
      <c r="AM1"/>
      <c r="AN1"/>
      <c r="AO1"/>
      <c r="AP1"/>
      <c r="AQ1"/>
      <c r="AR1"/>
      <c r="AS1"/>
      <c r="AT1"/>
      <c r="AU1"/>
      <c r="AV1"/>
      <c r="AW1"/>
      <c r="AX1"/>
      <c r="AY1"/>
      <c r="AZ1"/>
      <c r="BA1"/>
      <c r="BB1"/>
    </row>
    <row r="2" spans="1:60" ht="15" customHeight="1" x14ac:dyDescent="0.4">
      <c r="C2" s="6">
        <v>1</v>
      </c>
      <c r="D2"/>
      <c r="E2" t="s">
        <v>177</v>
      </c>
      <c r="F2">
        <v>1</v>
      </c>
      <c r="G2" s="71">
        <f>AC2*AF2</f>
        <v>45.753259999999997</v>
      </c>
      <c r="H2" s="71">
        <v>215</v>
      </c>
      <c r="I2" s="71"/>
      <c r="J2" s="71"/>
      <c r="K2" s="71"/>
      <c r="L2" s="71"/>
      <c r="M2" s="114"/>
      <c r="N2">
        <v>0</v>
      </c>
      <c r="O2"/>
      <c r="P2" s="180" t="s">
        <v>359</v>
      </c>
      <c r="Q2" s="42"/>
      <c r="AA2" s="263" t="s">
        <v>496</v>
      </c>
      <c r="AB2" s="223" t="s">
        <v>418</v>
      </c>
      <c r="AC2" s="71">
        <v>45.753259999999997</v>
      </c>
      <c r="AD2" t="s">
        <v>177</v>
      </c>
      <c r="AE2" s="6">
        <v>1</v>
      </c>
      <c r="AF2" s="185">
        <f>$AH$2</f>
        <v>1</v>
      </c>
      <c r="AG2" s="203" t="s">
        <v>392</v>
      </c>
      <c r="AH2" s="168">
        <v>1</v>
      </c>
      <c r="AI2" s="167" t="s">
        <v>392</v>
      </c>
      <c r="AJ2" s="190" t="s">
        <v>426</v>
      </c>
      <c r="BB2" t="s">
        <v>484</v>
      </c>
    </row>
    <row r="3" spans="1:60" ht="15" customHeight="1" x14ac:dyDescent="0.4">
      <c r="A3" s="1" t="s">
        <v>8</v>
      </c>
      <c r="B3" s="4">
        <v>85</v>
      </c>
      <c r="C3" s="6">
        <v>2</v>
      </c>
      <c r="D3"/>
      <c r="E3" t="s">
        <v>178</v>
      </c>
      <c r="F3">
        <v>1</v>
      </c>
      <c r="G3" s="71">
        <f t="shared" ref="G3:G60" si="0">AC3*AF3</f>
        <v>6.2300519999999997</v>
      </c>
      <c r="H3" s="71">
        <v>215</v>
      </c>
      <c r="I3" s="71"/>
      <c r="J3" s="71"/>
      <c r="K3" s="71"/>
      <c r="L3" s="71"/>
      <c r="M3" s="114"/>
      <c r="N3">
        <v>0</v>
      </c>
      <c r="O3"/>
      <c r="P3" s="180" t="s">
        <v>359</v>
      </c>
      <c r="Q3" s="42"/>
      <c r="AA3" s="263" t="s">
        <v>496</v>
      </c>
      <c r="AB3" s="223" t="s">
        <v>418</v>
      </c>
      <c r="AC3" s="71">
        <v>6.2300519999999997</v>
      </c>
      <c r="AD3" t="s">
        <v>178</v>
      </c>
      <c r="AE3" s="6">
        <v>2</v>
      </c>
      <c r="AF3" s="185">
        <f>$AH$2</f>
        <v>1</v>
      </c>
      <c r="AG3" s="203" t="s">
        <v>392</v>
      </c>
      <c r="AH3" s="166">
        <v>1</v>
      </c>
      <c r="AI3" s="165" t="s">
        <v>292</v>
      </c>
    </row>
    <row r="4" spans="1:60" ht="15" customHeight="1" x14ac:dyDescent="0.4">
      <c r="A4" s="1" t="s">
        <v>9</v>
      </c>
      <c r="B4" s="4">
        <v>5</v>
      </c>
      <c r="C4" s="6">
        <v>3</v>
      </c>
      <c r="D4"/>
      <c r="E4" t="s">
        <v>179</v>
      </c>
      <c r="F4">
        <v>0</v>
      </c>
      <c r="G4" s="71"/>
      <c r="H4" s="71">
        <v>150</v>
      </c>
      <c r="I4" s="71"/>
      <c r="J4" s="71">
        <v>0.9</v>
      </c>
      <c r="K4" s="71">
        <v>0.35</v>
      </c>
      <c r="L4" s="71"/>
      <c r="M4">
        <v>0.2</v>
      </c>
      <c r="N4">
        <v>0</v>
      </c>
      <c r="O4"/>
      <c r="P4" s="180" t="s">
        <v>360</v>
      </c>
      <c r="Q4" s="42"/>
      <c r="V4" s="1" t="s">
        <v>29</v>
      </c>
      <c r="AC4" s="71"/>
      <c r="AD4" t="s">
        <v>179</v>
      </c>
      <c r="AE4" s="6">
        <v>3</v>
      </c>
      <c r="AF4" s="183">
        <v>1</v>
      </c>
      <c r="AG4" s="213" t="s">
        <v>292</v>
      </c>
      <c r="AH4" s="166">
        <v>0.21</v>
      </c>
      <c r="AI4" s="164" t="s">
        <v>302</v>
      </c>
      <c r="AJ4" t="s">
        <v>293</v>
      </c>
      <c r="BB4" s="138" t="s">
        <v>307</v>
      </c>
      <c r="BC4" s="138" t="s">
        <v>308</v>
      </c>
      <c r="BD4" s="138" t="s">
        <v>309</v>
      </c>
      <c r="BE4" s="138" t="s">
        <v>310</v>
      </c>
      <c r="BF4" s="138" t="s">
        <v>311</v>
      </c>
      <c r="BG4"/>
    </row>
    <row r="5" spans="1:60" ht="15" customHeight="1" thickBot="1" x14ac:dyDescent="0.45">
      <c r="A5" s="1" t="s">
        <v>10</v>
      </c>
      <c r="B5" s="4">
        <v>9</v>
      </c>
      <c r="C5" s="6">
        <v>4</v>
      </c>
      <c r="D5"/>
      <c r="E5" t="s">
        <v>180</v>
      </c>
      <c r="F5">
        <v>0</v>
      </c>
      <c r="G5" s="71">
        <f t="shared" si="0"/>
        <v>6.551649855</v>
      </c>
      <c r="H5" s="71">
        <v>15</v>
      </c>
      <c r="I5" s="71"/>
      <c r="J5" s="71"/>
      <c r="K5" s="71">
        <v>0.25</v>
      </c>
      <c r="L5" s="71"/>
      <c r="M5">
        <v>0.2</v>
      </c>
      <c r="N5">
        <v>0</v>
      </c>
      <c r="O5"/>
      <c r="P5" s="180" t="s">
        <v>361</v>
      </c>
      <c r="Q5" s="42"/>
      <c r="R5" s="42"/>
      <c r="AA5" t="s">
        <v>336</v>
      </c>
      <c r="AB5" s="7" t="s">
        <v>337</v>
      </c>
      <c r="AC5" s="71">
        <v>1.310329971</v>
      </c>
      <c r="AD5" t="s">
        <v>180</v>
      </c>
      <c r="AE5" s="6">
        <v>4</v>
      </c>
      <c r="AF5" s="185">
        <f t="shared" ref="AF5:AF7" si="1">$AH$7</f>
        <v>5</v>
      </c>
      <c r="AG5" s="204" t="s">
        <v>388</v>
      </c>
      <c r="AH5" s="166">
        <f>BC26*0.21</f>
        <v>7.0676982591876228E-2</v>
      </c>
      <c r="AI5" s="163" t="s">
        <v>303</v>
      </c>
      <c r="AJ5" s="76" t="s">
        <v>485</v>
      </c>
      <c r="BB5" t="s">
        <v>304</v>
      </c>
      <c r="BC5">
        <v>0.7</v>
      </c>
      <c r="BD5">
        <v>6</v>
      </c>
      <c r="BE5">
        <f xml:space="preserve"> 0.00073354 * (BD5*10)^(1.98313)</f>
        <v>2.4645003837443085</v>
      </c>
      <c r="BF5">
        <f>BE5*BC5</f>
        <v>1.7251502686210158</v>
      </c>
      <c r="BG5"/>
    </row>
    <row r="6" spans="1:60" ht="15" customHeight="1" thickBot="1" x14ac:dyDescent="0.45">
      <c r="B6" s="1"/>
      <c r="C6" s="6">
        <v>5</v>
      </c>
      <c r="D6"/>
      <c r="E6" t="s">
        <v>181</v>
      </c>
      <c r="F6">
        <v>0</v>
      </c>
      <c r="G6" s="71">
        <f t="shared" si="0"/>
        <v>26.443222049999999</v>
      </c>
      <c r="H6" s="71">
        <v>37</v>
      </c>
      <c r="I6" s="71"/>
      <c r="J6" s="71"/>
      <c r="K6" s="71">
        <v>0.25</v>
      </c>
      <c r="L6" s="71"/>
      <c r="M6">
        <v>0.2</v>
      </c>
      <c r="N6">
        <v>0</v>
      </c>
      <c r="O6"/>
      <c r="P6" s="180" t="s">
        <v>361</v>
      </c>
      <c r="Q6" s="42"/>
      <c r="R6" s="42"/>
      <c r="W6" s="13" t="s">
        <v>31</v>
      </c>
      <c r="X6" s="28">
        <f>MAX(MainOutputs!G:G)</f>
        <v>0.98725241422653198</v>
      </c>
      <c r="AA6" t="s">
        <v>336</v>
      </c>
      <c r="AB6" s="7" t="s">
        <v>337</v>
      </c>
      <c r="AC6" s="71">
        <v>5.2886444099999999</v>
      </c>
      <c r="AD6" t="s">
        <v>181</v>
      </c>
      <c r="AE6" s="6">
        <v>5</v>
      </c>
      <c r="AF6" s="185">
        <f t="shared" si="1"/>
        <v>5</v>
      </c>
      <c r="AG6" s="204" t="s">
        <v>388</v>
      </c>
      <c r="AH6" s="166">
        <v>0.13</v>
      </c>
      <c r="AI6" s="162" t="s">
        <v>300</v>
      </c>
      <c r="AJ6" t="s">
        <v>486</v>
      </c>
      <c r="BB6" t="s">
        <v>305</v>
      </c>
      <c r="BC6">
        <v>0.42</v>
      </c>
      <c r="BD6">
        <v>13.5</v>
      </c>
      <c r="BE6">
        <f xml:space="preserve"> 0.00073354 * (BD6*10)^(1.98313)</f>
        <v>12.307011523873571</v>
      </c>
      <c r="BF6">
        <f>BE6*BC6</f>
        <v>5.1689448400268994</v>
      </c>
      <c r="BG6"/>
    </row>
    <row r="7" spans="1:60" ht="15" customHeight="1" x14ac:dyDescent="0.45">
      <c r="A7" s="2" t="s">
        <v>27</v>
      </c>
      <c r="B7" s="48">
        <f ca="1">COUNTIF(OFFSET(cornerDiets,1,1,NumLiving+NumDead+1,NumLiving+NumDead),"&gt;0")+NumLiving+NumDead+1</f>
        <v>2067</v>
      </c>
      <c r="C7" s="6">
        <v>6</v>
      </c>
      <c r="D7"/>
      <c r="E7" t="s">
        <v>182</v>
      </c>
      <c r="F7">
        <v>0</v>
      </c>
      <c r="G7" s="71">
        <f t="shared" si="0"/>
        <v>4.8129247099999999</v>
      </c>
      <c r="H7" s="71">
        <v>37</v>
      </c>
      <c r="I7" s="71"/>
      <c r="J7" s="71"/>
      <c r="K7" s="71">
        <v>0.25</v>
      </c>
      <c r="L7" s="71"/>
      <c r="M7">
        <v>0.2</v>
      </c>
      <c r="N7">
        <v>0</v>
      </c>
      <c r="O7"/>
      <c r="P7" s="180" t="s">
        <v>362</v>
      </c>
      <c r="Q7" s="42"/>
      <c r="R7" s="42"/>
      <c r="AA7" t="s">
        <v>338</v>
      </c>
      <c r="AB7" s="7" t="s">
        <v>348</v>
      </c>
      <c r="AC7" s="71">
        <v>0.962584942</v>
      </c>
      <c r="AD7" t="s">
        <v>182</v>
      </c>
      <c r="AE7" s="6">
        <v>6</v>
      </c>
      <c r="AF7" s="185">
        <f t="shared" si="1"/>
        <v>5</v>
      </c>
      <c r="AG7" s="204" t="s">
        <v>388</v>
      </c>
      <c r="AH7" s="161">
        <v>5</v>
      </c>
      <c r="AI7" s="160" t="s">
        <v>388</v>
      </c>
      <c r="AJ7" s="200" t="s">
        <v>487</v>
      </c>
      <c r="BA7" t="s">
        <v>312</v>
      </c>
      <c r="BB7" t="s">
        <v>306</v>
      </c>
      <c r="BC7">
        <v>7.0000000000000007E-2</v>
      </c>
      <c r="BD7">
        <v>2.6</v>
      </c>
      <c r="BE7">
        <f xml:space="preserve"> 0.00073354 * (BD7*10)^(1.98313)</f>
        <v>0.46935332246448552</v>
      </c>
      <c r="BF7">
        <f>BE7*BC7</f>
        <v>3.2854732572513992E-2</v>
      </c>
      <c r="BG7"/>
    </row>
    <row r="8" spans="1:60" ht="15" customHeight="1" x14ac:dyDescent="0.45">
      <c r="A8" s="2" t="s">
        <v>28</v>
      </c>
      <c r="B8" s="48">
        <f ca="1">COUNTIF(OFFSET(cornerFishing,1,2,NumLiving+NumDead,NumGears),"&gt;0")+NumDead*COUNTIF(OFFSET(cornerDiscards,1,2,NumLiving+NumDead,NumGears),"&gt;0")+NumLiving+NumDead+1</f>
        <v>835</v>
      </c>
      <c r="C8" s="6">
        <v>7</v>
      </c>
      <c r="D8"/>
      <c r="E8" t="s">
        <v>183</v>
      </c>
      <c r="F8">
        <v>0</v>
      </c>
      <c r="G8" s="71">
        <f t="shared" si="0"/>
        <v>0.27157810999999998</v>
      </c>
      <c r="H8" s="71">
        <v>15</v>
      </c>
      <c r="I8" s="71"/>
      <c r="J8" s="71"/>
      <c r="K8" s="71">
        <v>0.3</v>
      </c>
      <c r="L8" s="71"/>
      <c r="M8">
        <v>0.2</v>
      </c>
      <c r="N8">
        <v>0</v>
      </c>
      <c r="O8"/>
      <c r="P8" s="180" t="s">
        <v>363</v>
      </c>
      <c r="Q8" s="42"/>
      <c r="R8" s="42"/>
      <c r="Z8" s="45"/>
      <c r="AA8" t="s">
        <v>336</v>
      </c>
      <c r="AB8" s="7" t="s">
        <v>337</v>
      </c>
      <c r="AC8" s="71">
        <v>5.4315622000000001E-2</v>
      </c>
      <c r="AD8" t="s">
        <v>183</v>
      </c>
      <c r="AE8" s="6">
        <v>7</v>
      </c>
      <c r="AF8" s="185">
        <f>$AH$7</f>
        <v>5</v>
      </c>
      <c r="AG8" s="204" t="s">
        <v>388</v>
      </c>
      <c r="AH8" s="161">
        <v>5</v>
      </c>
      <c r="AI8" s="159" t="s">
        <v>389</v>
      </c>
      <c r="AJ8" s="200" t="s">
        <v>487</v>
      </c>
      <c r="BC8"/>
      <c r="BD8"/>
      <c r="BE8" s="1"/>
      <c r="BF8" s="1"/>
      <c r="BG8" s="139"/>
    </row>
    <row r="9" spans="1:60" ht="15" customHeight="1" x14ac:dyDescent="0.4">
      <c r="B9" s="1"/>
      <c r="C9" s="6">
        <v>8</v>
      </c>
      <c r="D9"/>
      <c r="E9" t="s">
        <v>184</v>
      </c>
      <c r="F9">
        <v>0</v>
      </c>
      <c r="G9" s="71">
        <f t="shared" si="0"/>
        <v>0.66168714000000006</v>
      </c>
      <c r="H9" s="71">
        <v>14</v>
      </c>
      <c r="I9" s="71"/>
      <c r="J9" s="71"/>
      <c r="K9" s="71">
        <v>0.25</v>
      </c>
      <c r="L9" s="71"/>
      <c r="M9">
        <v>0.2</v>
      </c>
      <c r="N9">
        <v>0</v>
      </c>
      <c r="O9"/>
      <c r="P9" s="180" t="s">
        <v>362</v>
      </c>
      <c r="Q9" s="42"/>
      <c r="R9" s="42"/>
      <c r="Z9" s="45"/>
      <c r="AA9" t="s">
        <v>339</v>
      </c>
      <c r="AB9" s="7" t="s">
        <v>349</v>
      </c>
      <c r="AC9" s="71">
        <v>0.13233742800000001</v>
      </c>
      <c r="AD9" t="s">
        <v>184</v>
      </c>
      <c r="AE9" s="6">
        <v>8</v>
      </c>
      <c r="AF9" s="185">
        <f>$AH$8</f>
        <v>5</v>
      </c>
      <c r="AG9" s="201" t="s">
        <v>389</v>
      </c>
      <c r="AH9" s="158">
        <v>1</v>
      </c>
      <c r="AI9" s="157" t="s">
        <v>450</v>
      </c>
      <c r="AJ9" s="190" t="s">
        <v>451</v>
      </c>
      <c r="BH9" s="1"/>
    </row>
    <row r="10" spans="1:60" ht="15" customHeight="1" x14ac:dyDescent="0.4">
      <c r="B10" s="1"/>
      <c r="C10" s="6">
        <v>9</v>
      </c>
      <c r="D10"/>
      <c r="E10" t="s">
        <v>185</v>
      </c>
      <c r="F10">
        <v>0</v>
      </c>
      <c r="G10" s="71">
        <f t="shared" si="0"/>
        <v>18.938839120000001</v>
      </c>
      <c r="H10" s="71">
        <v>3</v>
      </c>
      <c r="I10" s="71"/>
      <c r="J10" s="71"/>
      <c r="K10" s="71">
        <v>0.25</v>
      </c>
      <c r="L10" s="71"/>
      <c r="M10">
        <v>0.2</v>
      </c>
      <c r="N10">
        <v>0</v>
      </c>
      <c r="O10"/>
      <c r="P10" s="180" t="s">
        <v>362</v>
      </c>
      <c r="Q10" s="42"/>
      <c r="Z10" s="45"/>
      <c r="AA10" t="s">
        <v>340</v>
      </c>
      <c r="AB10" s="7" t="s">
        <v>350</v>
      </c>
      <c r="AC10" s="71">
        <v>18.938839120000001</v>
      </c>
      <c r="AD10" t="s">
        <v>185</v>
      </c>
      <c r="AE10" s="6">
        <v>9</v>
      </c>
      <c r="AF10" s="185">
        <f>$AH$12</f>
        <v>1</v>
      </c>
      <c r="AG10" s="155" t="s">
        <v>394</v>
      </c>
      <c r="AH10" s="161">
        <v>0.8</v>
      </c>
      <c r="AI10" s="156" t="s">
        <v>452</v>
      </c>
      <c r="AJ10" s="190" t="s">
        <v>391</v>
      </c>
    </row>
    <row r="11" spans="1:60" ht="15" customHeight="1" x14ac:dyDescent="0.4">
      <c r="C11" s="6">
        <v>10</v>
      </c>
      <c r="D11"/>
      <c r="E11" t="s">
        <v>186</v>
      </c>
      <c r="F11">
        <v>0</v>
      </c>
      <c r="G11" s="71">
        <f t="shared" si="0"/>
        <v>6.3090491800000006</v>
      </c>
      <c r="H11" s="71">
        <v>10</v>
      </c>
      <c r="I11" s="71"/>
      <c r="J11" s="71"/>
      <c r="K11" s="71">
        <v>0.25</v>
      </c>
      <c r="L11" s="71"/>
      <c r="M11">
        <v>0.2</v>
      </c>
      <c r="N11">
        <v>0</v>
      </c>
      <c r="O11"/>
      <c r="P11" s="180" t="s">
        <v>362</v>
      </c>
      <c r="Q11" s="42"/>
      <c r="Z11" s="45"/>
      <c r="AA11" t="s">
        <v>339</v>
      </c>
      <c r="AB11" s="7" t="s">
        <v>349</v>
      </c>
      <c r="AC11" s="71">
        <v>1.2618098360000001</v>
      </c>
      <c r="AD11" t="s">
        <v>186</v>
      </c>
      <c r="AE11" s="6">
        <v>10</v>
      </c>
      <c r="AF11" s="185">
        <f>$AH$8</f>
        <v>5</v>
      </c>
      <c r="AG11" s="201" t="s">
        <v>389</v>
      </c>
      <c r="AH11" s="161">
        <v>1.2</v>
      </c>
      <c r="AI11" s="156" t="s">
        <v>453</v>
      </c>
      <c r="AJ11" s="190" t="s">
        <v>488</v>
      </c>
      <c r="BB11" s="138" t="s">
        <v>314</v>
      </c>
      <c r="BC11" s="138" t="s">
        <v>315</v>
      </c>
      <c r="BD11" s="138" t="s">
        <v>316</v>
      </c>
    </row>
    <row r="12" spans="1:60" ht="15" customHeight="1" x14ac:dyDescent="0.4">
      <c r="C12" s="6">
        <v>11</v>
      </c>
      <c r="D12"/>
      <c r="E12" t="s">
        <v>187</v>
      </c>
      <c r="F12">
        <v>0</v>
      </c>
      <c r="G12" s="71">
        <f t="shared" si="0"/>
        <v>1.6707181591799998</v>
      </c>
      <c r="H12" s="71">
        <v>45</v>
      </c>
      <c r="I12" s="71"/>
      <c r="J12" s="71"/>
      <c r="K12" s="71">
        <v>0.3</v>
      </c>
      <c r="L12" s="71"/>
      <c r="M12">
        <v>0.2</v>
      </c>
      <c r="N12">
        <v>0</v>
      </c>
      <c r="O12"/>
      <c r="P12" s="180" t="s">
        <v>364</v>
      </c>
      <c r="Q12" s="42"/>
      <c r="Z12" s="45"/>
      <c r="AA12" t="s">
        <v>339</v>
      </c>
      <c r="AB12" s="7" t="s">
        <v>349</v>
      </c>
      <c r="AC12" s="71">
        <v>7.9558007579999996</v>
      </c>
      <c r="AD12" t="s">
        <v>187</v>
      </c>
      <c r="AE12" s="6">
        <v>11</v>
      </c>
      <c r="AF12" s="185">
        <f>AH4</f>
        <v>0.21</v>
      </c>
      <c r="AG12" s="132" t="s">
        <v>299</v>
      </c>
      <c r="AH12" s="158">
        <v>1</v>
      </c>
      <c r="AI12" s="155" t="s">
        <v>394</v>
      </c>
      <c r="AJ12" s="190" t="s">
        <v>397</v>
      </c>
      <c r="BB12" t="s">
        <v>317</v>
      </c>
      <c r="BC12">
        <v>0.88</v>
      </c>
      <c r="BD12" t="s">
        <v>318</v>
      </c>
    </row>
    <row r="13" spans="1:60" ht="15" customHeight="1" x14ac:dyDescent="0.4">
      <c r="C13" s="6">
        <v>12</v>
      </c>
      <c r="D13"/>
      <c r="E13" t="s">
        <v>188</v>
      </c>
      <c r="F13">
        <v>0</v>
      </c>
      <c r="G13" s="71">
        <f t="shared" si="0"/>
        <v>5.3595739890000001E-2</v>
      </c>
      <c r="H13" s="71">
        <v>20</v>
      </c>
      <c r="I13" s="71"/>
      <c r="J13" s="71"/>
      <c r="K13" s="71">
        <v>0.3</v>
      </c>
      <c r="L13" s="71"/>
      <c r="M13">
        <v>0.2</v>
      </c>
      <c r="N13">
        <v>0</v>
      </c>
      <c r="O13"/>
      <c r="P13" s="180" t="s">
        <v>364</v>
      </c>
      <c r="Q13" s="42"/>
      <c r="Z13" s="45"/>
      <c r="AA13" t="s">
        <v>339</v>
      </c>
      <c r="AB13" s="7" t="s">
        <v>349</v>
      </c>
      <c r="AC13" s="71">
        <v>0.25521780900000002</v>
      </c>
      <c r="AD13" t="s">
        <v>188</v>
      </c>
      <c r="AE13" s="6">
        <v>12</v>
      </c>
      <c r="AF13" s="185">
        <f>AH4</f>
        <v>0.21</v>
      </c>
      <c r="AG13" s="132" t="s">
        <v>299</v>
      </c>
      <c r="AH13" s="158">
        <v>2</v>
      </c>
      <c r="AI13" s="154" t="s">
        <v>419</v>
      </c>
      <c r="AJ13" s="190" t="s">
        <v>396</v>
      </c>
      <c r="BB13" t="s">
        <v>319</v>
      </c>
      <c r="BC13">
        <v>1.73</v>
      </c>
      <c r="BD13" t="s">
        <v>320</v>
      </c>
    </row>
    <row r="14" spans="1:60" ht="15" customHeight="1" x14ac:dyDescent="0.4">
      <c r="C14" s="6">
        <v>13</v>
      </c>
      <c r="D14"/>
      <c r="E14" t="s">
        <v>189</v>
      </c>
      <c r="F14">
        <v>0</v>
      </c>
      <c r="G14" s="71">
        <f t="shared" si="0"/>
        <v>0.10131044793999999</v>
      </c>
      <c r="H14" s="71">
        <v>15</v>
      </c>
      <c r="I14" s="71"/>
      <c r="J14" s="71"/>
      <c r="K14" s="71">
        <v>0.25</v>
      </c>
      <c r="L14" s="71"/>
      <c r="M14">
        <v>0.2</v>
      </c>
      <c r="N14">
        <v>0</v>
      </c>
      <c r="O14"/>
      <c r="P14" s="180" t="s">
        <v>365</v>
      </c>
      <c r="Q14" s="42"/>
      <c r="Z14" s="45"/>
      <c r="AA14" t="s">
        <v>352</v>
      </c>
      <c r="AB14" s="7" t="s">
        <v>351</v>
      </c>
      <c r="AC14" s="71">
        <v>0.77931113799999996</v>
      </c>
      <c r="AD14" t="s">
        <v>189</v>
      </c>
      <c r="AE14" s="6">
        <v>13</v>
      </c>
      <c r="AF14" s="185">
        <f>AH6</f>
        <v>0.13</v>
      </c>
      <c r="AG14" s="137" t="s">
        <v>300</v>
      </c>
      <c r="AH14" s="158">
        <v>4</v>
      </c>
      <c r="AI14" s="153" t="s">
        <v>395</v>
      </c>
      <c r="AJ14" s="190" t="s">
        <v>399</v>
      </c>
      <c r="BB14" t="s">
        <v>321</v>
      </c>
      <c r="BC14">
        <v>1.73</v>
      </c>
      <c r="BD14" t="s">
        <v>320</v>
      </c>
    </row>
    <row r="15" spans="1:60" ht="15" customHeight="1" x14ac:dyDescent="0.4">
      <c r="C15" s="6">
        <v>14</v>
      </c>
      <c r="D15"/>
      <c r="E15" t="s">
        <v>273</v>
      </c>
      <c r="F15">
        <v>0</v>
      </c>
      <c r="G15" s="172">
        <f t="shared" si="0"/>
        <v>15.976114920696329</v>
      </c>
      <c r="H15" s="126">
        <v>45</v>
      </c>
      <c r="I15" s="150"/>
      <c r="J15" s="126"/>
      <c r="K15" s="126">
        <v>0.3</v>
      </c>
      <c r="L15" s="126"/>
      <c r="M15" s="69">
        <v>0.2</v>
      </c>
      <c r="N15" s="69">
        <v>0</v>
      </c>
      <c r="O15" t="s">
        <v>463</v>
      </c>
      <c r="P15" s="179"/>
      <c r="Q15" s="42"/>
      <c r="Z15" s="45"/>
      <c r="AA15" t="s">
        <v>341</v>
      </c>
      <c r="AB15" s="7" t="s">
        <v>357</v>
      </c>
      <c r="AC15" s="71">
        <v>226.04409999999999</v>
      </c>
      <c r="AD15" t="s">
        <v>273</v>
      </c>
      <c r="AE15" s="6">
        <v>14</v>
      </c>
      <c r="AF15" s="182">
        <f>AH5</f>
        <v>7.0676982591876228E-2</v>
      </c>
      <c r="AG15" s="133" t="s">
        <v>303</v>
      </c>
      <c r="AH15" s="158">
        <v>1</v>
      </c>
      <c r="AI15" s="206" t="s">
        <v>398</v>
      </c>
      <c r="BB15" t="s">
        <v>322</v>
      </c>
      <c r="BC15">
        <v>3.45</v>
      </c>
      <c r="BD15" t="s">
        <v>323</v>
      </c>
    </row>
    <row r="16" spans="1:60" ht="15" customHeight="1" thickBot="1" x14ac:dyDescent="0.45">
      <c r="C16" s="6">
        <v>15</v>
      </c>
      <c r="D16"/>
      <c r="E16" t="s">
        <v>190</v>
      </c>
      <c r="F16">
        <v>0</v>
      </c>
      <c r="G16" s="71">
        <f t="shared" si="0"/>
        <v>32.293805747190497</v>
      </c>
      <c r="H16" s="71">
        <v>6</v>
      </c>
      <c r="I16" s="71"/>
      <c r="J16" s="71"/>
      <c r="K16" s="71">
        <v>0.25</v>
      </c>
      <c r="L16" s="71"/>
      <c r="M16">
        <v>0.2</v>
      </c>
      <c r="N16">
        <v>0</v>
      </c>
      <c r="O16"/>
      <c r="P16" s="180" t="s">
        <v>366</v>
      </c>
      <c r="Q16" s="42"/>
      <c r="Z16" s="45"/>
      <c r="AA16" t="s">
        <v>497</v>
      </c>
      <c r="AB16" s="7" t="s">
        <v>498</v>
      </c>
      <c r="AC16">
        <v>26.911504789325416</v>
      </c>
      <c r="AD16" t="s">
        <v>190</v>
      </c>
      <c r="AE16" s="6">
        <v>15</v>
      </c>
      <c r="AF16" s="185">
        <f>$AH$26</f>
        <v>1.2</v>
      </c>
      <c r="AG16" s="202" t="s">
        <v>390</v>
      </c>
      <c r="AH16" s="152">
        <v>50</v>
      </c>
      <c r="AI16" s="151" t="s">
        <v>403</v>
      </c>
      <c r="AJ16" s="190" t="s">
        <v>413</v>
      </c>
      <c r="BB16" t="s">
        <v>305</v>
      </c>
      <c r="BC16">
        <v>5.17</v>
      </c>
      <c r="BD16" t="s">
        <v>323</v>
      </c>
    </row>
    <row r="17" spans="1:56" ht="15" customHeight="1" x14ac:dyDescent="0.4">
      <c r="C17" s="6">
        <v>16</v>
      </c>
      <c r="D17"/>
      <c r="E17" t="s">
        <v>191</v>
      </c>
      <c r="F17">
        <v>0</v>
      </c>
      <c r="G17" s="71">
        <f t="shared" si="0"/>
        <v>10.234480962809508</v>
      </c>
      <c r="H17" s="71">
        <v>7</v>
      </c>
      <c r="I17" s="71"/>
      <c r="J17" s="71"/>
      <c r="K17" s="71">
        <v>0.25</v>
      </c>
      <c r="L17" s="71"/>
      <c r="M17">
        <v>0.2</v>
      </c>
      <c r="N17">
        <v>0</v>
      </c>
      <c r="O17"/>
      <c r="P17" s="180" t="s">
        <v>366</v>
      </c>
      <c r="Q17" s="42"/>
      <c r="Z17" s="45"/>
      <c r="AA17" s="216" t="s">
        <v>497</v>
      </c>
      <c r="AB17" s="218" t="s">
        <v>498</v>
      </c>
      <c r="AC17">
        <v>8.5287341356745898</v>
      </c>
      <c r="AD17" t="s">
        <v>191</v>
      </c>
      <c r="AE17" s="6">
        <v>16</v>
      </c>
      <c r="AF17" s="185">
        <f>$AH$26</f>
        <v>1.2</v>
      </c>
      <c r="AG17" s="202" t="s">
        <v>390</v>
      </c>
      <c r="AH17" s="207">
        <v>8</v>
      </c>
      <c r="AI17" s="210" t="s">
        <v>412</v>
      </c>
      <c r="AJ17" s="190" t="s">
        <v>464</v>
      </c>
      <c r="BB17" t="s">
        <v>324</v>
      </c>
      <c r="BC17">
        <v>3.8849999999999998</v>
      </c>
      <c r="BD17" t="s">
        <v>323</v>
      </c>
    </row>
    <row r="18" spans="1:56" ht="15" customHeight="1" x14ac:dyDescent="0.4">
      <c r="C18" s="6">
        <v>17</v>
      </c>
      <c r="D18"/>
      <c r="E18" t="s">
        <v>192</v>
      </c>
      <c r="F18">
        <v>0</v>
      </c>
      <c r="G18" s="71"/>
      <c r="H18" s="71">
        <v>3</v>
      </c>
      <c r="I18" s="71"/>
      <c r="J18" s="71">
        <v>0.85</v>
      </c>
      <c r="K18" s="71">
        <v>0.25</v>
      </c>
      <c r="L18" s="71"/>
      <c r="M18">
        <v>0.2</v>
      </c>
      <c r="N18">
        <v>0</v>
      </c>
      <c r="O18"/>
      <c r="P18" s="180" t="s">
        <v>367</v>
      </c>
      <c r="Q18" s="42"/>
      <c r="V18" s="1" t="s">
        <v>30</v>
      </c>
      <c r="Z18" s="45"/>
      <c r="AC18" s="71"/>
      <c r="AD18" t="s">
        <v>192</v>
      </c>
      <c r="AE18" s="6">
        <v>17</v>
      </c>
      <c r="AF18" s="185">
        <v>1</v>
      </c>
      <c r="AG18" s="213" t="s">
        <v>292</v>
      </c>
      <c r="AH18" s="207">
        <v>2</v>
      </c>
      <c r="AI18" s="211" t="s">
        <v>416</v>
      </c>
      <c r="BB18" t="s">
        <v>325</v>
      </c>
      <c r="BC18">
        <v>2.6</v>
      </c>
      <c r="BD18" t="s">
        <v>323</v>
      </c>
    </row>
    <row r="19" spans="1:56" ht="15" customHeight="1" x14ac:dyDescent="0.4">
      <c r="C19" s="6">
        <v>18</v>
      </c>
      <c r="D19"/>
      <c r="E19" t="s">
        <v>193</v>
      </c>
      <c r="F19">
        <v>0</v>
      </c>
      <c r="G19" s="71">
        <f t="shared" si="0"/>
        <v>5.0000000000000001E-3</v>
      </c>
      <c r="H19" s="71">
        <v>2.75</v>
      </c>
      <c r="I19" s="71"/>
      <c r="J19" s="71"/>
      <c r="K19" s="71">
        <v>0.25</v>
      </c>
      <c r="L19" s="71"/>
      <c r="M19">
        <v>0.2</v>
      </c>
      <c r="N19">
        <v>0</v>
      </c>
      <c r="O19" t="s">
        <v>287</v>
      </c>
      <c r="P19" s="180" t="s">
        <v>368</v>
      </c>
      <c r="Q19" s="42"/>
      <c r="V19" s="1"/>
      <c r="Z19" s="45"/>
      <c r="AC19" s="71">
        <v>5.0000000000000001E-3</v>
      </c>
      <c r="AD19" t="s">
        <v>193</v>
      </c>
      <c r="AE19" s="6">
        <v>18</v>
      </c>
      <c r="AF19" s="185">
        <v>1</v>
      </c>
      <c r="AG19" s="190" t="s">
        <v>429</v>
      </c>
      <c r="AH19" s="161">
        <v>4</v>
      </c>
      <c r="AI19" s="212" t="s">
        <v>414</v>
      </c>
      <c r="AJ19" t="s">
        <v>422</v>
      </c>
      <c r="BB19" t="s">
        <v>326</v>
      </c>
      <c r="BC19">
        <v>1.3149999999999999</v>
      </c>
      <c r="BD19" t="s">
        <v>323</v>
      </c>
    </row>
    <row r="20" spans="1:56" ht="15" customHeight="1" x14ac:dyDescent="0.4">
      <c r="C20" s="6">
        <v>19</v>
      </c>
      <c r="D20"/>
      <c r="E20" t="s">
        <v>194</v>
      </c>
      <c r="F20">
        <v>0</v>
      </c>
      <c r="G20" s="221">
        <f t="shared" si="0"/>
        <v>7.383280000000001</v>
      </c>
      <c r="H20" s="71">
        <v>1.8</v>
      </c>
      <c r="I20" s="71"/>
      <c r="J20" s="147"/>
      <c r="K20" s="71">
        <v>0.25</v>
      </c>
      <c r="L20" s="71"/>
      <c r="M20">
        <v>0.2</v>
      </c>
      <c r="N20">
        <v>0</v>
      </c>
      <c r="O20" s="216" t="s">
        <v>287</v>
      </c>
      <c r="P20" s="178" t="s">
        <v>369</v>
      </c>
      <c r="Q20" s="42"/>
      <c r="Z20" s="45"/>
      <c r="AA20" s="222" t="s">
        <v>343</v>
      </c>
      <c r="AB20" s="222" t="s">
        <v>415</v>
      </c>
      <c r="AC20" s="217">
        <v>1.8458200000000002</v>
      </c>
      <c r="AD20" t="s">
        <v>194</v>
      </c>
      <c r="AE20" s="6">
        <v>19</v>
      </c>
      <c r="AF20" s="185">
        <f>$AH$19</f>
        <v>4</v>
      </c>
      <c r="AG20" s="212" t="s">
        <v>414</v>
      </c>
      <c r="AH20" s="161">
        <v>10</v>
      </c>
      <c r="AI20" s="229" t="s">
        <v>425</v>
      </c>
      <c r="AJ20" s="216" t="s">
        <v>424</v>
      </c>
      <c r="BB20" t="s">
        <v>327</v>
      </c>
      <c r="BC20">
        <v>0.03</v>
      </c>
      <c r="BD20" t="s">
        <v>320</v>
      </c>
    </row>
    <row r="21" spans="1:56" ht="15" customHeight="1" thickBot="1" x14ac:dyDescent="0.45">
      <c r="C21" s="6">
        <v>20</v>
      </c>
      <c r="D21"/>
      <c r="E21" t="s">
        <v>195</v>
      </c>
      <c r="F21">
        <v>0</v>
      </c>
      <c r="G21" s="221"/>
      <c r="H21" s="71">
        <v>1.1333333333333333</v>
      </c>
      <c r="I21" s="71"/>
      <c r="J21" s="71">
        <v>0.9</v>
      </c>
      <c r="K21" s="71">
        <v>0.25</v>
      </c>
      <c r="L21" s="71"/>
      <c r="M21">
        <v>0.2</v>
      </c>
      <c r="N21">
        <v>0</v>
      </c>
      <c r="O21" s="190" t="s">
        <v>465</v>
      </c>
      <c r="P21" s="178" t="s">
        <v>369</v>
      </c>
      <c r="Q21" s="42"/>
      <c r="Z21" s="45"/>
      <c r="AA21" s="217"/>
      <c r="AB21" s="217"/>
      <c r="AC21" s="216"/>
      <c r="AD21" t="s">
        <v>195</v>
      </c>
      <c r="AE21" s="6">
        <v>20</v>
      </c>
      <c r="AF21" s="185">
        <v>1</v>
      </c>
      <c r="AG21" s="213" t="s">
        <v>292</v>
      </c>
      <c r="AH21" s="161">
        <v>2</v>
      </c>
      <c r="AI21" s="229" t="s">
        <v>423</v>
      </c>
      <c r="AJ21" s="190" t="s">
        <v>405</v>
      </c>
      <c r="BB21" t="s">
        <v>328</v>
      </c>
      <c r="BC21">
        <v>0.03</v>
      </c>
      <c r="BD21" t="s">
        <v>329</v>
      </c>
    </row>
    <row r="22" spans="1:56" ht="15" customHeight="1" thickBot="1" x14ac:dyDescent="0.45">
      <c r="A22" s="23" t="s">
        <v>138</v>
      </c>
      <c r="B22" s="61"/>
      <c r="C22" s="6">
        <v>21</v>
      </c>
      <c r="D22"/>
      <c r="E22" t="s">
        <v>196</v>
      </c>
      <c r="F22">
        <v>0</v>
      </c>
      <c r="G22" s="71">
        <f t="shared" si="0"/>
        <v>1.8413895599999999</v>
      </c>
      <c r="H22" s="71">
        <v>1.1333333333333333</v>
      </c>
      <c r="I22" s="71"/>
      <c r="J22" s="71"/>
      <c r="K22" s="71">
        <v>0.25</v>
      </c>
      <c r="L22" s="71"/>
      <c r="M22">
        <v>0.2</v>
      </c>
      <c r="N22">
        <v>0</v>
      </c>
      <c r="O22"/>
      <c r="P22" s="178" t="s">
        <v>369</v>
      </c>
      <c r="Q22" s="42"/>
      <c r="Z22" s="45"/>
      <c r="AA22" t="s">
        <v>344</v>
      </c>
      <c r="AB22" s="7" t="s">
        <v>353</v>
      </c>
      <c r="AC22" s="71">
        <v>1.5344913</v>
      </c>
      <c r="AD22" t="s">
        <v>196</v>
      </c>
      <c r="AE22" s="6">
        <v>21</v>
      </c>
      <c r="AF22" s="185">
        <f>$AH$11</f>
        <v>1.2</v>
      </c>
      <c r="AG22" s="156" t="s">
        <v>453</v>
      </c>
      <c r="AH22" s="207">
        <v>1</v>
      </c>
      <c r="AI22" s="209" t="s">
        <v>404</v>
      </c>
      <c r="AJ22" s="190" t="s">
        <v>407</v>
      </c>
      <c r="BB22" t="s">
        <v>330</v>
      </c>
      <c r="BC22">
        <v>0.03</v>
      </c>
      <c r="BD22" t="s">
        <v>329</v>
      </c>
    </row>
    <row r="23" spans="1:56" ht="15" customHeight="1" x14ac:dyDescent="0.4">
      <c r="A23" s="62" t="s">
        <v>58</v>
      </c>
      <c r="B23" s="63">
        <v>0</v>
      </c>
      <c r="C23" s="6">
        <v>22</v>
      </c>
      <c r="D23"/>
      <c r="E23" t="s">
        <v>197</v>
      </c>
      <c r="F23">
        <v>0</v>
      </c>
      <c r="G23" s="71">
        <f t="shared" si="0"/>
        <v>4.0991812799999998</v>
      </c>
      <c r="H23" s="71">
        <v>1.8</v>
      </c>
      <c r="I23" s="71"/>
      <c r="J23" s="71"/>
      <c r="K23" s="71">
        <v>0.25</v>
      </c>
      <c r="L23" s="71"/>
      <c r="M23">
        <v>0.2</v>
      </c>
      <c r="N23">
        <v>0</v>
      </c>
      <c r="O23"/>
      <c r="P23" s="178" t="s">
        <v>369</v>
      </c>
      <c r="Q23" s="42"/>
      <c r="X23" s="81"/>
      <c r="Y23" s="71"/>
      <c r="Z23" s="71"/>
      <c r="AA23" t="s">
        <v>344</v>
      </c>
      <c r="AB23" s="7" t="s">
        <v>353</v>
      </c>
      <c r="AC23" s="71">
        <v>3.4159844000000001</v>
      </c>
      <c r="AD23" t="s">
        <v>197</v>
      </c>
      <c r="AE23" s="6">
        <v>22</v>
      </c>
      <c r="AF23" s="185">
        <f t="shared" ref="AF23:AF24" si="2">$AH$11</f>
        <v>1.2</v>
      </c>
      <c r="AG23" s="156" t="s">
        <v>453</v>
      </c>
      <c r="AH23" s="207">
        <v>1</v>
      </c>
      <c r="AI23" s="214" t="s">
        <v>406</v>
      </c>
      <c r="AJ23" s="190" t="s">
        <v>409</v>
      </c>
      <c r="BB23" s="138" t="s">
        <v>331</v>
      </c>
      <c r="BC23" s="138">
        <v>0.03</v>
      </c>
      <c r="BD23" s="138" t="s">
        <v>329</v>
      </c>
    </row>
    <row r="24" spans="1:56" ht="15" customHeight="1" x14ac:dyDescent="0.4">
      <c r="A24" s="62" t="s">
        <v>59</v>
      </c>
      <c r="B24" s="63">
        <v>1</v>
      </c>
      <c r="C24" s="6">
        <v>23</v>
      </c>
      <c r="D24"/>
      <c r="E24" t="s">
        <v>198</v>
      </c>
      <c r="F24">
        <v>0</v>
      </c>
      <c r="G24" s="71">
        <f t="shared" si="0"/>
        <v>3.0376920000000003</v>
      </c>
      <c r="H24" s="71">
        <v>1.8</v>
      </c>
      <c r="I24" s="71"/>
      <c r="J24" s="71"/>
      <c r="K24" s="71">
        <v>0.25</v>
      </c>
      <c r="L24" s="71"/>
      <c r="M24">
        <v>0.2</v>
      </c>
      <c r="N24">
        <v>0</v>
      </c>
      <c r="O24"/>
      <c r="P24" s="178" t="s">
        <v>369</v>
      </c>
      <c r="Q24" s="42"/>
      <c r="W24" s="71"/>
      <c r="X24" s="71"/>
      <c r="Y24" s="71"/>
      <c r="Z24" s="71"/>
      <c r="AA24" t="s">
        <v>344</v>
      </c>
      <c r="AB24" s="7" t="s">
        <v>353</v>
      </c>
      <c r="AC24" s="71">
        <v>2.5314100000000002</v>
      </c>
      <c r="AD24" t="s">
        <v>198</v>
      </c>
      <c r="AE24" s="6">
        <v>23</v>
      </c>
      <c r="AF24" s="185">
        <f t="shared" si="2"/>
        <v>1.2</v>
      </c>
      <c r="AG24" s="156" t="s">
        <v>453</v>
      </c>
      <c r="AH24" s="207">
        <v>2</v>
      </c>
      <c r="AI24" s="205" t="s">
        <v>408</v>
      </c>
      <c r="AJ24" s="190" t="s">
        <v>411</v>
      </c>
      <c r="BB24" s="76" t="s">
        <v>332</v>
      </c>
      <c r="BC24" s="76">
        <f>AVERAGE(BC12:BC23)</f>
        <v>1.7400000000000004</v>
      </c>
      <c r="BD24"/>
    </row>
    <row r="25" spans="1:56" ht="15" customHeight="1" thickBot="1" x14ac:dyDescent="0.45">
      <c r="A25" s="62" t="s">
        <v>60</v>
      </c>
      <c r="B25" s="63">
        <v>2</v>
      </c>
      <c r="C25" s="6">
        <v>24</v>
      </c>
      <c r="D25"/>
      <c r="E25" t="s">
        <v>199</v>
      </c>
      <c r="F25">
        <v>0</v>
      </c>
      <c r="G25" s="221">
        <f t="shared" si="0"/>
        <v>0.129944</v>
      </c>
      <c r="H25" s="71">
        <v>1.1333333333333333</v>
      </c>
      <c r="I25" s="71"/>
      <c r="J25" s="71"/>
      <c r="K25" s="71">
        <v>0.25</v>
      </c>
      <c r="L25" s="71"/>
      <c r="M25">
        <v>0.2</v>
      </c>
      <c r="N25">
        <v>0</v>
      </c>
      <c r="O25" t="s">
        <v>287</v>
      </c>
      <c r="P25" s="178" t="s">
        <v>369</v>
      </c>
      <c r="Q25" s="42"/>
      <c r="W25" s="71"/>
      <c r="X25" s="81"/>
      <c r="Y25" s="81"/>
      <c r="Z25" s="71"/>
      <c r="AA25" s="146" t="s">
        <v>343</v>
      </c>
      <c r="AB25" s="146" t="s">
        <v>415</v>
      </c>
      <c r="AC25" s="216">
        <v>3.2486000000000001E-2</v>
      </c>
      <c r="AD25" t="s">
        <v>199</v>
      </c>
      <c r="AE25" s="6">
        <v>24</v>
      </c>
      <c r="AF25" s="185">
        <f>$AH$19</f>
        <v>4</v>
      </c>
      <c r="AG25" s="212" t="s">
        <v>414</v>
      </c>
      <c r="AH25" s="208">
        <v>1</v>
      </c>
      <c r="AI25" s="215" t="s">
        <v>410</v>
      </c>
      <c r="AJ25" s="190" t="s">
        <v>428</v>
      </c>
      <c r="BB25" s="1"/>
      <c r="BC25" s="1"/>
      <c r="BD25"/>
    </row>
    <row r="26" spans="1:56" ht="15" customHeight="1" thickBot="1" x14ac:dyDescent="0.45">
      <c r="A26" s="64" t="s">
        <v>44</v>
      </c>
      <c r="B26" s="65">
        <v>3</v>
      </c>
      <c r="C26" s="6">
        <v>25</v>
      </c>
      <c r="D26"/>
      <c r="E26" t="s">
        <v>265</v>
      </c>
      <c r="F26" s="6">
        <v>0</v>
      </c>
      <c r="G26" s="71">
        <f t="shared" si="0"/>
        <v>0.22203840000000002</v>
      </c>
      <c r="H26" s="71">
        <v>1.8</v>
      </c>
      <c r="I26" s="71"/>
      <c r="J26" s="71"/>
      <c r="K26" s="71">
        <v>0.25</v>
      </c>
      <c r="L26" s="71"/>
      <c r="M26">
        <v>0.2</v>
      </c>
      <c r="N26">
        <v>0</v>
      </c>
      <c r="O26" s="38"/>
      <c r="P26" s="178" t="s">
        <v>369</v>
      </c>
      <c r="Q26" s="42"/>
      <c r="W26" s="71"/>
      <c r="X26" s="81"/>
      <c r="Y26" s="81"/>
      <c r="Z26" s="81"/>
      <c r="AA26" t="s">
        <v>343</v>
      </c>
      <c r="AB26" t="s">
        <v>350</v>
      </c>
      <c r="AC26" s="71">
        <v>4.4407680000000003E-3</v>
      </c>
      <c r="AD26" t="s">
        <v>265</v>
      </c>
      <c r="AE26" s="6">
        <v>25</v>
      </c>
      <c r="AF26" s="185">
        <f>$AH$16</f>
        <v>50</v>
      </c>
      <c r="AG26" s="169" t="s">
        <v>402</v>
      </c>
      <c r="AH26" s="158">
        <v>1.2</v>
      </c>
      <c r="AI26" s="157" t="s">
        <v>427</v>
      </c>
      <c r="AJ26" s="190" t="s">
        <v>466</v>
      </c>
      <c r="BB26" s="1" t="s">
        <v>333</v>
      </c>
      <c r="BC26" s="1">
        <f>BC24/BC16</f>
        <v>0.33655705996131535</v>
      </c>
      <c r="BD26" s="76" t="s">
        <v>313</v>
      </c>
    </row>
    <row r="27" spans="1:56" ht="15" customHeight="1" x14ac:dyDescent="0.4">
      <c r="A27" s="66" t="s">
        <v>141</v>
      </c>
      <c r="C27" s="6">
        <v>26</v>
      </c>
      <c r="D27"/>
      <c r="E27" t="s">
        <v>274</v>
      </c>
      <c r="F27" s="6">
        <v>0</v>
      </c>
      <c r="G27" s="172">
        <f t="shared" si="0"/>
        <v>0.10993694264602701</v>
      </c>
      <c r="H27" s="71">
        <v>1.1333333333333333</v>
      </c>
      <c r="I27" s="71"/>
      <c r="J27" s="71"/>
      <c r="K27" s="71">
        <v>0.25</v>
      </c>
      <c r="L27" s="71"/>
      <c r="M27">
        <v>0.2</v>
      </c>
      <c r="N27">
        <v>0</v>
      </c>
      <c r="O27" s="76" t="s">
        <v>286</v>
      </c>
      <c r="P27" s="178" t="s">
        <v>369</v>
      </c>
      <c r="Q27" s="42"/>
      <c r="W27" s="71"/>
      <c r="X27" s="81"/>
      <c r="Y27" s="81"/>
      <c r="Z27" s="81"/>
      <c r="AA27" t="s">
        <v>343</v>
      </c>
      <c r="AB27" s="6" t="s">
        <v>354</v>
      </c>
      <c r="AC27" s="186">
        <v>2.1987388529205402E-3</v>
      </c>
      <c r="AD27" t="s">
        <v>274</v>
      </c>
      <c r="AE27" s="6">
        <v>26</v>
      </c>
      <c r="AF27" s="185">
        <f>$AH$16</f>
        <v>50</v>
      </c>
      <c r="AG27" s="169" t="s">
        <v>402</v>
      </c>
      <c r="AH27" s="161">
        <v>15</v>
      </c>
      <c r="AI27" s="155" t="s">
        <v>432</v>
      </c>
    </row>
    <row r="28" spans="1:56" ht="15" customHeight="1" x14ac:dyDescent="0.4">
      <c r="C28" s="6">
        <v>27</v>
      </c>
      <c r="D28"/>
      <c r="E28" t="s">
        <v>275</v>
      </c>
      <c r="F28" s="6">
        <v>0</v>
      </c>
      <c r="G28" s="172">
        <f t="shared" si="0"/>
        <v>7.9832996190737499E-2</v>
      </c>
      <c r="H28" s="71">
        <v>1.1333333333333333</v>
      </c>
      <c r="I28" s="71"/>
      <c r="J28" s="71"/>
      <c r="K28" s="71">
        <v>0.25</v>
      </c>
      <c r="L28" s="71"/>
      <c r="M28">
        <v>0.2</v>
      </c>
      <c r="N28">
        <v>0</v>
      </c>
      <c r="O28" s="76" t="s">
        <v>286</v>
      </c>
      <c r="P28" s="178" t="s">
        <v>369</v>
      </c>
      <c r="Q28" s="42"/>
      <c r="W28" s="71"/>
      <c r="X28" s="81"/>
      <c r="Y28" s="81"/>
      <c r="Z28" s="81"/>
      <c r="AA28" t="s">
        <v>343</v>
      </c>
      <c r="AB28" s="6" t="s">
        <v>354</v>
      </c>
      <c r="AC28" s="186">
        <v>1.59665992381475E-3</v>
      </c>
      <c r="AD28" t="s">
        <v>275</v>
      </c>
      <c r="AE28" s="6">
        <v>27</v>
      </c>
      <c r="AF28" s="185">
        <f t="shared" ref="AF28:AF33" si="3">$AH$16</f>
        <v>50</v>
      </c>
      <c r="AG28" s="169" t="s">
        <v>402</v>
      </c>
    </row>
    <row r="29" spans="1:56" ht="15" customHeight="1" x14ac:dyDescent="0.4">
      <c r="C29" s="6">
        <v>28</v>
      </c>
      <c r="D29"/>
      <c r="E29" t="s">
        <v>276</v>
      </c>
      <c r="F29" s="6">
        <v>0</v>
      </c>
      <c r="G29" s="172">
        <f t="shared" si="0"/>
        <v>1.51182297724855E-2</v>
      </c>
      <c r="H29" s="71">
        <v>1.8</v>
      </c>
      <c r="I29" s="71"/>
      <c r="J29" s="71"/>
      <c r="K29" s="71">
        <v>0.25</v>
      </c>
      <c r="L29" s="71"/>
      <c r="M29">
        <v>0.2</v>
      </c>
      <c r="N29">
        <v>0</v>
      </c>
      <c r="O29" s="76" t="s">
        <v>286</v>
      </c>
      <c r="P29" s="178" t="s">
        <v>369</v>
      </c>
      <c r="Q29" s="42"/>
      <c r="W29" s="71"/>
      <c r="X29" s="81"/>
      <c r="Y29" s="81"/>
      <c r="Z29" s="81"/>
      <c r="AA29" t="s">
        <v>343</v>
      </c>
      <c r="AB29" s="6" t="s">
        <v>354</v>
      </c>
      <c r="AC29" s="186">
        <v>3.0236459544971E-4</v>
      </c>
      <c r="AD29" t="s">
        <v>276</v>
      </c>
      <c r="AE29" s="6">
        <v>28</v>
      </c>
      <c r="AF29" s="185">
        <f t="shared" si="3"/>
        <v>50</v>
      </c>
      <c r="AG29" s="169" t="s">
        <v>402</v>
      </c>
    </row>
    <row r="30" spans="1:56" ht="15" customHeight="1" x14ac:dyDescent="0.4">
      <c r="C30" s="6">
        <v>29</v>
      </c>
      <c r="D30"/>
      <c r="E30" t="s">
        <v>277</v>
      </c>
      <c r="F30" s="6">
        <v>0</v>
      </c>
      <c r="G30" s="172">
        <f t="shared" si="0"/>
        <v>9.4461216270336504E-2</v>
      </c>
      <c r="H30" s="71">
        <v>1.8</v>
      </c>
      <c r="I30" s="71"/>
      <c r="J30" s="71"/>
      <c r="K30" s="71">
        <v>0.25</v>
      </c>
      <c r="L30" s="71"/>
      <c r="M30">
        <v>0.2</v>
      </c>
      <c r="N30">
        <v>0</v>
      </c>
      <c r="O30" s="76" t="s">
        <v>286</v>
      </c>
      <c r="P30" s="178" t="s">
        <v>369</v>
      </c>
      <c r="Q30" s="42"/>
      <c r="W30" s="71"/>
      <c r="X30" s="81"/>
      <c r="Y30" s="81"/>
      <c r="Z30" s="81"/>
      <c r="AA30" t="s">
        <v>343</v>
      </c>
      <c r="AB30" s="6" t="s">
        <v>354</v>
      </c>
      <c r="AC30" s="186">
        <v>1.8892243254067301E-3</v>
      </c>
      <c r="AD30" t="s">
        <v>277</v>
      </c>
      <c r="AE30" s="6">
        <v>29</v>
      </c>
      <c r="AF30" s="185">
        <f t="shared" si="3"/>
        <v>50</v>
      </c>
      <c r="AG30" s="169" t="s">
        <v>402</v>
      </c>
    </row>
    <row r="31" spans="1:56" ht="15" customHeight="1" x14ac:dyDescent="0.4">
      <c r="C31" s="6">
        <v>30</v>
      </c>
      <c r="D31"/>
      <c r="E31" t="s">
        <v>278</v>
      </c>
      <c r="F31" s="6">
        <v>0</v>
      </c>
      <c r="G31" s="172">
        <f t="shared" si="0"/>
        <v>1.395466116323525E-2</v>
      </c>
      <c r="H31" s="71">
        <v>1.1333333333333333</v>
      </c>
      <c r="I31" s="71"/>
      <c r="J31" s="71"/>
      <c r="K31" s="71">
        <v>0.25</v>
      </c>
      <c r="L31" s="71"/>
      <c r="M31">
        <v>0.2</v>
      </c>
      <c r="N31">
        <v>0</v>
      </c>
      <c r="O31" s="76" t="s">
        <v>286</v>
      </c>
      <c r="P31" s="178" t="s">
        <v>369</v>
      </c>
      <c r="Q31" s="42"/>
      <c r="W31" s="71"/>
      <c r="X31" s="81"/>
      <c r="Y31" s="81"/>
      <c r="Z31" s="81"/>
      <c r="AA31" t="s">
        <v>343</v>
      </c>
      <c r="AB31" s="6" t="s">
        <v>354</v>
      </c>
      <c r="AC31" s="186">
        <v>2.7909322326470502E-4</v>
      </c>
      <c r="AD31" t="s">
        <v>278</v>
      </c>
      <c r="AE31" s="6">
        <v>30</v>
      </c>
      <c r="AF31" s="185">
        <f t="shared" si="3"/>
        <v>50</v>
      </c>
      <c r="AG31" s="169" t="s">
        <v>402</v>
      </c>
    </row>
    <row r="32" spans="1:56" ht="15" customHeight="1" x14ac:dyDescent="0.4">
      <c r="C32" s="6">
        <v>31</v>
      </c>
      <c r="D32"/>
      <c r="E32" t="s">
        <v>279</v>
      </c>
      <c r="F32" s="6">
        <v>0</v>
      </c>
      <c r="G32" s="172">
        <f t="shared" si="0"/>
        <v>5.7174201978589002E-2</v>
      </c>
      <c r="H32" s="71">
        <v>1.8</v>
      </c>
      <c r="I32" s="71"/>
      <c r="J32" s="71"/>
      <c r="K32" s="71">
        <v>0.25</v>
      </c>
      <c r="L32" s="71"/>
      <c r="M32">
        <v>0.2</v>
      </c>
      <c r="N32">
        <v>0</v>
      </c>
      <c r="O32" s="76" t="s">
        <v>286</v>
      </c>
      <c r="P32" s="178" t="s">
        <v>369</v>
      </c>
      <c r="Q32" s="42"/>
      <c r="W32" s="71"/>
      <c r="X32" s="81"/>
      <c r="Y32" s="81"/>
      <c r="Z32" s="81"/>
      <c r="AA32" t="s">
        <v>343</v>
      </c>
      <c r="AB32" s="6" t="s">
        <v>354</v>
      </c>
      <c r="AC32" s="186">
        <v>1.14348403957178E-3</v>
      </c>
      <c r="AD32" t="s">
        <v>279</v>
      </c>
      <c r="AE32" s="6">
        <v>31</v>
      </c>
      <c r="AF32" s="185">
        <f t="shared" si="3"/>
        <v>50</v>
      </c>
      <c r="AG32" s="169" t="s">
        <v>402</v>
      </c>
    </row>
    <row r="33" spans="2:39" ht="15" customHeight="1" x14ac:dyDescent="0.4">
      <c r="C33" s="6">
        <v>32</v>
      </c>
      <c r="D33"/>
      <c r="E33" t="s">
        <v>200</v>
      </c>
      <c r="F33">
        <v>0</v>
      </c>
      <c r="G33" s="172">
        <f t="shared" si="0"/>
        <v>2.8441600000000001E-2</v>
      </c>
      <c r="H33" s="71">
        <v>1.8</v>
      </c>
      <c r="I33" s="71"/>
      <c r="J33" s="71"/>
      <c r="K33" s="71">
        <v>0.25</v>
      </c>
      <c r="L33" s="71"/>
      <c r="M33">
        <v>0.2</v>
      </c>
      <c r="N33">
        <v>0</v>
      </c>
      <c r="O33"/>
      <c r="P33" s="178" t="s">
        <v>369</v>
      </c>
      <c r="Q33" s="42"/>
      <c r="W33" s="71"/>
      <c r="X33" s="71"/>
      <c r="Y33" s="71"/>
      <c r="Z33" s="71"/>
      <c r="AA33" t="s">
        <v>343</v>
      </c>
      <c r="AB33" t="s">
        <v>350</v>
      </c>
      <c r="AC33" s="6">
        <v>5.6883200000000002E-4</v>
      </c>
      <c r="AD33" t="s">
        <v>200</v>
      </c>
      <c r="AE33" s="6">
        <v>32</v>
      </c>
      <c r="AF33" s="185">
        <f t="shared" si="3"/>
        <v>50</v>
      </c>
      <c r="AG33" s="169" t="s">
        <v>402</v>
      </c>
    </row>
    <row r="34" spans="2:39" ht="15" customHeight="1" x14ac:dyDescent="0.4">
      <c r="C34" s="6">
        <v>33</v>
      </c>
      <c r="D34"/>
      <c r="E34" t="s">
        <v>201</v>
      </c>
      <c r="F34">
        <v>0</v>
      </c>
      <c r="G34" s="71"/>
      <c r="H34" s="71">
        <v>1.75</v>
      </c>
      <c r="I34" s="71"/>
      <c r="J34" s="149">
        <v>0.85</v>
      </c>
      <c r="K34" s="71">
        <v>0.25</v>
      </c>
      <c r="L34" s="71"/>
      <c r="M34">
        <v>0.2</v>
      </c>
      <c r="N34">
        <v>0</v>
      </c>
      <c r="O34" s="190" t="s">
        <v>465</v>
      </c>
      <c r="P34" s="180" t="s">
        <v>370</v>
      </c>
      <c r="Q34" s="42"/>
      <c r="AA34" s="146" t="s">
        <v>345</v>
      </c>
      <c r="AB34" s="146" t="s">
        <v>350</v>
      </c>
      <c r="AC34" s="227" t="s">
        <v>356</v>
      </c>
      <c r="AD34" t="s">
        <v>201</v>
      </c>
      <c r="AE34" s="6">
        <v>33</v>
      </c>
      <c r="AF34" s="185">
        <v>1</v>
      </c>
      <c r="AG34" s="213" t="s">
        <v>292</v>
      </c>
    </row>
    <row r="35" spans="2:39" ht="15" customHeight="1" x14ac:dyDescent="0.4">
      <c r="C35" s="6">
        <v>34</v>
      </c>
      <c r="D35"/>
      <c r="E35" t="s">
        <v>202</v>
      </c>
      <c r="F35">
        <v>0</v>
      </c>
      <c r="G35" s="71">
        <f t="shared" si="0"/>
        <v>6.42020357</v>
      </c>
      <c r="H35" s="71">
        <v>0.125</v>
      </c>
      <c r="I35" s="71"/>
      <c r="J35" s="71"/>
      <c r="K35" s="71">
        <v>0.1</v>
      </c>
      <c r="L35" s="71"/>
      <c r="M35">
        <v>0.2</v>
      </c>
      <c r="N35">
        <v>0</v>
      </c>
      <c r="O35"/>
      <c r="P35" s="180" t="s">
        <v>360</v>
      </c>
      <c r="Q35" s="42"/>
      <c r="AA35" t="s">
        <v>345</v>
      </c>
      <c r="AB35" t="s">
        <v>350</v>
      </c>
      <c r="AC35" s="6">
        <v>3.210101785</v>
      </c>
      <c r="AD35" t="s">
        <v>202</v>
      </c>
      <c r="AE35" s="6">
        <v>34</v>
      </c>
      <c r="AF35" s="185">
        <f>$AH$13</f>
        <v>2</v>
      </c>
      <c r="AG35" s="154" t="s">
        <v>419</v>
      </c>
    </row>
    <row r="36" spans="2:39" ht="15" customHeight="1" x14ac:dyDescent="0.4">
      <c r="B36" s="48" t="s">
        <v>12</v>
      </c>
      <c r="C36" s="6">
        <v>35</v>
      </c>
      <c r="D36"/>
      <c r="E36" t="s">
        <v>203</v>
      </c>
      <c r="F36">
        <v>0</v>
      </c>
      <c r="G36" s="71">
        <f t="shared" si="0"/>
        <v>0.23044125600000001</v>
      </c>
      <c r="H36" s="71">
        <v>1.8</v>
      </c>
      <c r="I36" s="71"/>
      <c r="J36" s="71"/>
      <c r="K36" s="71">
        <v>0.17</v>
      </c>
      <c r="L36" s="71"/>
      <c r="M36">
        <v>0.2</v>
      </c>
      <c r="N36">
        <v>0</v>
      </c>
      <c r="O36"/>
      <c r="P36" s="180" t="s">
        <v>371</v>
      </c>
      <c r="Q36" s="42"/>
      <c r="AA36" t="s">
        <v>343</v>
      </c>
      <c r="AB36" t="s">
        <v>350</v>
      </c>
      <c r="AC36" s="6">
        <v>2.8805157000000001E-2</v>
      </c>
      <c r="AD36" t="s">
        <v>203</v>
      </c>
      <c r="AE36" s="6">
        <v>35</v>
      </c>
      <c r="AF36" s="185">
        <f>$AH$17</f>
        <v>8</v>
      </c>
      <c r="AG36" s="210" t="s">
        <v>412</v>
      </c>
    </row>
    <row r="37" spans="2:39" ht="15" customHeight="1" x14ac:dyDescent="0.4">
      <c r="C37" s="6">
        <v>36</v>
      </c>
      <c r="D37"/>
      <c r="E37" t="s">
        <v>204</v>
      </c>
      <c r="F37">
        <v>0</v>
      </c>
      <c r="G37" s="71">
        <f t="shared" si="0"/>
        <v>0.111657696</v>
      </c>
      <c r="H37" s="71">
        <v>0.75</v>
      </c>
      <c r="I37" s="71"/>
      <c r="J37" s="71"/>
      <c r="K37" s="71">
        <v>0.17</v>
      </c>
      <c r="L37" s="71"/>
      <c r="M37">
        <v>0.2</v>
      </c>
      <c r="N37">
        <v>0</v>
      </c>
      <c r="O37"/>
      <c r="P37" s="180" t="s">
        <v>371</v>
      </c>
      <c r="Q37" s="42"/>
      <c r="Z37" s="45"/>
      <c r="AA37" t="s">
        <v>343</v>
      </c>
      <c r="AB37" t="s">
        <v>350</v>
      </c>
      <c r="AC37" s="6">
        <v>1.3957212E-2</v>
      </c>
      <c r="AD37" t="s">
        <v>204</v>
      </c>
      <c r="AE37" s="6">
        <v>36</v>
      </c>
      <c r="AF37" s="185">
        <f>$AH$17</f>
        <v>8</v>
      </c>
      <c r="AG37" s="210" t="s">
        <v>412</v>
      </c>
      <c r="AJ37" s="41" t="s">
        <v>491</v>
      </c>
      <c r="AK37" t="s">
        <v>490</v>
      </c>
      <c r="AL37" t="s">
        <v>495</v>
      </c>
      <c r="AM37" t="s">
        <v>494</v>
      </c>
    </row>
    <row r="38" spans="2:39" ht="15" customHeight="1" x14ac:dyDescent="0.4">
      <c r="B38" s="48" t="s">
        <v>12</v>
      </c>
      <c r="C38" s="6">
        <v>37</v>
      </c>
      <c r="D38"/>
      <c r="E38" t="s">
        <v>205</v>
      </c>
      <c r="F38">
        <v>0</v>
      </c>
      <c r="G38" s="71">
        <f t="shared" si="0"/>
        <v>1.8515328000000001E-2</v>
      </c>
      <c r="H38" s="71">
        <v>1.9</v>
      </c>
      <c r="I38" s="71"/>
      <c r="J38" s="71"/>
      <c r="K38" s="71">
        <v>0.17</v>
      </c>
      <c r="L38" s="71"/>
      <c r="M38">
        <v>0.2</v>
      </c>
      <c r="N38">
        <v>0</v>
      </c>
      <c r="O38"/>
      <c r="P38" s="180" t="s">
        <v>371</v>
      </c>
      <c r="Q38" s="42"/>
      <c r="Z38" s="45"/>
      <c r="AA38" t="s">
        <v>343</v>
      </c>
      <c r="AB38" t="s">
        <v>350</v>
      </c>
      <c r="AC38" s="6">
        <v>2.3144160000000001E-3</v>
      </c>
      <c r="AD38" t="s">
        <v>205</v>
      </c>
      <c r="AE38" s="6">
        <v>37</v>
      </c>
      <c r="AF38" s="185">
        <f>$AH$17</f>
        <v>8</v>
      </c>
      <c r="AG38" s="210" t="s">
        <v>412</v>
      </c>
      <c r="AJ38" s="216">
        <v>0.75934885332676727</v>
      </c>
      <c r="AK38">
        <f>SUM($AC$16:$AC$17)</f>
        <v>35.440238925000003</v>
      </c>
      <c r="AL38" s="216">
        <f>AK38*AJ38</f>
        <v>26.911504789325416</v>
      </c>
      <c r="AM38" t="s">
        <v>492</v>
      </c>
    </row>
    <row r="39" spans="2:39" ht="15" customHeight="1" x14ac:dyDescent="0.4">
      <c r="B39" s="48" t="s">
        <v>12</v>
      </c>
      <c r="C39" s="6">
        <v>38</v>
      </c>
      <c r="D39"/>
      <c r="E39" t="s">
        <v>206</v>
      </c>
      <c r="F39" s="6">
        <v>0</v>
      </c>
      <c r="G39" s="71">
        <f t="shared" si="0"/>
        <v>1.6970921999999999E-2</v>
      </c>
      <c r="H39" s="71">
        <v>0.2</v>
      </c>
      <c r="I39" s="71"/>
      <c r="J39" s="71"/>
      <c r="K39" s="71">
        <v>0.06</v>
      </c>
      <c r="L39" s="71"/>
      <c r="M39" s="6">
        <v>0.2</v>
      </c>
      <c r="N39" s="6">
        <v>0</v>
      </c>
      <c r="O39"/>
      <c r="P39" s="180" t="s">
        <v>372</v>
      </c>
      <c r="Q39" s="42"/>
      <c r="Z39" s="45"/>
      <c r="AA39" t="s">
        <v>342</v>
      </c>
      <c r="AB39" t="s">
        <v>350</v>
      </c>
      <c r="AC39" s="6">
        <v>8.4854609999999997E-3</v>
      </c>
      <c r="AD39" t="s">
        <v>206</v>
      </c>
      <c r="AE39" s="6">
        <v>38</v>
      </c>
      <c r="AF39" s="185">
        <f>AH18</f>
        <v>2</v>
      </c>
      <c r="AG39" s="211" t="s">
        <v>416</v>
      </c>
      <c r="AJ39" s="138">
        <v>0.24065114667323279</v>
      </c>
      <c r="AL39">
        <f>AK38*AJ39</f>
        <v>8.5287341356745898</v>
      </c>
      <c r="AM39" t="s">
        <v>493</v>
      </c>
    </row>
    <row r="40" spans="2:39" ht="15" customHeight="1" x14ac:dyDescent="0.4">
      <c r="B40" s="48" t="s">
        <v>12</v>
      </c>
      <c r="C40" s="6">
        <v>39</v>
      </c>
      <c r="D40"/>
      <c r="E40" t="s">
        <v>207</v>
      </c>
      <c r="F40" s="6">
        <v>0</v>
      </c>
      <c r="G40" s="71">
        <f t="shared" si="0"/>
        <v>21.394857360000003</v>
      </c>
      <c r="H40" s="71">
        <v>0.23</v>
      </c>
      <c r="I40" s="71"/>
      <c r="J40" s="71"/>
      <c r="K40" s="71">
        <v>0.1</v>
      </c>
      <c r="L40" s="71"/>
      <c r="M40" s="6">
        <v>0.2</v>
      </c>
      <c r="N40" s="6">
        <v>0</v>
      </c>
      <c r="O40"/>
      <c r="P40" s="180" t="s">
        <v>373</v>
      </c>
      <c r="Q40" s="42"/>
      <c r="Z40" s="45"/>
      <c r="AA40" t="s">
        <v>344</v>
      </c>
      <c r="AB40" s="7" t="s">
        <v>353</v>
      </c>
      <c r="AC40" s="6">
        <v>26.7435717</v>
      </c>
      <c r="AD40" t="s">
        <v>207</v>
      </c>
      <c r="AE40" s="6">
        <v>39</v>
      </c>
      <c r="AF40" s="185">
        <f>$AH$10</f>
        <v>0.8</v>
      </c>
      <c r="AG40" s="156" t="s">
        <v>452</v>
      </c>
    </row>
    <row r="41" spans="2:39" ht="15" customHeight="1" x14ac:dyDescent="0.4">
      <c r="B41" s="48" t="s">
        <v>12</v>
      </c>
      <c r="C41" s="6">
        <v>40</v>
      </c>
      <c r="D41"/>
      <c r="E41" t="s">
        <v>208</v>
      </c>
      <c r="F41">
        <v>0</v>
      </c>
      <c r="G41" s="71">
        <f t="shared" si="0"/>
        <v>0.85714416000000004</v>
      </c>
      <c r="H41" s="71">
        <v>0.76</v>
      </c>
      <c r="I41" s="71"/>
      <c r="J41" s="71"/>
      <c r="K41" s="71">
        <v>0.1</v>
      </c>
      <c r="L41" s="71"/>
      <c r="M41">
        <v>0.2</v>
      </c>
      <c r="N41">
        <v>0</v>
      </c>
      <c r="O41"/>
      <c r="P41" s="180" t="s">
        <v>374</v>
      </c>
      <c r="Q41" s="42"/>
      <c r="Z41" s="45"/>
      <c r="AA41" t="s">
        <v>344</v>
      </c>
      <c r="AB41" s="7" t="s">
        <v>353</v>
      </c>
      <c r="AC41" s="6">
        <v>1.0714302</v>
      </c>
      <c r="AD41" t="s">
        <v>208</v>
      </c>
      <c r="AE41" s="6">
        <v>40</v>
      </c>
      <c r="AF41" s="185">
        <f>$AH$10</f>
        <v>0.8</v>
      </c>
      <c r="AG41" s="156" t="s">
        <v>452</v>
      </c>
    </row>
    <row r="42" spans="2:39" ht="15" customHeight="1" x14ac:dyDescent="0.4">
      <c r="B42" s="48" t="s">
        <v>12</v>
      </c>
      <c r="C42" s="6">
        <v>41</v>
      </c>
      <c r="D42"/>
      <c r="E42" t="s">
        <v>209</v>
      </c>
      <c r="F42">
        <v>0</v>
      </c>
      <c r="G42" s="71">
        <f t="shared" si="0"/>
        <v>3.0720076939999998</v>
      </c>
      <c r="H42" s="71">
        <v>0.1719</v>
      </c>
      <c r="I42" s="71"/>
      <c r="J42" s="71"/>
      <c r="K42" s="71">
        <v>0.1</v>
      </c>
      <c r="L42" s="71"/>
      <c r="M42">
        <v>0.2</v>
      </c>
      <c r="N42">
        <v>0</v>
      </c>
      <c r="O42"/>
      <c r="P42" s="180" t="s">
        <v>375</v>
      </c>
      <c r="Q42" s="42"/>
      <c r="Z42" s="45"/>
      <c r="AA42" t="s">
        <v>345</v>
      </c>
      <c r="AB42" t="s">
        <v>350</v>
      </c>
      <c r="AC42" s="6">
        <v>1.5360038469999999</v>
      </c>
      <c r="AD42" t="s">
        <v>209</v>
      </c>
      <c r="AE42" s="6">
        <v>41</v>
      </c>
      <c r="AF42" s="185">
        <f>$AH$13</f>
        <v>2</v>
      </c>
      <c r="AG42" s="154" t="s">
        <v>419</v>
      </c>
    </row>
    <row r="43" spans="2:39" ht="15" customHeight="1" x14ac:dyDescent="0.4">
      <c r="B43" s="48" t="s">
        <v>12</v>
      </c>
      <c r="C43" s="6">
        <v>42</v>
      </c>
      <c r="D43"/>
      <c r="E43" t="s">
        <v>210</v>
      </c>
      <c r="F43">
        <v>0</v>
      </c>
      <c r="G43" s="71">
        <f t="shared" si="0"/>
        <v>3.4748528200000002</v>
      </c>
      <c r="H43" s="71">
        <v>0.2</v>
      </c>
      <c r="I43" s="71">
        <v>2.5</v>
      </c>
      <c r="J43" s="71"/>
      <c r="K43" s="71"/>
      <c r="L43" s="71"/>
      <c r="M43">
        <v>0.2</v>
      </c>
      <c r="N43">
        <v>0</v>
      </c>
      <c r="O43"/>
      <c r="P43" s="180" t="s">
        <v>376</v>
      </c>
      <c r="Q43" s="42"/>
      <c r="Z43" s="45"/>
      <c r="AA43" t="s">
        <v>345</v>
      </c>
      <c r="AB43" t="s">
        <v>350</v>
      </c>
      <c r="AC43" s="6">
        <v>1.7374264100000001</v>
      </c>
      <c r="AD43" t="s">
        <v>210</v>
      </c>
      <c r="AE43" s="6">
        <v>42</v>
      </c>
      <c r="AF43" s="185">
        <f>$AH$13</f>
        <v>2</v>
      </c>
      <c r="AG43" s="154" t="s">
        <v>419</v>
      </c>
      <c r="AJ43" s="216"/>
    </row>
    <row r="44" spans="2:39" ht="15" customHeight="1" x14ac:dyDescent="0.4">
      <c r="B44" s="48" t="s">
        <v>12</v>
      </c>
      <c r="C44" s="6">
        <v>43</v>
      </c>
      <c r="D44"/>
      <c r="E44" t="s">
        <v>211</v>
      </c>
      <c r="F44">
        <v>0</v>
      </c>
      <c r="G44" s="71">
        <f t="shared" si="0"/>
        <v>18.499718999999999</v>
      </c>
      <c r="H44" s="71">
        <v>0.35399999999999998</v>
      </c>
      <c r="I44" s="71"/>
      <c r="J44" s="71"/>
      <c r="K44" s="71">
        <v>0.1</v>
      </c>
      <c r="L44" s="71"/>
      <c r="M44">
        <v>0.2</v>
      </c>
      <c r="N44">
        <v>0</v>
      </c>
      <c r="O44"/>
      <c r="P44" s="180" t="s">
        <v>377</v>
      </c>
      <c r="Q44" s="42"/>
      <c r="Z44" s="45"/>
      <c r="AA44" s="190" t="s">
        <v>430</v>
      </c>
      <c r="AB44" s="223" t="s">
        <v>449</v>
      </c>
      <c r="AC44">
        <f>14.5672+3.932519</f>
        <v>18.499718999999999</v>
      </c>
      <c r="AD44" t="s">
        <v>211</v>
      </c>
      <c r="AE44" s="6">
        <v>43</v>
      </c>
      <c r="AF44" s="185">
        <f>AH9</f>
        <v>1</v>
      </c>
      <c r="AG44" s="202" t="s">
        <v>390</v>
      </c>
      <c r="AJ44" s="216"/>
    </row>
    <row r="45" spans="2:39" customFormat="1" ht="15" customHeight="1" x14ac:dyDescent="0.4">
      <c r="C45" s="6">
        <v>44</v>
      </c>
      <c r="E45" t="s">
        <v>212</v>
      </c>
      <c r="F45">
        <v>0</v>
      </c>
      <c r="G45" s="71">
        <f t="shared" si="0"/>
        <v>0.2</v>
      </c>
      <c r="H45" s="71">
        <v>0.3</v>
      </c>
      <c r="I45" s="71"/>
      <c r="J45" s="71"/>
      <c r="K45" s="71">
        <v>0.1</v>
      </c>
      <c r="L45" s="71"/>
      <c r="M45">
        <v>0.2</v>
      </c>
      <c r="N45">
        <v>0</v>
      </c>
      <c r="O45" t="s">
        <v>287</v>
      </c>
      <c r="P45" s="180" t="s">
        <v>360</v>
      </c>
      <c r="AB45" s="7"/>
      <c r="AC45" s="71">
        <v>0.2</v>
      </c>
      <c r="AD45" t="s">
        <v>212</v>
      </c>
      <c r="AE45" s="6">
        <v>44</v>
      </c>
      <c r="AF45" s="185">
        <v>1</v>
      </c>
      <c r="AG45" s="190" t="s">
        <v>429</v>
      </c>
    </row>
    <row r="46" spans="2:39" customFormat="1" ht="15" customHeight="1" x14ac:dyDescent="0.4">
      <c r="C46" s="6">
        <v>45</v>
      </c>
      <c r="E46" t="s">
        <v>213</v>
      </c>
      <c r="F46">
        <v>0</v>
      </c>
      <c r="G46" s="71">
        <f t="shared" si="0"/>
        <v>1.787450486</v>
      </c>
      <c r="H46" s="71">
        <v>0.23</v>
      </c>
      <c r="I46" s="71"/>
      <c r="J46" s="71"/>
      <c r="K46" s="71">
        <v>0.1</v>
      </c>
      <c r="L46" s="71"/>
      <c r="M46">
        <v>0.2</v>
      </c>
      <c r="N46">
        <v>0</v>
      </c>
      <c r="P46" s="180" t="s">
        <v>378</v>
      </c>
      <c r="AA46" t="s">
        <v>345</v>
      </c>
      <c r="AB46" t="s">
        <v>350</v>
      </c>
      <c r="AC46" s="6">
        <v>0.893725243</v>
      </c>
      <c r="AD46" t="s">
        <v>213</v>
      </c>
      <c r="AE46" s="6">
        <v>45</v>
      </c>
      <c r="AF46" s="185">
        <f>$AH$13</f>
        <v>2</v>
      </c>
      <c r="AG46" s="154" t="s">
        <v>419</v>
      </c>
    </row>
    <row r="47" spans="2:39" customFormat="1" ht="15" customHeight="1" x14ac:dyDescent="0.4">
      <c r="C47" s="6">
        <v>46</v>
      </c>
      <c r="E47" t="s">
        <v>214</v>
      </c>
      <c r="F47">
        <v>0</v>
      </c>
      <c r="G47" s="71">
        <f t="shared" si="0"/>
        <v>0.72175577800000001</v>
      </c>
      <c r="H47" s="71">
        <v>0.3</v>
      </c>
      <c r="I47" s="71"/>
      <c r="J47" s="71"/>
      <c r="K47" s="71">
        <v>0.1</v>
      </c>
      <c r="L47" s="71"/>
      <c r="M47">
        <v>0.2</v>
      </c>
      <c r="N47">
        <v>0</v>
      </c>
      <c r="P47" s="180" t="s">
        <v>379</v>
      </c>
      <c r="AA47" t="s">
        <v>345</v>
      </c>
      <c r="AB47" t="s">
        <v>350</v>
      </c>
      <c r="AC47" s="6">
        <v>0.36087788900000001</v>
      </c>
      <c r="AD47" t="s">
        <v>214</v>
      </c>
      <c r="AE47" s="6">
        <v>46</v>
      </c>
      <c r="AF47" s="185">
        <f>$AH$13</f>
        <v>2</v>
      </c>
      <c r="AG47" s="154" t="s">
        <v>419</v>
      </c>
    </row>
    <row r="48" spans="2:39" customFormat="1" ht="15" customHeight="1" x14ac:dyDescent="0.4">
      <c r="C48" s="6">
        <v>47</v>
      </c>
      <c r="E48" t="s">
        <v>215</v>
      </c>
      <c r="F48">
        <v>0</v>
      </c>
      <c r="G48" s="71">
        <f t="shared" si="0"/>
        <v>3.7973237499999999</v>
      </c>
      <c r="H48" s="71">
        <v>0.27500000000000002</v>
      </c>
      <c r="I48" s="71"/>
      <c r="J48" s="71"/>
      <c r="K48" s="71">
        <v>0.2</v>
      </c>
      <c r="L48" s="71"/>
      <c r="M48">
        <v>0.2</v>
      </c>
      <c r="N48">
        <v>0</v>
      </c>
      <c r="P48" s="180" t="s">
        <v>380</v>
      </c>
      <c r="AA48" t="s">
        <v>345</v>
      </c>
      <c r="AB48" t="s">
        <v>350</v>
      </c>
      <c r="AC48" s="6">
        <v>1.8986618749999999</v>
      </c>
      <c r="AD48" t="s">
        <v>215</v>
      </c>
      <c r="AE48" s="6">
        <v>47</v>
      </c>
      <c r="AF48" s="185">
        <f>$AH$13</f>
        <v>2</v>
      </c>
      <c r="AG48" s="154" t="s">
        <v>419</v>
      </c>
    </row>
    <row r="49" spans="3:33" customFormat="1" ht="15" customHeight="1" x14ac:dyDescent="0.4">
      <c r="C49" s="6">
        <v>48</v>
      </c>
      <c r="E49" t="s">
        <v>216</v>
      </c>
      <c r="F49">
        <v>0</v>
      </c>
      <c r="G49" s="71">
        <f>AC49*AF49</f>
        <v>2.7688433479999999</v>
      </c>
      <c r="H49" s="71">
        <v>0.23</v>
      </c>
      <c r="I49" s="71"/>
      <c r="J49" s="71"/>
      <c r="K49" s="71">
        <v>0.1</v>
      </c>
      <c r="L49" s="71"/>
      <c r="M49">
        <v>0.2</v>
      </c>
      <c r="N49">
        <v>0</v>
      </c>
      <c r="P49" s="180" t="s">
        <v>381</v>
      </c>
      <c r="AA49" t="s">
        <v>345</v>
      </c>
      <c r="AB49" t="s">
        <v>350</v>
      </c>
      <c r="AC49" s="6">
        <v>1.3844216739999999</v>
      </c>
      <c r="AD49" t="s">
        <v>216</v>
      </c>
      <c r="AE49" s="6">
        <v>48</v>
      </c>
      <c r="AF49" s="185">
        <f>$AH$13</f>
        <v>2</v>
      </c>
      <c r="AG49" s="154" t="s">
        <v>419</v>
      </c>
    </row>
    <row r="50" spans="3:33" customFormat="1" ht="15" customHeight="1" x14ac:dyDescent="0.4">
      <c r="C50" s="6">
        <v>49</v>
      </c>
      <c r="E50" t="s">
        <v>217</v>
      </c>
      <c r="F50">
        <v>0</v>
      </c>
      <c r="G50" s="71"/>
      <c r="H50" s="71">
        <v>0.4</v>
      </c>
      <c r="I50" s="71"/>
      <c r="J50" s="71">
        <v>0.9</v>
      </c>
      <c r="K50" s="71">
        <v>0.1</v>
      </c>
      <c r="L50" s="71"/>
      <c r="M50">
        <v>0.2</v>
      </c>
      <c r="N50">
        <v>0</v>
      </c>
      <c r="O50" s="190" t="s">
        <v>465</v>
      </c>
      <c r="P50" s="180" t="s">
        <v>381</v>
      </c>
      <c r="AA50" s="222" t="s">
        <v>345</v>
      </c>
      <c r="AB50" s="222" t="s">
        <v>350</v>
      </c>
      <c r="AC50" s="227" t="s">
        <v>420</v>
      </c>
      <c r="AD50" t="s">
        <v>217</v>
      </c>
      <c r="AE50" s="6">
        <v>49</v>
      </c>
      <c r="AF50" s="184">
        <f>$AH$14</f>
        <v>4</v>
      </c>
      <c r="AG50" s="153" t="s">
        <v>395</v>
      </c>
    </row>
    <row r="51" spans="3:33" customFormat="1" ht="15" customHeight="1" x14ac:dyDescent="0.4">
      <c r="C51" s="6">
        <v>50</v>
      </c>
      <c r="E51" t="s">
        <v>218</v>
      </c>
      <c r="F51">
        <v>0</v>
      </c>
      <c r="G51" s="71">
        <f t="shared" si="0"/>
        <v>7.9867924720000003</v>
      </c>
      <c r="H51" s="71">
        <v>7.0000000000000007E-2</v>
      </c>
      <c r="I51" s="71"/>
      <c r="J51" s="71"/>
      <c r="K51" s="71">
        <v>0.1</v>
      </c>
      <c r="L51" s="71"/>
      <c r="M51">
        <v>0.2</v>
      </c>
      <c r="N51">
        <v>0</v>
      </c>
      <c r="P51" s="180" t="s">
        <v>381</v>
      </c>
      <c r="AA51" t="s">
        <v>345</v>
      </c>
      <c r="AB51" t="s">
        <v>350</v>
      </c>
      <c r="AC51" s="6">
        <v>1.9966981180000001</v>
      </c>
      <c r="AD51" t="s">
        <v>218</v>
      </c>
      <c r="AE51" s="6">
        <v>50</v>
      </c>
      <c r="AF51" s="184">
        <f>$AH$14</f>
        <v>4</v>
      </c>
      <c r="AG51" s="153" t="s">
        <v>395</v>
      </c>
    </row>
    <row r="52" spans="3:33" customFormat="1" ht="15" customHeight="1" x14ac:dyDescent="0.4">
      <c r="C52" s="6">
        <v>51</v>
      </c>
      <c r="E52" t="s">
        <v>219</v>
      </c>
      <c r="F52">
        <v>0</v>
      </c>
      <c r="G52" s="71">
        <f t="shared" si="0"/>
        <v>0.119843888</v>
      </c>
      <c r="H52" s="71">
        <v>0.35</v>
      </c>
      <c r="I52" s="71"/>
      <c r="J52" s="71"/>
      <c r="K52" s="71">
        <v>0.1</v>
      </c>
      <c r="L52" s="71"/>
      <c r="M52">
        <v>0.2</v>
      </c>
      <c r="N52">
        <v>0</v>
      </c>
      <c r="P52" s="180" t="s">
        <v>381</v>
      </c>
      <c r="AA52" t="s">
        <v>345</v>
      </c>
      <c r="AB52" t="s">
        <v>350</v>
      </c>
      <c r="AC52" s="6">
        <v>5.9921943999999998E-2</v>
      </c>
      <c r="AD52" t="s">
        <v>219</v>
      </c>
      <c r="AE52" s="6">
        <v>51</v>
      </c>
      <c r="AF52" s="185">
        <f>$AH$13</f>
        <v>2</v>
      </c>
      <c r="AG52" s="154" t="s">
        <v>419</v>
      </c>
    </row>
    <row r="53" spans="3:33" customFormat="1" ht="15" customHeight="1" x14ac:dyDescent="0.4">
      <c r="C53" s="6">
        <v>52</v>
      </c>
      <c r="E53" t="s">
        <v>220</v>
      </c>
      <c r="F53">
        <v>0</v>
      </c>
      <c r="G53" s="71">
        <f t="shared" si="0"/>
        <v>11.878071486</v>
      </c>
      <c r="H53" s="71">
        <v>0.3</v>
      </c>
      <c r="I53" s="71"/>
      <c r="J53" s="71"/>
      <c r="K53" s="71">
        <v>0.1</v>
      </c>
      <c r="L53" s="71"/>
      <c r="M53">
        <v>0.2</v>
      </c>
      <c r="N53">
        <v>0</v>
      </c>
      <c r="P53" s="180" t="s">
        <v>381</v>
      </c>
      <c r="AA53" t="s">
        <v>345</v>
      </c>
      <c r="AB53" t="s">
        <v>350</v>
      </c>
      <c r="AC53" s="6">
        <v>5.9390357429999998</v>
      </c>
      <c r="AD53" t="s">
        <v>220</v>
      </c>
      <c r="AE53" s="6">
        <v>52</v>
      </c>
      <c r="AF53" s="185">
        <f>$AH$13</f>
        <v>2</v>
      </c>
      <c r="AG53" s="154" t="s">
        <v>419</v>
      </c>
    </row>
    <row r="54" spans="3:33" customFormat="1" ht="15" customHeight="1" x14ac:dyDescent="0.4">
      <c r="C54" s="6">
        <v>53</v>
      </c>
      <c r="E54" t="s">
        <v>221</v>
      </c>
      <c r="F54">
        <v>0</v>
      </c>
      <c r="G54" s="71">
        <f t="shared" si="0"/>
        <v>7.9680634159999997</v>
      </c>
      <c r="H54" s="71">
        <v>0.38</v>
      </c>
      <c r="I54" s="71"/>
      <c r="J54" s="71"/>
      <c r="K54" s="71">
        <v>0.2</v>
      </c>
      <c r="L54" s="71"/>
      <c r="M54">
        <v>0.2</v>
      </c>
      <c r="N54">
        <v>0</v>
      </c>
      <c r="P54" s="180" t="s">
        <v>381</v>
      </c>
      <c r="AA54" t="s">
        <v>345</v>
      </c>
      <c r="AB54" t="s">
        <v>350</v>
      </c>
      <c r="AC54" s="6">
        <v>1.9920158539999999</v>
      </c>
      <c r="AD54" t="s">
        <v>221</v>
      </c>
      <c r="AE54" s="6">
        <v>53</v>
      </c>
      <c r="AF54" s="184">
        <f>$AH$14</f>
        <v>4</v>
      </c>
      <c r="AG54" s="153" t="s">
        <v>395</v>
      </c>
    </row>
    <row r="55" spans="3:33" customFormat="1" ht="15" customHeight="1" x14ac:dyDescent="0.4">
      <c r="C55" s="6">
        <v>54</v>
      </c>
      <c r="E55" t="s">
        <v>222</v>
      </c>
      <c r="F55">
        <v>0</v>
      </c>
      <c r="G55" s="71">
        <f t="shared" si="0"/>
        <v>1.206476458</v>
      </c>
      <c r="H55" s="71">
        <v>0.2</v>
      </c>
      <c r="I55" s="71">
        <v>1</v>
      </c>
      <c r="J55" s="71"/>
      <c r="K55" s="71"/>
      <c r="L55" s="71"/>
      <c r="M55">
        <v>0.2</v>
      </c>
      <c r="N55">
        <v>0</v>
      </c>
      <c r="P55" s="180" t="s">
        <v>382</v>
      </c>
      <c r="AA55" t="s">
        <v>345</v>
      </c>
      <c r="AB55" t="s">
        <v>350</v>
      </c>
      <c r="AC55" s="6">
        <v>0.60323822900000001</v>
      </c>
      <c r="AD55" t="s">
        <v>222</v>
      </c>
      <c r="AE55" s="6">
        <v>54</v>
      </c>
      <c r="AF55" s="185">
        <f>$AH$13</f>
        <v>2</v>
      </c>
      <c r="AG55" s="154" t="s">
        <v>419</v>
      </c>
    </row>
    <row r="56" spans="3:33" customFormat="1" ht="15" customHeight="1" x14ac:dyDescent="0.4">
      <c r="C56" s="6">
        <v>55</v>
      </c>
      <c r="E56" t="s">
        <v>223</v>
      </c>
      <c r="F56">
        <v>0</v>
      </c>
      <c r="G56" s="71">
        <f t="shared" si="0"/>
        <v>1.2024366449999999</v>
      </c>
      <c r="H56" s="71">
        <v>2.7</v>
      </c>
      <c r="I56" s="71"/>
      <c r="J56" s="71"/>
      <c r="K56" s="71">
        <v>0.25</v>
      </c>
      <c r="L56" s="71"/>
      <c r="M56">
        <v>0.2</v>
      </c>
      <c r="N56">
        <v>0</v>
      </c>
      <c r="P56" s="180" t="s">
        <v>383</v>
      </c>
      <c r="AA56" t="s">
        <v>340</v>
      </c>
      <c r="AB56" t="s">
        <v>350</v>
      </c>
      <c r="AC56" s="6">
        <v>8.0162443E-2</v>
      </c>
      <c r="AD56" t="s">
        <v>223</v>
      </c>
      <c r="AE56" s="6">
        <v>55</v>
      </c>
      <c r="AF56" s="185">
        <f>$AH$27</f>
        <v>15</v>
      </c>
      <c r="AG56" s="155" t="s">
        <v>394</v>
      </c>
    </row>
    <row r="57" spans="3:33" customFormat="1" ht="15" customHeight="1" x14ac:dyDescent="0.4">
      <c r="C57" s="6">
        <v>56</v>
      </c>
      <c r="E57" t="s">
        <v>224</v>
      </c>
      <c r="F57">
        <v>0</v>
      </c>
      <c r="G57" s="71">
        <f>AC57*AF57</f>
        <v>5.9908993649999998</v>
      </c>
      <c r="H57" s="71">
        <v>2.7</v>
      </c>
      <c r="I57" s="71"/>
      <c r="J57" s="71"/>
      <c r="K57" s="71">
        <v>0.25</v>
      </c>
      <c r="L57" s="71"/>
      <c r="M57">
        <v>0.2</v>
      </c>
      <c r="N57">
        <v>0</v>
      </c>
      <c r="P57" s="180" t="s">
        <v>383</v>
      </c>
      <c r="AA57" s="190" t="s">
        <v>431</v>
      </c>
      <c r="AB57" t="s">
        <v>350</v>
      </c>
      <c r="AC57" s="6">
        <f>4.331912291-3.932519</f>
        <v>0.39939329099999998</v>
      </c>
      <c r="AD57" t="s">
        <v>224</v>
      </c>
      <c r="AE57" s="6">
        <v>56</v>
      </c>
      <c r="AF57" s="185">
        <f>$AH$27</f>
        <v>15</v>
      </c>
      <c r="AG57" s="155" t="s">
        <v>394</v>
      </c>
    </row>
    <row r="58" spans="3:33" customFormat="1" ht="15" customHeight="1" x14ac:dyDescent="0.4">
      <c r="C58" s="6">
        <v>57</v>
      </c>
      <c r="E58" t="s">
        <v>225</v>
      </c>
      <c r="F58">
        <v>0</v>
      </c>
      <c r="G58" s="71"/>
      <c r="H58" s="71">
        <v>2.7</v>
      </c>
      <c r="I58" s="71"/>
      <c r="J58" s="71">
        <v>0.85</v>
      </c>
      <c r="K58" s="71">
        <v>0.25</v>
      </c>
      <c r="L58" s="71"/>
      <c r="M58">
        <v>0.2</v>
      </c>
      <c r="N58">
        <v>0</v>
      </c>
      <c r="P58" s="180" t="s">
        <v>383</v>
      </c>
      <c r="AB58" s="7"/>
      <c r="AC58" s="71"/>
      <c r="AD58" t="s">
        <v>225</v>
      </c>
      <c r="AE58" s="6">
        <v>57</v>
      </c>
      <c r="AF58" s="185">
        <v>1</v>
      </c>
      <c r="AG58" s="213" t="s">
        <v>292</v>
      </c>
    </row>
    <row r="59" spans="3:33" customFormat="1" ht="15" customHeight="1" x14ac:dyDescent="0.4">
      <c r="C59" s="6">
        <v>58</v>
      </c>
      <c r="E59" t="s">
        <v>226</v>
      </c>
      <c r="F59">
        <v>0</v>
      </c>
      <c r="G59" s="71">
        <f t="shared" si="0"/>
        <v>80</v>
      </c>
      <c r="H59" s="71">
        <v>4.5</v>
      </c>
      <c r="I59" s="71"/>
      <c r="J59" s="71"/>
      <c r="K59" s="71">
        <v>0.25</v>
      </c>
      <c r="L59" s="71"/>
      <c r="M59">
        <v>0.2</v>
      </c>
      <c r="N59">
        <v>0</v>
      </c>
      <c r="O59" s="190" t="s">
        <v>454</v>
      </c>
      <c r="P59" s="177" t="s">
        <v>384</v>
      </c>
      <c r="AB59" s="7"/>
      <c r="AC59" s="71">
        <v>80</v>
      </c>
      <c r="AD59" t="s">
        <v>226</v>
      </c>
      <c r="AE59" s="6">
        <v>58</v>
      </c>
      <c r="AF59" s="185">
        <v>1</v>
      </c>
      <c r="AG59" s="190" t="s">
        <v>429</v>
      </c>
    </row>
    <row r="60" spans="3:33" customFormat="1" ht="15" customHeight="1" x14ac:dyDescent="0.4">
      <c r="C60" s="6">
        <v>59</v>
      </c>
      <c r="E60" t="s">
        <v>227</v>
      </c>
      <c r="F60">
        <v>0</v>
      </c>
      <c r="G60" s="71">
        <f t="shared" si="0"/>
        <v>14.2571706</v>
      </c>
      <c r="H60" s="71">
        <v>3</v>
      </c>
      <c r="I60" s="71"/>
      <c r="J60" s="71"/>
      <c r="K60" s="71">
        <v>0.25</v>
      </c>
      <c r="L60" s="71"/>
      <c r="M60">
        <v>0.2</v>
      </c>
      <c r="N60">
        <v>0</v>
      </c>
      <c r="P60" s="177" t="s">
        <v>384</v>
      </c>
      <c r="AA60" t="s">
        <v>340</v>
      </c>
      <c r="AB60" t="s">
        <v>350</v>
      </c>
      <c r="AC60" s="6">
        <v>14.2571706</v>
      </c>
      <c r="AD60" t="s">
        <v>227</v>
      </c>
      <c r="AE60" s="6">
        <v>59</v>
      </c>
      <c r="AF60" s="185">
        <f>$AH$12</f>
        <v>1</v>
      </c>
      <c r="AG60" s="155" t="s">
        <v>394</v>
      </c>
    </row>
    <row r="61" spans="3:33" customFormat="1" ht="15" customHeight="1" x14ac:dyDescent="0.4">
      <c r="C61" s="6">
        <v>60</v>
      </c>
      <c r="E61" t="s">
        <v>228</v>
      </c>
      <c r="F61">
        <v>0</v>
      </c>
      <c r="G61" s="71"/>
      <c r="H61" s="71">
        <v>4.2</v>
      </c>
      <c r="I61" s="71"/>
      <c r="J61" s="71">
        <v>0.85</v>
      </c>
      <c r="K61" s="71">
        <v>0.25</v>
      </c>
      <c r="L61" s="71"/>
      <c r="M61">
        <v>0.2</v>
      </c>
      <c r="N61">
        <v>0</v>
      </c>
      <c r="O61" t="s">
        <v>467</v>
      </c>
      <c r="P61" s="177" t="s">
        <v>384</v>
      </c>
      <c r="AA61" s="146" t="s">
        <v>340</v>
      </c>
      <c r="AB61" s="146" t="s">
        <v>350</v>
      </c>
      <c r="AC61" s="144" t="s">
        <v>335</v>
      </c>
      <c r="AD61" t="s">
        <v>228</v>
      </c>
      <c r="AE61" s="6">
        <v>60</v>
      </c>
      <c r="AF61" s="185">
        <v>1</v>
      </c>
      <c r="AG61" s="213" t="s">
        <v>292</v>
      </c>
    </row>
    <row r="62" spans="3:33" customFormat="1" ht="15" customHeight="1" x14ac:dyDescent="0.4">
      <c r="C62" s="6">
        <v>61</v>
      </c>
      <c r="E62" t="s">
        <v>229</v>
      </c>
      <c r="F62">
        <v>0</v>
      </c>
      <c r="G62" s="71"/>
      <c r="H62" s="71">
        <v>22</v>
      </c>
      <c r="I62" s="71"/>
      <c r="J62" s="71">
        <v>0.85</v>
      </c>
      <c r="K62" s="71">
        <v>0.2</v>
      </c>
      <c r="L62" s="71"/>
      <c r="M62">
        <v>0.2</v>
      </c>
      <c r="N62">
        <v>0</v>
      </c>
      <c r="P62" s="177" t="s">
        <v>384</v>
      </c>
      <c r="AB62" s="7"/>
      <c r="AC62" s="71"/>
      <c r="AD62" t="s">
        <v>229</v>
      </c>
      <c r="AE62" s="6">
        <v>61</v>
      </c>
      <c r="AF62" s="185">
        <v>1</v>
      </c>
      <c r="AG62" s="213" t="s">
        <v>292</v>
      </c>
    </row>
    <row r="63" spans="3:33" customFormat="1" ht="15" customHeight="1" x14ac:dyDescent="0.4">
      <c r="C63" s="6">
        <v>62</v>
      </c>
      <c r="E63" t="s">
        <v>230</v>
      </c>
      <c r="F63">
        <v>0</v>
      </c>
      <c r="G63" s="71"/>
      <c r="H63" s="71">
        <v>1.21</v>
      </c>
      <c r="I63" s="71"/>
      <c r="J63" s="71">
        <v>0.85</v>
      </c>
      <c r="K63" s="71">
        <v>0.2</v>
      </c>
      <c r="L63" s="71"/>
      <c r="M63">
        <v>0.2</v>
      </c>
      <c r="N63">
        <v>0</v>
      </c>
      <c r="P63" s="177" t="s">
        <v>384</v>
      </c>
      <c r="AB63" s="7"/>
      <c r="AC63" s="71"/>
      <c r="AD63" t="s">
        <v>230</v>
      </c>
      <c r="AE63" s="6">
        <v>62</v>
      </c>
      <c r="AF63" s="185">
        <v>1</v>
      </c>
      <c r="AG63" s="213" t="s">
        <v>292</v>
      </c>
    </row>
    <row r="64" spans="3:33" customFormat="1" ht="15" customHeight="1" x14ac:dyDescent="0.4">
      <c r="C64" s="6">
        <v>63</v>
      </c>
      <c r="E64" t="s">
        <v>231</v>
      </c>
      <c r="F64">
        <v>0</v>
      </c>
      <c r="G64" s="71"/>
      <c r="H64" s="71">
        <v>21.5</v>
      </c>
      <c r="I64" s="71"/>
      <c r="J64" s="71">
        <v>0.85</v>
      </c>
      <c r="K64" s="71">
        <v>0.2</v>
      </c>
      <c r="L64" s="71"/>
      <c r="M64">
        <v>0.2</v>
      </c>
      <c r="N64">
        <v>0</v>
      </c>
      <c r="P64" s="177" t="s">
        <v>384</v>
      </c>
      <c r="AB64" s="7"/>
      <c r="AC64" s="71"/>
      <c r="AD64" t="s">
        <v>231</v>
      </c>
      <c r="AE64" s="6">
        <v>63</v>
      </c>
      <c r="AF64" s="185">
        <v>1</v>
      </c>
      <c r="AG64" s="213" t="s">
        <v>292</v>
      </c>
    </row>
    <row r="65" spans="3:33" customFormat="1" ht="15" customHeight="1" x14ac:dyDescent="0.4">
      <c r="C65" s="6">
        <v>64</v>
      </c>
      <c r="E65" t="s">
        <v>232</v>
      </c>
      <c r="F65">
        <v>0</v>
      </c>
      <c r="G65" s="71"/>
      <c r="H65" s="71">
        <v>1.3</v>
      </c>
      <c r="I65" s="71"/>
      <c r="J65" s="71">
        <v>0.85</v>
      </c>
      <c r="K65" s="71">
        <v>0.2</v>
      </c>
      <c r="L65" s="71"/>
      <c r="M65">
        <v>0.2</v>
      </c>
      <c r="N65">
        <v>0</v>
      </c>
      <c r="P65" s="177" t="s">
        <v>384</v>
      </c>
      <c r="AB65" s="7"/>
      <c r="AC65" s="71"/>
      <c r="AD65" t="s">
        <v>232</v>
      </c>
      <c r="AE65" s="6">
        <v>64</v>
      </c>
      <c r="AF65" s="185">
        <v>1</v>
      </c>
      <c r="AG65" s="213" t="s">
        <v>292</v>
      </c>
    </row>
    <row r="66" spans="3:33" customFormat="1" ht="15" customHeight="1" x14ac:dyDescent="0.4">
      <c r="C66" s="6">
        <v>65</v>
      </c>
      <c r="E66" t="s">
        <v>233</v>
      </c>
      <c r="F66">
        <v>0</v>
      </c>
      <c r="G66" s="71"/>
      <c r="H66" s="71">
        <v>7.4</v>
      </c>
      <c r="I66" s="71"/>
      <c r="J66" s="71">
        <v>0.85</v>
      </c>
      <c r="K66" s="71">
        <v>0.2</v>
      </c>
      <c r="L66" s="71"/>
      <c r="M66">
        <v>0.2</v>
      </c>
      <c r="N66">
        <v>0</v>
      </c>
      <c r="P66" s="177" t="s">
        <v>384</v>
      </c>
      <c r="AB66" s="7"/>
      <c r="AC66" s="71"/>
      <c r="AD66" t="s">
        <v>233</v>
      </c>
      <c r="AE66" s="6">
        <v>65</v>
      </c>
      <c r="AF66" s="185">
        <v>1</v>
      </c>
      <c r="AG66" s="213" t="s">
        <v>292</v>
      </c>
    </row>
    <row r="67" spans="3:33" customFormat="1" ht="15" customHeight="1" x14ac:dyDescent="0.4">
      <c r="C67" s="6">
        <v>66</v>
      </c>
      <c r="E67" t="s">
        <v>234</v>
      </c>
      <c r="F67">
        <v>0</v>
      </c>
      <c r="G67" s="71">
        <f t="shared" ref="G67:G91" si="4">AC67*AF67</f>
        <v>5.1094448039999998</v>
      </c>
      <c r="H67" s="71">
        <v>1.5</v>
      </c>
      <c r="I67" s="71"/>
      <c r="J67" s="71"/>
      <c r="K67" s="71">
        <v>0.25</v>
      </c>
      <c r="L67" s="71"/>
      <c r="M67">
        <v>0.2</v>
      </c>
      <c r="N67">
        <v>0</v>
      </c>
      <c r="P67" s="177" t="s">
        <v>384</v>
      </c>
      <c r="AA67" t="s">
        <v>345</v>
      </c>
      <c r="AB67" t="s">
        <v>350</v>
      </c>
      <c r="AC67" s="6">
        <v>1.2773612009999999</v>
      </c>
      <c r="AD67" t="s">
        <v>234</v>
      </c>
      <c r="AE67" s="6">
        <v>66</v>
      </c>
      <c r="AF67" s="184">
        <f>$AH$14</f>
        <v>4</v>
      </c>
      <c r="AG67" s="153" t="s">
        <v>395</v>
      </c>
    </row>
    <row r="68" spans="3:33" customFormat="1" ht="15" customHeight="1" x14ac:dyDescent="0.4">
      <c r="C68" s="6">
        <v>67</v>
      </c>
      <c r="E68" t="s">
        <v>235</v>
      </c>
      <c r="F68">
        <v>0</v>
      </c>
      <c r="G68" s="71">
        <f t="shared" si="4"/>
        <v>0.86923569599999995</v>
      </c>
      <c r="H68" s="71">
        <v>1</v>
      </c>
      <c r="I68" s="71"/>
      <c r="J68" s="71"/>
      <c r="K68" s="71">
        <v>0.25</v>
      </c>
      <c r="L68" s="71"/>
      <c r="M68">
        <v>0.2</v>
      </c>
      <c r="N68">
        <v>0</v>
      </c>
      <c r="P68" s="177" t="s">
        <v>384</v>
      </c>
      <c r="AA68" t="s">
        <v>345</v>
      </c>
      <c r="AB68" t="s">
        <v>350</v>
      </c>
      <c r="AC68" s="6">
        <v>0.21730892399999999</v>
      </c>
      <c r="AD68" t="s">
        <v>235</v>
      </c>
      <c r="AE68" s="6">
        <v>67</v>
      </c>
      <c r="AF68" s="184">
        <f>$AH$14</f>
        <v>4</v>
      </c>
      <c r="AG68" s="153" t="s">
        <v>395</v>
      </c>
    </row>
    <row r="69" spans="3:33" customFormat="1" ht="15" customHeight="1" x14ac:dyDescent="0.4">
      <c r="C69" s="6">
        <v>68</v>
      </c>
      <c r="E69" t="s">
        <v>236</v>
      </c>
      <c r="F69">
        <v>0</v>
      </c>
      <c r="G69" s="71"/>
      <c r="H69" s="71">
        <v>3</v>
      </c>
      <c r="I69" s="71"/>
      <c r="J69" s="71">
        <v>0.85</v>
      </c>
      <c r="K69" s="71">
        <v>0.2</v>
      </c>
      <c r="L69" s="71"/>
      <c r="M69">
        <v>0.2</v>
      </c>
      <c r="N69">
        <v>0</v>
      </c>
      <c r="P69" s="177" t="s">
        <v>384</v>
      </c>
      <c r="AB69" s="7"/>
      <c r="AC69" s="71"/>
      <c r="AD69" t="s">
        <v>236</v>
      </c>
      <c r="AE69" s="6">
        <v>68</v>
      </c>
      <c r="AF69" s="185">
        <v>1</v>
      </c>
      <c r="AG69" s="213" t="s">
        <v>292</v>
      </c>
    </row>
    <row r="70" spans="3:33" customFormat="1" ht="15" customHeight="1" x14ac:dyDescent="0.4">
      <c r="C70" s="6">
        <v>69</v>
      </c>
      <c r="E70" t="s">
        <v>237</v>
      </c>
      <c r="F70">
        <v>0</v>
      </c>
      <c r="G70" s="71">
        <f t="shared" si="4"/>
        <v>1.70732E-2</v>
      </c>
      <c r="H70" s="71">
        <v>0.1</v>
      </c>
      <c r="I70" s="71">
        <v>73</v>
      </c>
      <c r="J70" s="71"/>
      <c r="K70" s="71"/>
      <c r="L70" s="71"/>
      <c r="M70">
        <v>0.2</v>
      </c>
      <c r="N70">
        <v>0</v>
      </c>
      <c r="P70" s="176" t="s">
        <v>385</v>
      </c>
      <c r="AA70" t="s">
        <v>347</v>
      </c>
      <c r="AB70" t="s">
        <v>353</v>
      </c>
      <c r="AC70" s="6">
        <v>1.70732E-2</v>
      </c>
      <c r="AD70" t="s">
        <v>237</v>
      </c>
      <c r="AE70" s="6">
        <v>69</v>
      </c>
      <c r="AF70" s="185">
        <f>$AH$22</f>
        <v>1</v>
      </c>
      <c r="AG70" s="209" t="s">
        <v>404</v>
      </c>
    </row>
    <row r="71" spans="3:33" customFormat="1" ht="15" customHeight="1" x14ac:dyDescent="0.4">
      <c r="C71" s="6">
        <v>70</v>
      </c>
      <c r="E71" t="s">
        <v>238</v>
      </c>
      <c r="F71">
        <v>0</v>
      </c>
      <c r="G71" s="71">
        <f t="shared" si="4"/>
        <v>1.51141E-2</v>
      </c>
      <c r="H71" s="71">
        <v>0.16900000000000001</v>
      </c>
      <c r="I71" s="71">
        <v>72</v>
      </c>
      <c r="J71" s="71"/>
      <c r="K71" s="71"/>
      <c r="L71" s="71"/>
      <c r="M71">
        <v>0.2</v>
      </c>
      <c r="N71">
        <v>0</v>
      </c>
      <c r="P71" s="176" t="s">
        <v>385</v>
      </c>
      <c r="AA71" t="s">
        <v>347</v>
      </c>
      <c r="AB71" t="s">
        <v>353</v>
      </c>
      <c r="AC71" s="6">
        <v>1.51141E-2</v>
      </c>
      <c r="AD71" t="s">
        <v>238</v>
      </c>
      <c r="AE71" s="6">
        <v>70</v>
      </c>
      <c r="AF71" s="185">
        <f>$AH$23</f>
        <v>1</v>
      </c>
      <c r="AG71" s="214" t="s">
        <v>406</v>
      </c>
    </row>
    <row r="72" spans="3:33" customFormat="1" ht="15" customHeight="1" x14ac:dyDescent="0.4">
      <c r="C72" s="6">
        <v>71</v>
      </c>
      <c r="E72" t="s">
        <v>239</v>
      </c>
      <c r="F72">
        <v>0</v>
      </c>
      <c r="G72" s="71">
        <f t="shared" si="4"/>
        <v>9.3961399999999997E-4</v>
      </c>
      <c r="H72" s="71">
        <v>0.16600000000000001</v>
      </c>
      <c r="I72" s="71">
        <v>73</v>
      </c>
      <c r="J72" s="71"/>
      <c r="K72" s="71"/>
      <c r="L72" s="71"/>
      <c r="M72">
        <v>0.2</v>
      </c>
      <c r="N72">
        <v>0</v>
      </c>
      <c r="P72" s="176" t="s">
        <v>385</v>
      </c>
      <c r="AA72" t="s">
        <v>347</v>
      </c>
      <c r="AB72" t="s">
        <v>353</v>
      </c>
      <c r="AC72" s="6">
        <v>9.3961399999999997E-4</v>
      </c>
      <c r="AD72" t="s">
        <v>239</v>
      </c>
      <c r="AE72" s="6">
        <v>71</v>
      </c>
      <c r="AF72" s="185">
        <f>$AH$23</f>
        <v>1</v>
      </c>
      <c r="AG72" s="214" t="s">
        <v>406</v>
      </c>
    </row>
    <row r="73" spans="3:33" customFormat="1" ht="15" customHeight="1" x14ac:dyDescent="0.4">
      <c r="C73" s="6">
        <v>72</v>
      </c>
      <c r="E73" t="s">
        <v>240</v>
      </c>
      <c r="F73">
        <v>0</v>
      </c>
      <c r="G73" s="71">
        <f t="shared" si="4"/>
        <v>1.287814E-3</v>
      </c>
      <c r="H73" s="71">
        <v>0.16900000000000001</v>
      </c>
      <c r="I73" s="71">
        <v>110</v>
      </c>
      <c r="J73" s="71"/>
      <c r="K73" s="71"/>
      <c r="L73" s="71"/>
      <c r="M73">
        <v>0.2</v>
      </c>
      <c r="N73">
        <v>0</v>
      </c>
      <c r="P73" s="176" t="s">
        <v>385</v>
      </c>
      <c r="AA73" t="s">
        <v>347</v>
      </c>
      <c r="AB73" t="s">
        <v>353</v>
      </c>
      <c r="AC73" s="6">
        <v>6.4390699999999999E-4</v>
      </c>
      <c r="AD73" t="s">
        <v>240</v>
      </c>
      <c r="AE73" s="6">
        <v>72</v>
      </c>
      <c r="AF73" s="185">
        <f>$AH$24</f>
        <v>2</v>
      </c>
      <c r="AG73" s="205" t="s">
        <v>408</v>
      </c>
    </row>
    <row r="74" spans="3:33" customFormat="1" ht="15" customHeight="1" x14ac:dyDescent="0.4">
      <c r="C74" s="6">
        <v>73</v>
      </c>
      <c r="E74" t="s">
        <v>241</v>
      </c>
      <c r="F74">
        <v>0</v>
      </c>
      <c r="G74" s="71">
        <f t="shared" si="4"/>
        <v>1.032324E-3</v>
      </c>
      <c r="H74" s="71">
        <v>6.7599999999999993E-2</v>
      </c>
      <c r="I74" s="71">
        <v>75</v>
      </c>
      <c r="J74" s="71"/>
      <c r="K74" s="71"/>
      <c r="L74" s="71"/>
      <c r="M74">
        <v>0.2</v>
      </c>
      <c r="N74">
        <v>0</v>
      </c>
      <c r="P74" s="176" t="s">
        <v>385</v>
      </c>
      <c r="AA74" t="s">
        <v>347</v>
      </c>
      <c r="AB74" t="s">
        <v>353</v>
      </c>
      <c r="AC74" s="6">
        <v>1.032324E-3</v>
      </c>
      <c r="AD74" t="s">
        <v>241</v>
      </c>
      <c r="AE74" s="6">
        <v>73</v>
      </c>
      <c r="AF74" s="185">
        <f>$AH$22</f>
        <v>1</v>
      </c>
      <c r="AG74" s="209" t="s">
        <v>404</v>
      </c>
    </row>
    <row r="75" spans="3:33" customFormat="1" ht="15" customHeight="1" x14ac:dyDescent="0.4">
      <c r="C75" s="6">
        <v>74</v>
      </c>
      <c r="E75" t="s">
        <v>242</v>
      </c>
      <c r="F75">
        <v>0</v>
      </c>
      <c r="G75" s="71">
        <f t="shared" si="4"/>
        <v>9.8267899999999997E-4</v>
      </c>
      <c r="H75" s="71">
        <v>0.1</v>
      </c>
      <c r="I75" s="71">
        <v>73</v>
      </c>
      <c r="J75" s="71"/>
      <c r="K75" s="71"/>
      <c r="L75" s="71"/>
      <c r="M75">
        <v>0.2</v>
      </c>
      <c r="N75">
        <v>0</v>
      </c>
      <c r="P75" s="176" t="s">
        <v>385</v>
      </c>
      <c r="AA75" t="s">
        <v>347</v>
      </c>
      <c r="AB75" t="s">
        <v>353</v>
      </c>
      <c r="AC75" s="6">
        <v>9.8267899999999997E-4</v>
      </c>
      <c r="AD75" t="s">
        <v>242</v>
      </c>
      <c r="AE75" s="6">
        <v>74</v>
      </c>
      <c r="AF75" s="185">
        <f>$AH$22</f>
        <v>1</v>
      </c>
      <c r="AG75" s="209" t="s">
        <v>404</v>
      </c>
    </row>
    <row r="76" spans="3:33" customFormat="1" ht="15" customHeight="1" x14ac:dyDescent="0.4">
      <c r="C76" s="6">
        <v>75</v>
      </c>
      <c r="E76" t="s">
        <v>243</v>
      </c>
      <c r="F76">
        <v>0</v>
      </c>
      <c r="G76" s="71">
        <f t="shared" si="4"/>
        <v>7.3033099999999997E-4</v>
      </c>
      <c r="H76" s="71">
        <v>0.159</v>
      </c>
      <c r="I76" s="71">
        <v>73</v>
      </c>
      <c r="J76" s="71"/>
      <c r="K76" s="71"/>
      <c r="L76" s="71"/>
      <c r="M76">
        <v>0.2</v>
      </c>
      <c r="N76">
        <v>0</v>
      </c>
      <c r="P76" s="176" t="s">
        <v>385</v>
      </c>
      <c r="AA76" t="s">
        <v>347</v>
      </c>
      <c r="AB76" t="s">
        <v>353</v>
      </c>
      <c r="AC76" s="6">
        <v>7.3033099999999997E-4</v>
      </c>
      <c r="AD76" t="s">
        <v>243</v>
      </c>
      <c r="AE76" s="6">
        <v>75</v>
      </c>
      <c r="AF76" s="185">
        <f>AH25</f>
        <v>1</v>
      </c>
      <c r="AG76" s="215" t="s">
        <v>410</v>
      </c>
    </row>
    <row r="77" spans="3:33" customFormat="1" ht="15" customHeight="1" x14ac:dyDescent="0.4">
      <c r="C77" s="6">
        <v>76</v>
      </c>
      <c r="E77" t="s">
        <v>244</v>
      </c>
      <c r="F77">
        <v>0</v>
      </c>
      <c r="G77" s="71">
        <f t="shared" si="4"/>
        <v>6.0999999999999999E-5</v>
      </c>
      <c r="H77" s="71">
        <v>0.12</v>
      </c>
      <c r="I77" s="71">
        <v>144</v>
      </c>
      <c r="J77" s="71"/>
      <c r="K77" s="71"/>
      <c r="L77" s="71"/>
      <c r="M77">
        <v>0.2</v>
      </c>
      <c r="N77">
        <v>0</v>
      </c>
      <c r="P77" s="176" t="s">
        <v>385</v>
      </c>
      <c r="AA77" t="s">
        <v>347</v>
      </c>
      <c r="AB77" t="s">
        <v>353</v>
      </c>
      <c r="AC77" s="136">
        <v>3.0499999999999999E-5</v>
      </c>
      <c r="AD77" t="s">
        <v>244</v>
      </c>
      <c r="AE77" s="6">
        <v>76</v>
      </c>
      <c r="AF77" s="185">
        <f>$AH$24</f>
        <v>2</v>
      </c>
      <c r="AG77" s="205" t="s">
        <v>408</v>
      </c>
    </row>
    <row r="78" spans="3:33" customFormat="1" ht="15" customHeight="1" x14ac:dyDescent="0.4">
      <c r="C78" s="6">
        <v>77</v>
      </c>
      <c r="E78" t="s">
        <v>245</v>
      </c>
      <c r="F78">
        <v>0</v>
      </c>
      <c r="G78" s="71">
        <f t="shared" si="4"/>
        <v>0.14598191666666671</v>
      </c>
      <c r="H78" s="71">
        <v>6.3E-2</v>
      </c>
      <c r="I78" s="71">
        <v>8.9</v>
      </c>
      <c r="J78" s="71"/>
      <c r="K78" s="71"/>
      <c r="L78" s="71"/>
      <c r="M78">
        <v>0.2</v>
      </c>
      <c r="N78">
        <v>0</v>
      </c>
      <c r="P78" s="176" t="s">
        <v>386</v>
      </c>
      <c r="AA78" t="s">
        <v>346</v>
      </c>
      <c r="AB78" s="7"/>
      <c r="AC78" s="261">
        <v>0.14598191666666671</v>
      </c>
      <c r="AD78" t="s">
        <v>245</v>
      </c>
      <c r="AE78" s="6">
        <v>77</v>
      </c>
      <c r="AF78" s="185">
        <f>$AH$15</f>
        <v>1</v>
      </c>
      <c r="AG78" s="190" t="s">
        <v>398</v>
      </c>
    </row>
    <row r="79" spans="3:33" customFormat="1" ht="15" customHeight="1" x14ac:dyDescent="0.4">
      <c r="C79" s="6">
        <v>78</v>
      </c>
      <c r="E79" t="s">
        <v>246</v>
      </c>
      <c r="F79">
        <v>0</v>
      </c>
      <c r="G79" s="71">
        <f t="shared" si="4"/>
        <v>0.57161200000000001</v>
      </c>
      <c r="H79" s="71">
        <v>0.04</v>
      </c>
      <c r="I79" s="71">
        <v>7.6</v>
      </c>
      <c r="J79" s="71"/>
      <c r="K79" s="71"/>
      <c r="L79" s="71"/>
      <c r="M79">
        <v>0.2</v>
      </c>
      <c r="N79">
        <v>0</v>
      </c>
      <c r="P79" s="176" t="s">
        <v>386</v>
      </c>
      <c r="AA79" t="s">
        <v>346</v>
      </c>
      <c r="AB79" s="7"/>
      <c r="AC79" s="261">
        <v>0.57161200000000001</v>
      </c>
      <c r="AD79" t="s">
        <v>246</v>
      </c>
      <c r="AE79" s="6">
        <v>78</v>
      </c>
      <c r="AF79" s="185">
        <f t="shared" ref="AF79:AF86" si="5">$AH$15</f>
        <v>1</v>
      </c>
      <c r="AG79" s="190" t="s">
        <v>398</v>
      </c>
    </row>
    <row r="80" spans="3:33" customFormat="1" ht="15" customHeight="1" x14ac:dyDescent="0.4">
      <c r="C80" s="6">
        <v>79</v>
      </c>
      <c r="E80" t="s">
        <v>247</v>
      </c>
      <c r="F80">
        <v>0</v>
      </c>
      <c r="G80" s="71">
        <f t="shared" si="4"/>
        <v>2.3760158999999999E-2</v>
      </c>
      <c r="H80" s="71">
        <v>8.3000000000000004E-2</v>
      </c>
      <c r="I80" s="71">
        <v>8.3000000000000007</v>
      </c>
      <c r="J80" s="71"/>
      <c r="K80" s="71"/>
      <c r="L80" s="71"/>
      <c r="M80">
        <v>0.2</v>
      </c>
      <c r="N80">
        <v>0</v>
      </c>
      <c r="P80" s="176" t="s">
        <v>386</v>
      </c>
      <c r="AA80" t="s">
        <v>346</v>
      </c>
      <c r="AB80" s="7"/>
      <c r="AC80" s="6">
        <v>2.3760158999999999E-2</v>
      </c>
      <c r="AD80" t="s">
        <v>247</v>
      </c>
      <c r="AE80" s="6">
        <v>79</v>
      </c>
      <c r="AF80" s="185">
        <f t="shared" si="5"/>
        <v>1</v>
      </c>
      <c r="AG80" s="190" t="s">
        <v>398</v>
      </c>
    </row>
    <row r="81" spans="3:33" customFormat="1" ht="15" customHeight="1" x14ac:dyDescent="0.4">
      <c r="C81" s="6">
        <v>80</v>
      </c>
      <c r="E81" t="s">
        <v>280</v>
      </c>
      <c r="F81">
        <v>0</v>
      </c>
      <c r="G81" s="71">
        <f t="shared" si="4"/>
        <v>4.8928055999999998E-2</v>
      </c>
      <c r="H81" s="71">
        <v>7.0000000000000007E-2</v>
      </c>
      <c r="I81" s="71">
        <v>24</v>
      </c>
      <c r="J81" s="71"/>
      <c r="K81" s="71"/>
      <c r="L81" s="71"/>
      <c r="M81">
        <v>0.2</v>
      </c>
      <c r="N81">
        <v>0</v>
      </c>
      <c r="P81" s="176" t="s">
        <v>386</v>
      </c>
      <c r="AA81" t="s">
        <v>346</v>
      </c>
      <c r="AB81" s="7"/>
      <c r="AC81" s="6">
        <v>4.8928055999999998E-2</v>
      </c>
      <c r="AD81" t="s">
        <v>280</v>
      </c>
      <c r="AE81" s="6">
        <v>80</v>
      </c>
      <c r="AF81" s="185">
        <f t="shared" si="5"/>
        <v>1</v>
      </c>
      <c r="AG81" s="190" t="s">
        <v>398</v>
      </c>
    </row>
    <row r="82" spans="3:33" customFormat="1" ht="15" customHeight="1" x14ac:dyDescent="0.4">
      <c r="C82" s="6">
        <v>81</v>
      </c>
      <c r="E82" t="s">
        <v>281</v>
      </c>
      <c r="F82">
        <v>0</v>
      </c>
      <c r="G82" s="71">
        <f t="shared" si="4"/>
        <v>6.2393408999999997E-2</v>
      </c>
      <c r="H82" s="71">
        <v>7.0000000000000007E-2</v>
      </c>
      <c r="I82" s="71">
        <v>24</v>
      </c>
      <c r="J82" s="71"/>
      <c r="K82" s="71"/>
      <c r="L82" s="71"/>
      <c r="M82">
        <v>0.2</v>
      </c>
      <c r="N82">
        <v>0</v>
      </c>
      <c r="P82" s="176" t="s">
        <v>386</v>
      </c>
      <c r="AA82" t="s">
        <v>346</v>
      </c>
      <c r="AB82" s="7"/>
      <c r="AC82" s="6">
        <v>6.2393408999999997E-2</v>
      </c>
      <c r="AD82" t="s">
        <v>281</v>
      </c>
      <c r="AE82" s="6">
        <v>81</v>
      </c>
      <c r="AF82" s="185">
        <f t="shared" si="5"/>
        <v>1</v>
      </c>
      <c r="AG82" s="190" t="s">
        <v>398</v>
      </c>
    </row>
    <row r="83" spans="3:33" customFormat="1" ht="15" customHeight="1" x14ac:dyDescent="0.4">
      <c r="C83" s="6">
        <v>82</v>
      </c>
      <c r="E83" t="s">
        <v>248</v>
      </c>
      <c r="F83">
        <v>0</v>
      </c>
      <c r="G83" s="71">
        <f t="shared" si="4"/>
        <v>7.1590999999999988E-2</v>
      </c>
      <c r="H83" s="71">
        <v>0.1</v>
      </c>
      <c r="I83" s="71">
        <v>25.8</v>
      </c>
      <c r="J83" s="71"/>
      <c r="K83" s="71"/>
      <c r="L83" s="71"/>
      <c r="M83">
        <v>0.2</v>
      </c>
      <c r="N83">
        <v>0</v>
      </c>
      <c r="P83" s="176" t="s">
        <v>386</v>
      </c>
      <c r="AA83" t="s">
        <v>346</v>
      </c>
      <c r="AB83" s="7"/>
      <c r="AC83" s="263">
        <v>7.1590999999999988E-2</v>
      </c>
      <c r="AD83" t="s">
        <v>248</v>
      </c>
      <c r="AE83" s="6">
        <v>82</v>
      </c>
      <c r="AF83" s="185">
        <f t="shared" si="5"/>
        <v>1</v>
      </c>
      <c r="AG83" s="190" t="s">
        <v>398</v>
      </c>
    </row>
    <row r="84" spans="3:33" customFormat="1" ht="15" customHeight="1" x14ac:dyDescent="0.4">
      <c r="C84" s="6">
        <v>83</v>
      </c>
      <c r="E84" t="s">
        <v>249</v>
      </c>
      <c r="F84">
        <v>0</v>
      </c>
      <c r="G84" s="71">
        <f t="shared" si="4"/>
        <v>6.7212000000000022E-2</v>
      </c>
      <c r="H84" s="71">
        <v>4.7E-2</v>
      </c>
      <c r="I84" s="71">
        <v>6.61</v>
      </c>
      <c r="J84" s="71"/>
      <c r="K84" s="71"/>
      <c r="L84" s="71"/>
      <c r="M84">
        <v>0.2</v>
      </c>
      <c r="N84">
        <v>0</v>
      </c>
      <c r="P84" s="176" t="s">
        <v>386</v>
      </c>
      <c r="AA84" t="s">
        <v>346</v>
      </c>
      <c r="AB84" s="7"/>
      <c r="AC84" s="263">
        <v>6.7212000000000022E-2</v>
      </c>
      <c r="AD84" t="s">
        <v>249</v>
      </c>
      <c r="AE84" s="6">
        <v>83</v>
      </c>
      <c r="AF84" s="185">
        <f t="shared" si="5"/>
        <v>1</v>
      </c>
      <c r="AG84" s="190" t="s">
        <v>398</v>
      </c>
    </row>
    <row r="85" spans="3:33" customFormat="1" ht="15" customHeight="1" x14ac:dyDescent="0.4">
      <c r="C85" s="6">
        <v>84</v>
      </c>
      <c r="E85" t="s">
        <v>282</v>
      </c>
      <c r="F85">
        <v>0</v>
      </c>
      <c r="G85" s="71">
        <f>AC86*AF85</f>
        <v>4.2211199999999999E-4</v>
      </c>
      <c r="H85" s="71">
        <v>2.5000000000000001E-2</v>
      </c>
      <c r="I85" s="71">
        <v>11.157</v>
      </c>
      <c r="J85" s="71"/>
      <c r="K85" s="71"/>
      <c r="L85" s="71"/>
      <c r="M85">
        <v>0.2</v>
      </c>
      <c r="N85">
        <v>0</v>
      </c>
      <c r="P85" s="176" t="s">
        <v>387</v>
      </c>
      <c r="AA85" t="s">
        <v>346</v>
      </c>
      <c r="AB85" s="7"/>
      <c r="AC85" s="6">
        <v>4.620725E-3</v>
      </c>
      <c r="AD85" t="s">
        <v>282</v>
      </c>
      <c r="AE85" s="6">
        <v>84</v>
      </c>
      <c r="AF85" s="185">
        <f t="shared" si="5"/>
        <v>1</v>
      </c>
      <c r="AG85" s="190" t="s">
        <v>398</v>
      </c>
    </row>
    <row r="86" spans="3:33" customFormat="1" ht="15" customHeight="1" x14ac:dyDescent="0.4">
      <c r="C86" s="6">
        <v>85</v>
      </c>
      <c r="E86" t="s">
        <v>283</v>
      </c>
      <c r="F86">
        <v>0</v>
      </c>
      <c r="G86" s="71">
        <f>AC85*AF86</f>
        <v>4.620725E-3</v>
      </c>
      <c r="H86" s="71">
        <v>2.5000000000000001E-2</v>
      </c>
      <c r="I86" s="71">
        <v>11.157</v>
      </c>
      <c r="J86" s="71"/>
      <c r="K86" s="71"/>
      <c r="L86" s="71"/>
      <c r="M86">
        <v>0.2</v>
      </c>
      <c r="N86">
        <v>0</v>
      </c>
      <c r="P86" s="176" t="s">
        <v>387</v>
      </c>
      <c r="AA86" t="s">
        <v>346</v>
      </c>
      <c r="AB86" s="7"/>
      <c r="AC86" s="6">
        <v>4.2211199999999999E-4</v>
      </c>
      <c r="AD86" t="s">
        <v>283</v>
      </c>
      <c r="AE86" s="6">
        <v>85</v>
      </c>
      <c r="AF86" s="185">
        <f t="shared" si="5"/>
        <v>1</v>
      </c>
      <c r="AG86" s="190" t="s">
        <v>398</v>
      </c>
    </row>
    <row r="87" spans="3:33" customFormat="1" ht="15" customHeight="1" x14ac:dyDescent="0.4">
      <c r="C87" s="6">
        <v>86</v>
      </c>
      <c r="E87" t="s">
        <v>250</v>
      </c>
      <c r="F87">
        <v>2</v>
      </c>
      <c r="G87" s="71">
        <f t="shared" si="4"/>
        <v>1.7600000000000001E-5</v>
      </c>
      <c r="H87" s="71"/>
      <c r="I87" s="71"/>
      <c r="J87" s="71"/>
      <c r="K87" s="71"/>
      <c r="L87" s="71"/>
      <c r="M87" s="114"/>
      <c r="N87">
        <v>0</v>
      </c>
      <c r="P87" s="179"/>
      <c r="AA87" t="s">
        <v>338</v>
      </c>
      <c r="AB87" t="s">
        <v>348</v>
      </c>
      <c r="AC87" s="136">
        <v>1.7600000000000001E-6</v>
      </c>
      <c r="AD87" t="s">
        <v>250</v>
      </c>
      <c r="AE87" s="6">
        <v>86</v>
      </c>
      <c r="AF87" s="183">
        <f>$AH$20</f>
        <v>10</v>
      </c>
      <c r="AG87" s="229" t="s">
        <v>421</v>
      </c>
    </row>
    <row r="88" spans="3:33" customFormat="1" ht="15" customHeight="1" x14ac:dyDescent="0.4">
      <c r="C88" s="6">
        <v>87</v>
      </c>
      <c r="E88" t="s">
        <v>251</v>
      </c>
      <c r="F88">
        <v>2</v>
      </c>
      <c r="G88" s="71">
        <f t="shared" si="4"/>
        <v>1.9063828780000001</v>
      </c>
      <c r="H88" s="71"/>
      <c r="I88" s="71"/>
      <c r="J88" s="71"/>
      <c r="K88" s="71"/>
      <c r="L88" s="71"/>
      <c r="M88" s="114"/>
      <c r="N88">
        <v>0</v>
      </c>
      <c r="P88" s="179"/>
      <c r="AA88" t="s">
        <v>336</v>
      </c>
      <c r="AB88" t="s">
        <v>337</v>
      </c>
      <c r="AC88" s="6">
        <v>0.95319143900000003</v>
      </c>
      <c r="AD88" t="s">
        <v>251</v>
      </c>
      <c r="AE88" s="6">
        <v>87</v>
      </c>
      <c r="AF88" s="183">
        <f>AH21</f>
        <v>2</v>
      </c>
      <c r="AG88" s="229" t="s">
        <v>423</v>
      </c>
    </row>
    <row r="89" spans="3:33" customFormat="1" ht="15" customHeight="1" x14ac:dyDescent="0.4">
      <c r="C89" s="6">
        <v>88</v>
      </c>
      <c r="E89" t="s">
        <v>252</v>
      </c>
      <c r="F89">
        <v>2</v>
      </c>
      <c r="G89" s="71">
        <f t="shared" si="4"/>
        <v>10</v>
      </c>
      <c r="H89" s="71"/>
      <c r="I89" s="71"/>
      <c r="J89" s="71"/>
      <c r="K89" s="71"/>
      <c r="L89" s="71"/>
      <c r="M89" s="114"/>
      <c r="N89">
        <v>0</v>
      </c>
      <c r="O89" t="s">
        <v>287</v>
      </c>
      <c r="P89" s="179"/>
      <c r="AB89" s="7"/>
      <c r="AC89" s="71">
        <v>10</v>
      </c>
      <c r="AD89" t="s">
        <v>252</v>
      </c>
      <c r="AE89" s="6">
        <v>88</v>
      </c>
      <c r="AF89" s="185">
        <v>1</v>
      </c>
      <c r="AG89" s="190" t="s">
        <v>429</v>
      </c>
    </row>
    <row r="90" spans="3:33" customFormat="1" ht="15" customHeight="1" x14ac:dyDescent="0.4">
      <c r="C90" s="6">
        <v>89</v>
      </c>
      <c r="E90" t="s">
        <v>253</v>
      </c>
      <c r="F90">
        <v>2</v>
      </c>
      <c r="G90" s="71">
        <f t="shared" si="4"/>
        <v>5</v>
      </c>
      <c r="H90" s="71"/>
      <c r="I90" s="71"/>
      <c r="J90" s="71"/>
      <c r="K90" s="71"/>
      <c r="L90" s="71"/>
      <c r="M90" s="114"/>
      <c r="N90">
        <v>0</v>
      </c>
      <c r="O90" t="s">
        <v>287</v>
      </c>
      <c r="P90" s="179"/>
      <c r="AB90" s="7"/>
      <c r="AC90" s="71">
        <v>5</v>
      </c>
      <c r="AD90" t="s">
        <v>253</v>
      </c>
      <c r="AE90" s="6">
        <v>89</v>
      </c>
      <c r="AF90" s="185">
        <v>1</v>
      </c>
      <c r="AG90" s="190" t="s">
        <v>429</v>
      </c>
    </row>
    <row r="91" spans="3:33" customFormat="1" ht="15" customHeight="1" x14ac:dyDescent="0.4">
      <c r="C91" s="6">
        <v>90</v>
      </c>
      <c r="E91" t="s">
        <v>254</v>
      </c>
      <c r="F91">
        <v>2</v>
      </c>
      <c r="G91" s="71">
        <f t="shared" si="4"/>
        <v>10</v>
      </c>
      <c r="H91" s="71"/>
      <c r="I91" s="71"/>
      <c r="J91" s="71"/>
      <c r="K91" s="71"/>
      <c r="L91" s="71"/>
      <c r="M91" s="114"/>
      <c r="N91">
        <v>0</v>
      </c>
      <c r="O91" t="s">
        <v>287</v>
      </c>
      <c r="P91" s="179"/>
      <c r="AB91" s="7"/>
      <c r="AC91" s="71">
        <v>10</v>
      </c>
      <c r="AD91" t="s">
        <v>254</v>
      </c>
      <c r="AE91" s="6">
        <v>90</v>
      </c>
      <c r="AF91" s="185">
        <v>1</v>
      </c>
      <c r="AG91" s="190" t="s">
        <v>429</v>
      </c>
    </row>
    <row r="92" spans="3:33" customFormat="1" ht="15" customHeight="1" x14ac:dyDescent="0.4">
      <c r="C92" s="6">
        <v>91</v>
      </c>
      <c r="E92" s="234" t="s">
        <v>433</v>
      </c>
      <c r="F92">
        <v>3</v>
      </c>
      <c r="G92" s="71"/>
      <c r="H92" s="71"/>
      <c r="I92" s="71"/>
      <c r="J92" s="71"/>
      <c r="K92" s="71"/>
      <c r="L92" s="71"/>
      <c r="M92" s="114"/>
      <c r="N92">
        <v>0</v>
      </c>
      <c r="P92" s="179"/>
      <c r="AB92" s="7"/>
      <c r="AC92" s="67"/>
      <c r="AD92" t="s">
        <v>255</v>
      </c>
      <c r="AE92" s="6">
        <v>91</v>
      </c>
      <c r="AF92" s="185">
        <v>1</v>
      </c>
    </row>
    <row r="93" spans="3:33" customFormat="1" ht="15" customHeight="1" x14ac:dyDescent="0.4">
      <c r="C93" s="6">
        <v>92</v>
      </c>
      <c r="E93" s="234" t="s">
        <v>434</v>
      </c>
      <c r="F93">
        <v>3</v>
      </c>
      <c r="G93" s="71"/>
      <c r="H93" s="71"/>
      <c r="I93" s="71"/>
      <c r="J93" s="71"/>
      <c r="K93" s="71"/>
      <c r="L93" s="71"/>
      <c r="M93" s="114"/>
      <c r="N93">
        <v>0</v>
      </c>
      <c r="P93" s="179"/>
      <c r="AB93" s="7"/>
      <c r="AC93" s="67"/>
      <c r="AD93" t="s">
        <v>256</v>
      </c>
      <c r="AE93" s="6">
        <v>92</v>
      </c>
      <c r="AF93" s="185">
        <v>1</v>
      </c>
    </row>
    <row r="94" spans="3:33" customFormat="1" ht="15" customHeight="1" x14ac:dyDescent="0.4">
      <c r="C94" s="6">
        <v>93</v>
      </c>
      <c r="E94" s="234" t="s">
        <v>435</v>
      </c>
      <c r="F94">
        <v>3</v>
      </c>
      <c r="G94" s="71"/>
      <c r="H94" s="71"/>
      <c r="I94" s="71"/>
      <c r="J94" s="71"/>
      <c r="K94" s="71"/>
      <c r="L94" s="71"/>
      <c r="M94" s="114"/>
      <c r="N94">
        <v>0</v>
      </c>
      <c r="P94" s="179"/>
      <c r="AB94" s="7"/>
      <c r="AC94" s="67"/>
      <c r="AD94" t="s">
        <v>257</v>
      </c>
      <c r="AE94" s="6">
        <v>93</v>
      </c>
      <c r="AF94" s="185">
        <v>1</v>
      </c>
    </row>
    <row r="95" spans="3:33" customFormat="1" ht="15" customHeight="1" x14ac:dyDescent="0.4">
      <c r="C95" s="6">
        <v>94</v>
      </c>
      <c r="E95" s="234" t="s">
        <v>436</v>
      </c>
      <c r="F95">
        <v>3</v>
      </c>
      <c r="G95" s="71"/>
      <c r="H95" s="71"/>
      <c r="I95" s="71"/>
      <c r="J95" s="71"/>
      <c r="K95" s="71"/>
      <c r="L95" s="71"/>
      <c r="M95" s="114"/>
      <c r="N95">
        <v>0</v>
      </c>
      <c r="P95" s="179"/>
      <c r="AB95" s="7"/>
      <c r="AC95" s="67"/>
      <c r="AD95" t="s">
        <v>258</v>
      </c>
      <c r="AE95" s="6">
        <v>94</v>
      </c>
      <c r="AF95" s="185">
        <v>1</v>
      </c>
    </row>
    <row r="96" spans="3:33" customFormat="1" ht="15" customHeight="1" x14ac:dyDescent="0.4">
      <c r="C96" s="6">
        <v>95</v>
      </c>
      <c r="E96" s="234" t="s">
        <v>437</v>
      </c>
      <c r="F96">
        <v>3</v>
      </c>
      <c r="G96" s="71"/>
      <c r="H96" s="71"/>
      <c r="I96" s="71"/>
      <c r="J96" s="71"/>
      <c r="K96" s="71"/>
      <c r="L96" s="71"/>
      <c r="M96" s="114"/>
      <c r="N96">
        <v>0</v>
      </c>
      <c r="P96" s="179"/>
      <c r="AB96" s="7"/>
      <c r="AC96" s="67"/>
      <c r="AD96" t="s">
        <v>259</v>
      </c>
      <c r="AE96" s="6">
        <v>95</v>
      </c>
      <c r="AF96" s="185">
        <v>1</v>
      </c>
    </row>
    <row r="97" spans="3:32" customFormat="1" ht="15" customHeight="1" x14ac:dyDescent="0.4">
      <c r="C97" s="6">
        <v>96</v>
      </c>
      <c r="E97" s="234" t="s">
        <v>438</v>
      </c>
      <c r="F97">
        <v>3</v>
      </c>
      <c r="G97" s="71"/>
      <c r="H97" s="71"/>
      <c r="I97" s="71"/>
      <c r="J97" s="71"/>
      <c r="K97" s="71"/>
      <c r="L97" s="71"/>
      <c r="M97" s="114"/>
      <c r="N97">
        <v>0</v>
      </c>
      <c r="P97" s="179"/>
      <c r="AB97" s="7"/>
      <c r="AC97" s="67"/>
      <c r="AD97" t="s">
        <v>260</v>
      </c>
      <c r="AE97" s="6">
        <v>96</v>
      </c>
      <c r="AF97" s="185">
        <v>1</v>
      </c>
    </row>
    <row r="98" spans="3:32" customFormat="1" ht="15" customHeight="1" x14ac:dyDescent="0.4">
      <c r="C98" s="6">
        <v>97</v>
      </c>
      <c r="E98" s="234" t="s">
        <v>439</v>
      </c>
      <c r="F98">
        <v>3</v>
      </c>
      <c r="G98" s="71"/>
      <c r="H98" s="71"/>
      <c r="I98" s="71"/>
      <c r="J98" s="71"/>
      <c r="K98" s="71"/>
      <c r="L98" s="71"/>
      <c r="M98" s="114"/>
      <c r="N98">
        <v>0</v>
      </c>
      <c r="P98" s="179"/>
      <c r="AB98" s="7"/>
      <c r="AC98" s="67"/>
      <c r="AD98" t="s">
        <v>261</v>
      </c>
      <c r="AE98" s="6">
        <v>97</v>
      </c>
      <c r="AF98" s="185">
        <v>1</v>
      </c>
    </row>
    <row r="99" spans="3:32" customFormat="1" ht="15" customHeight="1" x14ac:dyDescent="0.4">
      <c r="C99" s="6">
        <v>98</v>
      </c>
      <c r="E99" s="235" t="s">
        <v>440</v>
      </c>
      <c r="F99">
        <v>3</v>
      </c>
      <c r="G99" s="71"/>
      <c r="H99" s="71"/>
      <c r="I99" s="71"/>
      <c r="J99" s="71"/>
      <c r="K99" s="71"/>
      <c r="L99" s="71"/>
      <c r="M99" s="114"/>
      <c r="N99">
        <v>0</v>
      </c>
      <c r="P99" s="179"/>
      <c r="AB99" s="7"/>
      <c r="AC99" s="67"/>
      <c r="AD99" t="s">
        <v>262</v>
      </c>
      <c r="AE99" s="6">
        <v>98</v>
      </c>
      <c r="AF99" s="185">
        <v>1</v>
      </c>
    </row>
    <row r="100" spans="3:32" customFormat="1" ht="15" customHeight="1" x14ac:dyDescent="0.4">
      <c r="C100" s="6">
        <v>99</v>
      </c>
      <c r="E100" s="235" t="s">
        <v>264</v>
      </c>
      <c r="F100">
        <v>3</v>
      </c>
      <c r="G100" s="71"/>
      <c r="H100" s="71"/>
      <c r="I100" s="71"/>
      <c r="J100" s="71"/>
      <c r="K100" s="71"/>
      <c r="L100" s="71"/>
      <c r="M100" s="114"/>
      <c r="N100">
        <v>0</v>
      </c>
      <c r="P100" s="179"/>
      <c r="AB100" s="7"/>
      <c r="AC100" s="67"/>
      <c r="AD100" t="s">
        <v>263</v>
      </c>
      <c r="AE100" s="6">
        <v>99</v>
      </c>
      <c r="AF100" s="185">
        <v>1</v>
      </c>
    </row>
    <row r="101" spans="3:32" customFormat="1" ht="15" customHeight="1" x14ac:dyDescent="0.4"/>
    <row r="102" spans="3:32" customFormat="1" ht="15" customHeight="1" x14ac:dyDescent="0.4"/>
    <row r="103" spans="3:32" customFormat="1" ht="15" customHeight="1" x14ac:dyDescent="0.4"/>
    <row r="104" spans="3:32" customFormat="1" ht="15" customHeight="1" x14ac:dyDescent="0.4"/>
    <row r="105" spans="3:32" customFormat="1" ht="15" customHeight="1" x14ac:dyDescent="0.4"/>
    <row r="106" spans="3:32" customFormat="1" ht="15" customHeight="1" x14ac:dyDescent="0.4"/>
    <row r="107" spans="3:32" customFormat="1" ht="15" customHeight="1" x14ac:dyDescent="0.4">
      <c r="AC107" s="67"/>
    </row>
    <row r="108" spans="3:32" customFormat="1" ht="15" customHeight="1" x14ac:dyDescent="0.4"/>
    <row r="109" spans="3:32" customFormat="1" ht="15" customHeight="1" x14ac:dyDescent="0.4"/>
    <row r="110" spans="3:32" customFormat="1" ht="15" customHeight="1" x14ac:dyDescent="0.4"/>
    <row r="111" spans="3:32" customFormat="1" ht="15" customHeight="1" x14ac:dyDescent="0.4"/>
    <row r="112" spans="3:32" customFormat="1" ht="15" customHeight="1" x14ac:dyDescent="0.4"/>
    <row r="113" spans="3:41" customFormat="1" ht="15" customHeight="1" x14ac:dyDescent="0.4"/>
    <row r="114" spans="3:41" customFormat="1" ht="15" customHeight="1" x14ac:dyDescent="0.4"/>
    <row r="115" spans="3:41" customFormat="1" ht="15" customHeight="1" x14ac:dyDescent="0.4"/>
    <row r="116" spans="3:41" customFormat="1" ht="15" customHeight="1" x14ac:dyDescent="0.4">
      <c r="G116" s="71"/>
      <c r="H116" s="71"/>
      <c r="I116" s="71"/>
      <c r="J116" s="71"/>
      <c r="K116" s="71"/>
      <c r="L116" s="71"/>
      <c r="P116" s="179"/>
      <c r="AB116" s="7"/>
      <c r="AC116" s="67"/>
      <c r="AD116" s="134"/>
      <c r="AE116" s="67"/>
      <c r="AF116" s="185"/>
    </row>
    <row r="117" spans="3:41" customFormat="1" ht="15" customHeight="1" x14ac:dyDescent="0.4">
      <c r="G117" s="71"/>
      <c r="H117" s="71"/>
      <c r="I117" s="71"/>
      <c r="J117" s="71"/>
      <c r="K117" s="71"/>
      <c r="L117" s="71"/>
      <c r="P117" s="179"/>
      <c r="AB117" s="7"/>
      <c r="AC117" s="67"/>
      <c r="AD117" s="134"/>
      <c r="AE117" s="67"/>
      <c r="AF117" s="185"/>
    </row>
    <row r="118" spans="3:41" customFormat="1" ht="15" customHeight="1" x14ac:dyDescent="0.4">
      <c r="G118" s="71"/>
      <c r="H118" s="71"/>
      <c r="I118" s="71"/>
      <c r="J118" s="71"/>
      <c r="K118" s="71"/>
      <c r="L118" s="71"/>
      <c r="P118" s="179"/>
      <c r="AB118" s="7"/>
      <c r="AC118" s="67"/>
      <c r="AE118" s="67"/>
      <c r="AF118" s="185"/>
    </row>
    <row r="119" spans="3:41" customFormat="1" ht="15" customHeight="1" x14ac:dyDescent="0.4">
      <c r="G119" s="71"/>
      <c r="H119" s="71"/>
      <c r="I119" s="71"/>
      <c r="J119" s="71"/>
      <c r="K119" s="71"/>
      <c r="L119" s="71"/>
      <c r="P119" s="179"/>
      <c r="AB119" s="7"/>
      <c r="AC119" s="67"/>
      <c r="AE119" s="67"/>
      <c r="AF119" s="185"/>
    </row>
    <row r="120" spans="3:41" customFormat="1" ht="15" customHeight="1" x14ac:dyDescent="0.4">
      <c r="D120" s="48"/>
      <c r="G120" s="119"/>
      <c r="H120" s="71"/>
      <c r="I120" s="71"/>
      <c r="J120" s="71"/>
      <c r="K120" s="71"/>
      <c r="L120" s="71"/>
      <c r="P120" s="179"/>
      <c r="AB120" s="7"/>
      <c r="AC120" s="67"/>
      <c r="AE120" s="67"/>
      <c r="AF120" s="185"/>
    </row>
    <row r="121" spans="3:41" customFormat="1" ht="15" customHeight="1" x14ac:dyDescent="0.4">
      <c r="G121" s="117" t="s">
        <v>285</v>
      </c>
      <c r="H121" s="71"/>
      <c r="I121" s="71"/>
      <c r="J121" s="71"/>
      <c r="K121" s="71"/>
      <c r="L121" s="71"/>
      <c r="P121" s="179"/>
      <c r="AB121" s="7"/>
      <c r="AC121" s="67"/>
      <c r="AE121" s="67"/>
      <c r="AF121" s="185"/>
    </row>
    <row r="122" spans="3:41" customFormat="1" ht="15" customHeight="1" x14ac:dyDescent="0.4">
      <c r="D122" s="76" t="s">
        <v>289</v>
      </c>
      <c r="E122" s="115" t="s">
        <v>288</v>
      </c>
      <c r="G122" s="71"/>
      <c r="H122" s="71"/>
      <c r="I122" s="71"/>
      <c r="J122" s="71"/>
      <c r="K122" s="71"/>
      <c r="L122" s="71"/>
      <c r="P122" s="179"/>
      <c r="AB122" s="7"/>
      <c r="AC122" s="67"/>
      <c r="AE122" s="67"/>
      <c r="AF122" s="185"/>
    </row>
    <row r="123" spans="3:41" customFormat="1" ht="15" customHeight="1" x14ac:dyDescent="0.4">
      <c r="D123" s="115"/>
      <c r="G123" s="71"/>
      <c r="H123" s="71"/>
      <c r="I123" s="71"/>
      <c r="J123" s="71"/>
      <c r="K123" s="71"/>
      <c r="L123" s="71"/>
      <c r="P123" s="179"/>
      <c r="AB123" s="7"/>
      <c r="AC123" s="67"/>
      <c r="AD123" s="134"/>
      <c r="AE123" s="67"/>
      <c r="AF123" s="185"/>
    </row>
    <row r="124" spans="3:41" customFormat="1" ht="15" customHeight="1" x14ac:dyDescent="0.4">
      <c r="C124" s="71"/>
      <c r="D124" s="124">
        <v>44594</v>
      </c>
      <c r="E124" s="30" t="s">
        <v>468</v>
      </c>
      <c r="F124" s="71"/>
      <c r="G124" s="71"/>
      <c r="H124" s="71"/>
      <c r="I124" s="71"/>
      <c r="J124" s="71"/>
      <c r="K124" s="71"/>
      <c r="L124" s="71"/>
      <c r="M124" s="71"/>
      <c r="N124" s="71"/>
      <c r="O124" s="71"/>
      <c r="P124" s="175"/>
      <c r="Q124" s="71"/>
      <c r="R124" s="71"/>
      <c r="S124" s="71"/>
      <c r="T124" s="71"/>
      <c r="U124" s="71"/>
      <c r="V124" s="71"/>
      <c r="W124" s="71"/>
      <c r="X124" s="71"/>
      <c r="Y124" s="71"/>
      <c r="Z124" s="71"/>
      <c r="AB124" s="7"/>
      <c r="AC124" s="67"/>
      <c r="AE124" s="67"/>
      <c r="AF124" s="185"/>
      <c r="AK124" s="71"/>
      <c r="AL124" s="71"/>
      <c r="AM124" s="71"/>
      <c r="AN124" s="71"/>
      <c r="AO124" s="71"/>
    </row>
    <row r="125" spans="3:41" customFormat="1" ht="15" customHeight="1" x14ac:dyDescent="0.4">
      <c r="C125" s="71"/>
      <c r="D125" s="71"/>
      <c r="E125" s="30"/>
      <c r="F125" s="71"/>
      <c r="G125" s="71"/>
      <c r="H125" s="71"/>
      <c r="I125" s="71"/>
      <c r="J125" s="71"/>
      <c r="K125" s="71"/>
      <c r="L125" s="71"/>
      <c r="M125" s="71"/>
      <c r="N125" s="71"/>
      <c r="O125" s="71"/>
      <c r="P125" s="175"/>
      <c r="Q125" s="71"/>
      <c r="R125" s="71"/>
      <c r="S125" s="71"/>
      <c r="T125" s="71"/>
      <c r="U125" s="71"/>
      <c r="V125" s="71"/>
      <c r="W125" s="71"/>
      <c r="X125" s="71"/>
      <c r="Y125" s="71"/>
      <c r="Z125" s="71"/>
      <c r="AB125" s="7"/>
      <c r="AC125" s="67"/>
      <c r="AE125" s="67"/>
      <c r="AF125" s="185"/>
      <c r="AK125" s="71"/>
      <c r="AL125" s="71"/>
      <c r="AM125" s="71"/>
      <c r="AN125" s="71"/>
      <c r="AO125" s="71"/>
    </row>
    <row r="126" spans="3:41" customFormat="1" ht="15" customHeight="1" x14ac:dyDescent="0.4">
      <c r="C126" s="71"/>
      <c r="D126" s="124">
        <v>44595</v>
      </c>
      <c r="E126" s="128" t="s">
        <v>469</v>
      </c>
      <c r="F126" s="127"/>
      <c r="G126" s="127"/>
      <c r="H126" s="127"/>
      <c r="I126" s="71"/>
      <c r="J126" s="71"/>
      <c r="K126" s="71"/>
      <c r="L126" s="71"/>
      <c r="M126" s="71"/>
      <c r="N126" s="71"/>
      <c r="O126" s="71"/>
      <c r="P126" s="175"/>
      <c r="Q126" s="71"/>
      <c r="R126" s="71"/>
      <c r="S126" s="71"/>
      <c r="T126" s="71"/>
      <c r="U126" s="71"/>
      <c r="V126" s="71"/>
      <c r="W126" s="71"/>
      <c r="X126" s="71"/>
      <c r="Y126" s="71"/>
      <c r="Z126" s="71"/>
      <c r="AB126" s="7"/>
      <c r="AC126" s="67"/>
      <c r="AE126" s="67"/>
      <c r="AF126" s="185"/>
      <c r="AK126" s="71"/>
      <c r="AL126" s="71"/>
      <c r="AM126" s="71"/>
      <c r="AN126" s="71"/>
      <c r="AO126" s="71"/>
    </row>
    <row r="127" spans="3:41" customFormat="1" ht="15" customHeight="1" x14ac:dyDescent="0.4">
      <c r="C127" s="71"/>
      <c r="D127" s="129"/>
      <c r="E127" s="128" t="s">
        <v>470</v>
      </c>
      <c r="F127" s="71"/>
      <c r="G127" s="71"/>
      <c r="H127" s="71"/>
      <c r="I127" s="71"/>
      <c r="J127" s="71"/>
      <c r="K127" s="71"/>
      <c r="L127" s="71"/>
      <c r="M127" s="71"/>
      <c r="N127" s="71"/>
      <c r="O127" s="71"/>
      <c r="P127" s="175"/>
      <c r="Q127" s="71"/>
      <c r="R127" s="71"/>
      <c r="S127" s="71"/>
      <c r="T127" s="71"/>
      <c r="U127" s="71"/>
      <c r="V127" s="71"/>
      <c r="W127" s="71"/>
      <c r="X127" s="71"/>
      <c r="Y127" s="71"/>
      <c r="Z127" s="71"/>
      <c r="AB127" s="7"/>
      <c r="AC127" s="67"/>
      <c r="AE127" s="67"/>
      <c r="AF127" s="185"/>
      <c r="AK127" s="71"/>
      <c r="AL127" s="71"/>
      <c r="AM127" s="71"/>
      <c r="AN127" s="71"/>
      <c r="AO127" s="71"/>
    </row>
    <row r="128" spans="3:41" customFormat="1" ht="15" customHeight="1" x14ac:dyDescent="0.4">
      <c r="C128" s="71"/>
      <c r="D128" s="71"/>
      <c r="E128" s="128" t="s">
        <v>471</v>
      </c>
      <c r="F128" s="71"/>
      <c r="G128" s="71"/>
      <c r="H128" s="71"/>
      <c r="I128" s="71"/>
      <c r="J128" s="71"/>
      <c r="K128" s="71"/>
      <c r="L128" s="71"/>
      <c r="M128" s="71"/>
      <c r="N128" s="71"/>
      <c r="O128" s="71"/>
      <c r="P128" s="175"/>
      <c r="Q128" s="71"/>
      <c r="R128" s="71"/>
      <c r="S128" s="71"/>
      <c r="T128" s="71"/>
      <c r="U128" s="71"/>
      <c r="V128" s="71"/>
      <c r="W128" s="71"/>
      <c r="X128" s="71"/>
      <c r="Y128" s="71"/>
      <c r="Z128" s="71"/>
      <c r="AB128" s="7"/>
      <c r="AC128" s="67"/>
      <c r="AE128" s="67"/>
      <c r="AF128" s="185"/>
      <c r="AK128" s="71"/>
      <c r="AL128" s="71"/>
      <c r="AM128" s="71"/>
      <c r="AN128" s="71"/>
      <c r="AO128" s="71"/>
    </row>
    <row r="129" spans="3:41" customFormat="1" ht="15" customHeight="1" x14ac:dyDescent="0.4">
      <c r="C129" s="71"/>
      <c r="D129" s="71"/>
      <c r="E129" s="128" t="s">
        <v>472</v>
      </c>
      <c r="F129" s="71"/>
      <c r="G129" s="71"/>
      <c r="H129" s="71"/>
      <c r="I129" s="71"/>
      <c r="J129" s="71"/>
      <c r="K129" s="71"/>
      <c r="L129" s="71"/>
      <c r="M129" s="71"/>
      <c r="N129" s="71"/>
      <c r="O129" s="71"/>
      <c r="P129" s="175"/>
      <c r="Q129" s="71"/>
      <c r="R129" s="71"/>
      <c r="S129" s="71"/>
      <c r="T129" s="71"/>
      <c r="U129" s="71"/>
      <c r="V129" s="71"/>
      <c r="W129" s="71"/>
      <c r="X129" s="71"/>
      <c r="Y129" s="71"/>
      <c r="Z129" s="71"/>
      <c r="AB129" s="7"/>
      <c r="AC129" s="67"/>
      <c r="AE129" s="67"/>
      <c r="AF129" s="185"/>
      <c r="AK129" s="71"/>
      <c r="AL129" s="71"/>
      <c r="AM129" s="71"/>
      <c r="AN129" s="71"/>
      <c r="AO129" s="71"/>
    </row>
    <row r="130" spans="3:41" customFormat="1" ht="15" customHeight="1" x14ac:dyDescent="0.4">
      <c r="C130" s="71"/>
      <c r="D130" s="48"/>
      <c r="E130" s="128" t="s">
        <v>473</v>
      </c>
      <c r="F130" s="71"/>
      <c r="G130" s="71"/>
      <c r="H130" s="71"/>
      <c r="I130" s="71"/>
      <c r="J130" s="71"/>
      <c r="K130" s="71"/>
      <c r="L130" s="71"/>
      <c r="M130" s="71"/>
      <c r="N130" s="71"/>
      <c r="O130" s="71"/>
      <c r="P130" s="175"/>
      <c r="Q130" s="71"/>
      <c r="R130" s="71"/>
      <c r="S130" s="71"/>
      <c r="T130" s="71"/>
      <c r="U130" s="71"/>
      <c r="V130" s="71"/>
      <c r="W130" s="71"/>
      <c r="X130" s="71"/>
      <c r="Y130" s="71"/>
      <c r="Z130" s="71"/>
      <c r="AB130" s="7"/>
      <c r="AC130" s="67"/>
      <c r="AD130" s="134"/>
      <c r="AE130" s="67"/>
      <c r="AF130" s="185"/>
      <c r="AK130" s="71"/>
      <c r="AL130" s="71"/>
      <c r="AM130" s="71"/>
      <c r="AN130" s="71"/>
      <c r="AO130" s="71"/>
    </row>
    <row r="131" spans="3:41" customFormat="1" ht="15" customHeight="1" x14ac:dyDescent="0.4">
      <c r="C131" s="71"/>
      <c r="D131" s="71"/>
      <c r="E131" s="143" t="s">
        <v>474</v>
      </c>
      <c r="F131" s="71"/>
      <c r="G131" s="71"/>
      <c r="H131" s="71"/>
      <c r="I131" s="71"/>
      <c r="J131" s="71"/>
      <c r="K131" s="71"/>
      <c r="L131" s="71"/>
      <c r="M131" s="71"/>
      <c r="N131" s="71"/>
      <c r="O131" s="71"/>
      <c r="P131" s="175"/>
      <c r="Q131" s="71"/>
      <c r="R131" s="71"/>
      <c r="S131" s="71"/>
      <c r="T131" s="71"/>
      <c r="U131" s="71"/>
      <c r="V131" s="71"/>
      <c r="W131" s="71"/>
      <c r="X131" s="71"/>
      <c r="Y131" s="71"/>
      <c r="Z131" s="71"/>
      <c r="AB131" s="7"/>
      <c r="AC131" s="67"/>
      <c r="AD131" s="134"/>
      <c r="AE131" s="67"/>
      <c r="AF131" s="185"/>
      <c r="AK131" s="71"/>
      <c r="AL131" s="71"/>
      <c r="AM131" s="71"/>
      <c r="AN131" s="71"/>
      <c r="AO131" s="71"/>
    </row>
    <row r="132" spans="3:41" customFormat="1" ht="15" customHeight="1" x14ac:dyDescent="0.4">
      <c r="C132" s="71"/>
      <c r="D132" s="71"/>
      <c r="E132" s="71"/>
      <c r="F132" s="71"/>
      <c r="G132" s="71"/>
      <c r="H132" s="71"/>
      <c r="I132" s="71"/>
      <c r="J132" s="71"/>
      <c r="K132" s="71"/>
      <c r="L132" s="71"/>
      <c r="M132" s="71"/>
      <c r="N132" s="71"/>
      <c r="O132" s="71"/>
      <c r="P132" s="175"/>
      <c r="Q132" s="71"/>
      <c r="R132" s="71"/>
      <c r="S132" s="71"/>
      <c r="T132" s="71"/>
      <c r="U132" s="71"/>
      <c r="V132" s="71"/>
      <c r="W132" s="71"/>
      <c r="X132" s="71"/>
      <c r="Y132" s="71"/>
      <c r="Z132" s="71"/>
      <c r="AB132" s="7"/>
      <c r="AC132" s="67"/>
      <c r="AD132" s="134"/>
      <c r="AE132" s="67"/>
      <c r="AF132" s="185"/>
      <c r="AK132" s="71"/>
      <c r="AL132" s="71"/>
      <c r="AM132" s="71"/>
      <c r="AN132" s="71"/>
      <c r="AO132" s="71"/>
    </row>
    <row r="133" spans="3:41" customFormat="1" ht="15" customHeight="1" x14ac:dyDescent="0.4">
      <c r="C133" s="71"/>
      <c r="D133" s="148">
        <v>44606</v>
      </c>
      <c r="E133" s="143" t="s">
        <v>475</v>
      </c>
      <c r="F133" s="71"/>
      <c r="G133" s="71"/>
      <c r="H133" s="71"/>
      <c r="I133" s="71"/>
      <c r="J133" s="71"/>
      <c r="K133" s="71"/>
      <c r="L133" s="71"/>
      <c r="M133" s="71"/>
      <c r="N133" s="71"/>
      <c r="O133" s="71"/>
      <c r="P133" s="175"/>
      <c r="Q133" s="71"/>
      <c r="R133" s="71"/>
      <c r="S133" s="71"/>
      <c r="T133" s="71"/>
      <c r="U133" s="71"/>
      <c r="V133" s="71"/>
      <c r="W133" s="71"/>
      <c r="X133" s="71"/>
      <c r="Y133" s="71"/>
      <c r="Z133" s="71"/>
      <c r="AB133" s="7"/>
      <c r="AC133" s="67"/>
      <c r="AE133" s="67"/>
      <c r="AF133" s="185"/>
      <c r="AK133" s="71"/>
      <c r="AL133" s="71"/>
      <c r="AM133" s="71"/>
      <c r="AN133" s="71"/>
      <c r="AO133" s="71"/>
    </row>
    <row r="134" spans="3:41" customFormat="1" ht="15" customHeight="1" x14ac:dyDescent="0.4">
      <c r="C134" s="71"/>
      <c r="D134" s="71"/>
      <c r="E134" s="143" t="s">
        <v>476</v>
      </c>
      <c r="F134" s="71"/>
      <c r="G134" s="71"/>
      <c r="H134" s="71"/>
      <c r="I134" s="71"/>
      <c r="J134" s="71"/>
      <c r="K134" s="71"/>
      <c r="L134" s="71"/>
      <c r="M134" s="71"/>
      <c r="N134" s="71"/>
      <c r="O134" s="71"/>
      <c r="P134" s="175"/>
      <c r="Q134" s="71"/>
      <c r="R134" s="71"/>
      <c r="S134" s="71"/>
      <c r="T134" s="71"/>
      <c r="U134" s="71"/>
      <c r="V134" s="71"/>
      <c r="W134" s="71"/>
      <c r="X134" s="71"/>
      <c r="Y134" s="71"/>
      <c r="Z134" s="71"/>
      <c r="AB134" s="7"/>
      <c r="AC134" s="67"/>
      <c r="AE134" s="67"/>
      <c r="AF134" s="185"/>
      <c r="AK134" s="71"/>
      <c r="AL134" s="71"/>
      <c r="AM134" s="71"/>
      <c r="AN134" s="71"/>
      <c r="AO134" s="71"/>
    </row>
    <row r="135" spans="3:41" customFormat="1" ht="15" customHeight="1" x14ac:dyDescent="0.4">
      <c r="C135" s="71"/>
      <c r="D135" s="71"/>
      <c r="E135" s="143" t="s">
        <v>477</v>
      </c>
      <c r="F135" s="71"/>
      <c r="G135" s="71"/>
      <c r="H135" s="71"/>
      <c r="I135" s="71"/>
      <c r="J135" s="71"/>
      <c r="K135" s="71"/>
      <c r="L135" s="71"/>
      <c r="M135" s="71"/>
      <c r="N135" s="71"/>
      <c r="O135" s="71"/>
      <c r="P135" s="175"/>
      <c r="Q135" s="71"/>
      <c r="R135" s="71"/>
      <c r="S135" s="71"/>
      <c r="T135" s="71"/>
      <c r="U135" s="71"/>
      <c r="V135" s="71"/>
      <c r="W135" s="71"/>
      <c r="X135" s="71"/>
      <c r="Y135" s="71"/>
      <c r="Z135" s="71"/>
      <c r="AB135" s="7"/>
      <c r="AC135" s="67"/>
      <c r="AE135" s="67"/>
      <c r="AF135" s="185"/>
      <c r="AK135" s="71"/>
      <c r="AL135" s="71"/>
      <c r="AM135" s="71"/>
      <c r="AN135" s="71"/>
      <c r="AO135" s="71"/>
    </row>
    <row r="136" spans="3:41" s="186" customFormat="1" ht="15" customHeight="1" x14ac:dyDescent="0.4">
      <c r="C136" s="189"/>
      <c r="D136" s="189"/>
      <c r="E136" s="199"/>
      <c r="F136" s="189"/>
      <c r="G136" s="189"/>
      <c r="H136" s="189"/>
      <c r="I136" s="189"/>
      <c r="J136" s="189"/>
      <c r="K136" s="189"/>
      <c r="L136" s="189"/>
      <c r="M136" s="189"/>
      <c r="N136" s="189"/>
      <c r="O136" s="189"/>
      <c r="P136" s="175"/>
      <c r="Q136" s="189"/>
      <c r="R136" s="189"/>
      <c r="S136" s="189"/>
      <c r="T136" s="189"/>
      <c r="U136" s="189"/>
      <c r="V136" s="189"/>
      <c r="W136" s="189"/>
      <c r="X136" s="189"/>
      <c r="Y136" s="189"/>
      <c r="Z136" s="189"/>
      <c r="AB136" s="187"/>
      <c r="AC136" s="188"/>
      <c r="AE136" s="188"/>
      <c r="AF136" s="185"/>
      <c r="AH136"/>
      <c r="AI136"/>
      <c r="AJ136"/>
      <c r="AK136" s="189"/>
      <c r="AL136" s="189"/>
      <c r="AM136" s="189"/>
      <c r="AN136" s="189"/>
      <c r="AO136" s="189"/>
    </row>
    <row r="137" spans="3:41" customFormat="1" ht="15" customHeight="1" x14ac:dyDescent="0.4">
      <c r="C137" s="71"/>
      <c r="D137" s="171">
        <v>44627</v>
      </c>
      <c r="E137" s="199" t="s">
        <v>478</v>
      </c>
      <c r="F137" s="71"/>
      <c r="G137" s="71"/>
      <c r="H137" s="71"/>
      <c r="I137" s="71"/>
      <c r="J137" s="71"/>
      <c r="K137" s="71"/>
      <c r="L137" s="71"/>
      <c r="M137" s="71"/>
      <c r="N137" s="71"/>
      <c r="O137" s="71"/>
      <c r="P137" s="175"/>
      <c r="Q137" s="71"/>
      <c r="R137" s="71"/>
      <c r="S137" s="71"/>
      <c r="T137" s="71"/>
      <c r="U137" s="71"/>
      <c r="V137" s="71"/>
      <c r="W137" s="71"/>
      <c r="X137" s="71"/>
      <c r="Y137" s="71"/>
      <c r="Z137" s="71"/>
      <c r="AB137" s="7"/>
      <c r="AC137" s="67"/>
      <c r="AE137" s="67"/>
      <c r="AF137" s="185"/>
      <c r="AJ137" s="186"/>
      <c r="AK137" s="71"/>
      <c r="AL137" s="71"/>
      <c r="AM137" s="71"/>
      <c r="AN137" s="71"/>
      <c r="AO137" s="71"/>
    </row>
    <row r="138" spans="3:41" s="186" customFormat="1" ht="15" customHeight="1" x14ac:dyDescent="0.4">
      <c r="C138" s="189"/>
      <c r="D138" s="124"/>
      <c r="E138" s="199" t="s">
        <v>479</v>
      </c>
      <c r="F138" s="189"/>
      <c r="G138" s="189"/>
      <c r="H138" s="189"/>
      <c r="I138" s="189"/>
      <c r="J138" s="189"/>
      <c r="K138" s="189"/>
      <c r="L138" s="189"/>
      <c r="M138" s="189"/>
      <c r="N138" s="189"/>
      <c r="O138" s="189"/>
      <c r="P138" s="175"/>
      <c r="Q138" s="189"/>
      <c r="R138" s="189"/>
      <c r="S138" s="189"/>
      <c r="T138" s="189"/>
      <c r="U138" s="189"/>
      <c r="V138" s="189"/>
      <c r="W138" s="189"/>
      <c r="X138" s="189"/>
      <c r="Y138" s="189"/>
      <c r="Z138" s="189"/>
      <c r="AB138" s="187"/>
      <c r="AC138" s="188"/>
      <c r="AE138" s="188"/>
      <c r="AF138" s="185"/>
      <c r="AJ138"/>
      <c r="AK138" s="189"/>
      <c r="AL138" s="189"/>
      <c r="AM138" s="189"/>
      <c r="AN138" s="189"/>
      <c r="AO138" s="189"/>
    </row>
    <row r="139" spans="3:41" s="216" customFormat="1" ht="15" customHeight="1" x14ac:dyDescent="0.4">
      <c r="C139" s="221"/>
      <c r="D139" s="124"/>
      <c r="E139" s="199" t="s">
        <v>480</v>
      </c>
      <c r="F139" s="221"/>
      <c r="G139" s="221"/>
      <c r="H139" s="221"/>
      <c r="I139" s="221"/>
      <c r="J139" s="221"/>
      <c r="K139" s="221"/>
      <c r="L139" s="221"/>
      <c r="M139" s="221"/>
      <c r="N139" s="221"/>
      <c r="O139" s="221"/>
      <c r="P139" s="175"/>
      <c r="Q139" s="221"/>
      <c r="R139" s="221"/>
      <c r="S139" s="221"/>
      <c r="T139" s="221"/>
      <c r="U139" s="221"/>
      <c r="V139" s="221"/>
      <c r="W139" s="221"/>
      <c r="X139" s="221"/>
      <c r="Y139" s="221"/>
      <c r="Z139" s="221"/>
      <c r="AB139" s="218"/>
      <c r="AC139" s="219"/>
      <c r="AE139" s="219"/>
      <c r="AF139" s="185"/>
      <c r="AH139"/>
      <c r="AI139"/>
      <c r="AK139" s="221"/>
      <c r="AL139" s="221"/>
      <c r="AM139" s="221"/>
      <c r="AN139" s="221"/>
      <c r="AO139" s="221"/>
    </row>
    <row r="140" spans="3:41" s="216" customFormat="1" ht="15" customHeight="1" x14ac:dyDescent="0.4">
      <c r="C140" s="221"/>
      <c r="D140" s="124"/>
      <c r="E140" s="199"/>
      <c r="F140" s="221"/>
      <c r="G140" s="221"/>
      <c r="H140" s="221"/>
      <c r="I140" s="221"/>
      <c r="J140" s="221"/>
      <c r="K140" s="221"/>
      <c r="L140" s="221"/>
      <c r="M140" s="221"/>
      <c r="N140" s="221"/>
      <c r="O140" s="221"/>
      <c r="P140" s="175"/>
      <c r="Q140" s="221"/>
      <c r="R140" s="221"/>
      <c r="S140" s="221"/>
      <c r="T140" s="221"/>
      <c r="U140" s="221"/>
      <c r="V140" s="221"/>
      <c r="W140" s="221"/>
      <c r="X140" s="221"/>
      <c r="Y140" s="221"/>
      <c r="Z140" s="221"/>
      <c r="AB140" s="218"/>
      <c r="AC140" s="219"/>
      <c r="AE140" s="219"/>
      <c r="AF140" s="185"/>
      <c r="AK140" s="221"/>
      <c r="AL140" s="221"/>
      <c r="AM140" s="221"/>
      <c r="AN140" s="221"/>
      <c r="AO140" s="221"/>
    </row>
    <row r="141" spans="3:41" s="216" customFormat="1" ht="15" customHeight="1" x14ac:dyDescent="0.4">
      <c r="C141" s="221"/>
      <c r="D141" s="124"/>
      <c r="E141" s="199"/>
      <c r="F141" s="221"/>
      <c r="G141" s="221"/>
      <c r="H141" s="221"/>
      <c r="I141" s="221"/>
      <c r="J141" s="221"/>
      <c r="K141" s="221"/>
      <c r="L141" s="221"/>
      <c r="M141" s="221"/>
      <c r="N141" s="221"/>
      <c r="O141" s="221"/>
      <c r="P141" s="175"/>
      <c r="Q141" s="221"/>
      <c r="R141" s="221"/>
      <c r="S141" s="221"/>
      <c r="T141" s="221"/>
      <c r="U141" s="221"/>
      <c r="V141" s="221"/>
      <c r="W141" s="221"/>
      <c r="X141" s="221"/>
      <c r="Y141" s="221"/>
      <c r="Z141" s="221"/>
      <c r="AB141" s="218"/>
      <c r="AC141" s="219"/>
      <c r="AE141" s="219"/>
      <c r="AF141" s="185"/>
      <c r="AK141" s="221"/>
      <c r="AL141" s="221"/>
      <c r="AM141" s="221"/>
      <c r="AN141" s="221"/>
      <c r="AO141" s="221"/>
    </row>
    <row r="142" spans="3:41" customFormat="1" ht="15" customHeight="1" x14ac:dyDescent="0.4">
      <c r="C142" s="71"/>
      <c r="D142" s="124">
        <v>44627</v>
      </c>
      <c r="E142" s="199" t="s">
        <v>401</v>
      </c>
      <c r="F142" s="71"/>
      <c r="G142" s="71"/>
      <c r="H142" s="71"/>
      <c r="I142" s="71"/>
      <c r="J142" s="71"/>
      <c r="K142" s="71"/>
      <c r="L142" s="71"/>
      <c r="M142" s="71"/>
      <c r="N142" s="71"/>
      <c r="O142" s="71"/>
      <c r="P142" s="175"/>
      <c r="Q142" s="71"/>
      <c r="R142" s="71"/>
      <c r="S142" s="71"/>
      <c r="T142" s="71"/>
      <c r="U142" s="71"/>
      <c r="V142" s="71"/>
      <c r="W142" s="71"/>
      <c r="X142" s="71"/>
      <c r="Y142" s="71"/>
      <c r="Z142" s="71"/>
      <c r="AB142" s="7"/>
      <c r="AC142" s="67"/>
      <c r="AE142" s="67"/>
      <c r="AF142" s="185"/>
      <c r="AH142" s="216"/>
      <c r="AI142" s="216"/>
      <c r="AJ142" s="186"/>
      <c r="AK142" s="71"/>
      <c r="AL142" s="71"/>
      <c r="AM142" s="71"/>
      <c r="AN142" s="71"/>
      <c r="AO142" s="71"/>
    </row>
    <row r="143" spans="3:41" customFormat="1" ht="15" customHeight="1" x14ac:dyDescent="0.4">
      <c r="C143" s="71"/>
      <c r="D143" s="71"/>
      <c r="E143" s="71" t="s">
        <v>400</v>
      </c>
      <c r="F143" s="71"/>
      <c r="G143" s="71"/>
      <c r="H143" s="71"/>
      <c r="I143" s="71"/>
      <c r="J143" s="71"/>
      <c r="K143" s="71"/>
      <c r="L143" s="71"/>
      <c r="M143" s="71"/>
      <c r="N143" s="71"/>
      <c r="O143" s="71"/>
      <c r="P143" s="175"/>
      <c r="Q143" s="71"/>
      <c r="R143" s="71"/>
      <c r="S143" s="71"/>
      <c r="T143" s="71"/>
      <c r="U143" s="71"/>
      <c r="V143" s="71"/>
      <c r="W143" s="71"/>
      <c r="X143" s="71"/>
      <c r="Y143" s="71"/>
      <c r="Z143" s="71"/>
      <c r="AB143" s="7"/>
      <c r="AC143" s="67"/>
      <c r="AE143" s="67"/>
      <c r="AF143" s="185"/>
      <c r="AH143" s="186"/>
      <c r="AI143" s="186"/>
      <c r="AK143" s="71"/>
      <c r="AL143" s="71"/>
      <c r="AM143" s="71"/>
      <c r="AN143" s="71"/>
      <c r="AO143" s="71"/>
    </row>
    <row r="144" spans="3:41" customFormat="1" ht="15" customHeight="1" x14ac:dyDescent="0.4">
      <c r="C144" s="71"/>
      <c r="D144" s="71"/>
      <c r="E144" s="199" t="s">
        <v>481</v>
      </c>
      <c r="F144" s="71"/>
      <c r="G144" s="71"/>
      <c r="H144" s="71"/>
      <c r="I144" s="71"/>
      <c r="J144" s="71"/>
      <c r="K144" s="71"/>
      <c r="L144" s="71"/>
      <c r="M144" s="71"/>
      <c r="N144" s="71"/>
      <c r="O144" s="71"/>
      <c r="P144" s="175"/>
      <c r="Q144" s="71"/>
      <c r="R144" s="71"/>
      <c r="S144" s="71"/>
      <c r="T144" s="71"/>
      <c r="U144" s="71"/>
      <c r="V144" s="71"/>
      <c r="W144" s="71"/>
      <c r="X144" s="71"/>
      <c r="Y144" s="71"/>
      <c r="Z144" s="71"/>
      <c r="AB144" s="7"/>
      <c r="AC144" s="67"/>
      <c r="AE144" s="67"/>
      <c r="AF144" s="185"/>
      <c r="AK144" s="71"/>
      <c r="AL144" s="71"/>
      <c r="AM144" s="71"/>
      <c r="AN144" s="71"/>
      <c r="AO144" s="71"/>
    </row>
    <row r="145" spans="3:41" customFormat="1" ht="15" customHeight="1" x14ac:dyDescent="0.4">
      <c r="C145" s="71"/>
      <c r="D145" s="71"/>
      <c r="E145" s="199" t="s">
        <v>482</v>
      </c>
      <c r="F145" s="71"/>
      <c r="G145" s="71"/>
      <c r="H145" s="71"/>
      <c r="I145" s="71"/>
      <c r="J145" s="71"/>
      <c r="K145" s="71"/>
      <c r="L145" s="71"/>
      <c r="M145" s="71"/>
      <c r="N145" s="71"/>
      <c r="O145" s="71"/>
      <c r="P145" s="175"/>
      <c r="Q145" s="71"/>
      <c r="R145" s="71"/>
      <c r="S145" s="71"/>
      <c r="T145" s="71"/>
      <c r="U145" s="71"/>
      <c r="V145" s="71"/>
      <c r="W145" s="71"/>
      <c r="X145" s="71"/>
      <c r="Y145" s="71"/>
      <c r="Z145" s="71"/>
      <c r="AB145" s="7"/>
      <c r="AC145" s="67"/>
      <c r="AE145" s="67"/>
      <c r="AF145" s="185"/>
      <c r="AK145" s="71"/>
      <c r="AL145" s="71"/>
      <c r="AM145" s="71"/>
      <c r="AN145" s="71"/>
      <c r="AO145" s="71"/>
    </row>
    <row r="146" spans="3:41" customFormat="1" ht="15" customHeight="1" x14ac:dyDescent="0.4">
      <c r="C146" s="71"/>
      <c r="D146" s="71"/>
      <c r="E146" s="199" t="s">
        <v>483</v>
      </c>
      <c r="F146" s="71"/>
      <c r="G146" s="71"/>
      <c r="H146" s="71"/>
      <c r="I146" s="71"/>
      <c r="J146" s="71"/>
      <c r="K146" s="71"/>
      <c r="L146" s="71"/>
      <c r="M146" s="71"/>
      <c r="N146" s="71"/>
      <c r="O146" s="71"/>
      <c r="P146" s="175"/>
      <c r="Q146" s="71"/>
      <c r="R146" s="71"/>
      <c r="S146" s="71"/>
      <c r="T146" s="71"/>
      <c r="U146" s="71"/>
      <c r="V146" s="71"/>
      <c r="W146" s="71"/>
      <c r="X146" s="71"/>
      <c r="Y146" s="71"/>
      <c r="Z146" s="71"/>
      <c r="AB146" s="7"/>
      <c r="AC146" s="67"/>
      <c r="AE146" s="67"/>
      <c r="AF146" s="185"/>
      <c r="AK146" s="71"/>
      <c r="AL146" s="71"/>
      <c r="AM146" s="71"/>
      <c r="AN146" s="71"/>
      <c r="AO146" s="71"/>
    </row>
    <row r="147" spans="3:41" customFormat="1" ht="15" customHeight="1" x14ac:dyDescent="0.4">
      <c r="C147" s="71"/>
      <c r="D147" s="71"/>
      <c r="E147" s="71"/>
      <c r="F147" s="71"/>
      <c r="G147" s="71"/>
      <c r="H147" s="71"/>
      <c r="I147" s="71"/>
      <c r="J147" s="71"/>
      <c r="K147" s="71"/>
      <c r="L147" s="71"/>
      <c r="M147" s="71"/>
      <c r="N147" s="71"/>
      <c r="O147" s="71"/>
      <c r="P147" s="175"/>
      <c r="Q147" s="71"/>
      <c r="R147" s="71"/>
      <c r="S147" s="71"/>
      <c r="T147" s="71"/>
      <c r="U147" s="71"/>
      <c r="V147" s="71"/>
      <c r="W147" s="71"/>
      <c r="X147" s="71"/>
      <c r="Y147" s="71"/>
      <c r="Z147" s="71"/>
      <c r="AB147" s="7"/>
      <c r="AC147" s="67"/>
      <c r="AE147" s="67"/>
      <c r="AF147" s="185"/>
      <c r="AK147" s="71"/>
      <c r="AL147" s="71"/>
      <c r="AM147" s="71"/>
      <c r="AN147" s="71"/>
      <c r="AO147" s="71"/>
    </row>
    <row r="148" spans="3:41" customFormat="1" ht="15" customHeight="1" x14ac:dyDescent="0.4">
      <c r="C148" s="71"/>
      <c r="D148" s="124">
        <v>44628</v>
      </c>
      <c r="E148" s="199" t="s">
        <v>417</v>
      </c>
      <c r="F148" s="71"/>
      <c r="G148" s="71"/>
      <c r="H148" s="71"/>
      <c r="I148" s="71"/>
      <c r="J148" s="71"/>
      <c r="K148" s="71"/>
      <c r="L148" s="71"/>
      <c r="M148" s="71"/>
      <c r="N148" s="71"/>
      <c r="O148" s="71"/>
      <c r="P148" s="175"/>
      <c r="Q148" s="71"/>
      <c r="R148" s="71"/>
      <c r="S148" s="71"/>
      <c r="T148" s="71"/>
      <c r="U148" s="71"/>
      <c r="V148" s="71"/>
      <c r="W148" s="71"/>
      <c r="X148" s="71"/>
      <c r="Y148" s="71"/>
      <c r="Z148" s="71"/>
      <c r="AB148" s="7"/>
      <c r="AC148" s="67"/>
      <c r="AE148" s="67"/>
      <c r="AF148" s="185"/>
      <c r="AK148" s="71"/>
      <c r="AL148" s="71"/>
      <c r="AM148" s="71"/>
      <c r="AN148" s="71"/>
      <c r="AO148" s="71"/>
    </row>
    <row r="149" spans="3:41" customFormat="1" ht="15" customHeight="1" x14ac:dyDescent="0.4">
      <c r="C149" s="71"/>
      <c r="D149" s="71"/>
      <c r="E149" s="71"/>
      <c r="F149" s="71"/>
      <c r="G149" s="71"/>
      <c r="H149" s="71"/>
      <c r="I149" s="71"/>
      <c r="J149" s="71"/>
      <c r="K149" s="71"/>
      <c r="L149" s="71"/>
      <c r="M149" s="71"/>
      <c r="N149" s="71"/>
      <c r="O149" s="71"/>
      <c r="P149" s="175"/>
      <c r="Q149" s="71"/>
      <c r="R149" s="71"/>
      <c r="S149" s="71"/>
      <c r="T149" s="71"/>
      <c r="U149" s="71"/>
      <c r="V149" s="71"/>
      <c r="W149" s="71"/>
      <c r="X149" s="71"/>
      <c r="Y149" s="71"/>
      <c r="Z149" s="71"/>
      <c r="AB149" s="7"/>
      <c r="AC149" s="67"/>
      <c r="AE149" s="67"/>
      <c r="AF149" s="185"/>
      <c r="AK149" s="71"/>
      <c r="AL149" s="71"/>
      <c r="AM149" s="71"/>
      <c r="AN149" s="71"/>
      <c r="AO149" s="71"/>
    </row>
    <row r="150" spans="3:41" customFormat="1" ht="15" customHeight="1" x14ac:dyDescent="0.4">
      <c r="C150" s="71"/>
      <c r="D150" s="71"/>
      <c r="E150" s="199" t="s">
        <v>455</v>
      </c>
      <c r="F150" s="71"/>
      <c r="G150" s="71"/>
      <c r="H150" s="71"/>
      <c r="I150" s="71"/>
      <c r="J150" s="71"/>
      <c r="K150" s="71"/>
      <c r="L150" s="71"/>
      <c r="M150" s="71"/>
      <c r="N150" s="71"/>
      <c r="O150" s="71"/>
      <c r="P150" s="175"/>
      <c r="Q150" s="71"/>
      <c r="R150" s="71"/>
      <c r="S150" s="71"/>
      <c r="T150" s="71"/>
      <c r="U150" s="71"/>
      <c r="V150" s="71"/>
      <c r="W150" s="71"/>
      <c r="X150" s="71"/>
      <c r="Y150" s="71"/>
      <c r="Z150" s="71"/>
      <c r="AB150" s="7"/>
      <c r="AC150" s="67"/>
      <c r="AE150" s="67"/>
      <c r="AF150" s="185"/>
      <c r="AK150" s="71"/>
      <c r="AL150" s="71"/>
      <c r="AM150" s="71"/>
      <c r="AN150" s="71"/>
      <c r="AO150" s="71"/>
    </row>
    <row r="151" spans="3:41" customFormat="1" ht="15" customHeight="1" x14ac:dyDescent="0.4">
      <c r="C151" s="71"/>
      <c r="D151" s="71"/>
      <c r="E151" s="71"/>
      <c r="F151" s="71"/>
      <c r="G151" s="71"/>
      <c r="H151" s="71"/>
      <c r="I151" s="71"/>
      <c r="J151" s="71"/>
      <c r="K151" s="71"/>
      <c r="L151" s="71"/>
      <c r="M151" s="71"/>
      <c r="N151" s="71"/>
      <c r="O151" s="71"/>
      <c r="P151" s="175"/>
      <c r="Q151" s="71"/>
      <c r="R151" s="71"/>
      <c r="S151" s="71"/>
      <c r="T151" s="71"/>
      <c r="U151" s="71"/>
      <c r="V151" s="71"/>
      <c r="W151" s="71"/>
      <c r="X151" s="71"/>
      <c r="Y151" s="71"/>
      <c r="Z151" s="71"/>
      <c r="AB151" s="7"/>
      <c r="AC151" s="67"/>
      <c r="AE151" s="67"/>
      <c r="AF151" s="185"/>
      <c r="AK151" s="71"/>
      <c r="AL151" s="71"/>
      <c r="AM151" s="71"/>
      <c r="AN151" s="71"/>
      <c r="AO151" s="71"/>
    </row>
    <row r="152" spans="3:41" customFormat="1" ht="15" customHeight="1" x14ac:dyDescent="0.4">
      <c r="C152" s="71"/>
      <c r="D152" s="129" t="s">
        <v>457</v>
      </c>
      <c r="E152" s="129" t="s">
        <v>458</v>
      </c>
      <c r="F152" s="71"/>
      <c r="G152" s="71"/>
      <c r="H152" s="71"/>
      <c r="I152" s="71"/>
      <c r="J152" s="71"/>
      <c r="K152" s="71"/>
      <c r="L152" s="71"/>
      <c r="M152" s="71"/>
      <c r="N152" s="71"/>
      <c r="O152" s="71"/>
      <c r="P152" s="175"/>
      <c r="Q152" s="71"/>
      <c r="R152" s="71"/>
      <c r="S152" s="71"/>
      <c r="T152" s="71"/>
      <c r="U152" s="71"/>
      <c r="V152" s="71"/>
      <c r="W152" s="71"/>
      <c r="X152" s="71"/>
      <c r="Y152" s="71"/>
      <c r="Z152" s="71"/>
      <c r="AB152" s="7"/>
      <c r="AC152" s="67"/>
      <c r="AE152" s="67"/>
      <c r="AF152" s="185"/>
      <c r="AK152" s="71"/>
      <c r="AL152" s="71"/>
      <c r="AM152" s="71"/>
      <c r="AN152" s="71"/>
      <c r="AO152" s="71"/>
    </row>
    <row r="153" spans="3:41" customFormat="1" ht="15" customHeight="1" x14ac:dyDescent="0.4">
      <c r="C153" s="71"/>
      <c r="D153" s="71"/>
      <c r="E153" s="129" t="s">
        <v>459</v>
      </c>
      <c r="F153" s="71"/>
      <c r="G153" s="71"/>
      <c r="H153" s="71"/>
      <c r="I153" s="71"/>
      <c r="J153" s="71"/>
      <c r="K153" s="71"/>
      <c r="L153" s="71"/>
      <c r="M153" s="71"/>
      <c r="N153" s="71"/>
      <c r="O153" s="71"/>
      <c r="P153" s="175"/>
      <c r="Q153" s="71"/>
      <c r="R153" s="71"/>
      <c r="S153" s="71"/>
      <c r="T153" s="71"/>
      <c r="U153" s="71"/>
      <c r="V153" s="71"/>
      <c r="W153" s="71"/>
      <c r="X153" s="71"/>
      <c r="Y153" s="71"/>
      <c r="Z153" s="71"/>
      <c r="AB153" s="7"/>
      <c r="AC153" s="67"/>
      <c r="AE153" s="67"/>
      <c r="AF153" s="185"/>
      <c r="AK153" s="71"/>
      <c r="AL153" s="71"/>
      <c r="AM153" s="71"/>
      <c r="AN153" s="71"/>
      <c r="AO153" s="71"/>
    </row>
    <row r="154" spans="3:41" customFormat="1" ht="15" customHeight="1" x14ac:dyDescent="0.4">
      <c r="C154" s="71"/>
      <c r="D154" s="71"/>
      <c r="E154" s="129" t="s">
        <v>460</v>
      </c>
      <c r="F154" s="71"/>
      <c r="G154" s="71"/>
      <c r="H154" s="71"/>
      <c r="I154" s="71"/>
      <c r="J154" s="71"/>
      <c r="K154" s="71"/>
      <c r="L154" s="71"/>
      <c r="M154" s="71"/>
      <c r="N154" s="71"/>
      <c r="O154" s="71"/>
      <c r="P154" s="175"/>
      <c r="Q154" s="71"/>
      <c r="R154" s="71"/>
      <c r="S154" s="71"/>
      <c r="T154" s="71"/>
      <c r="U154" s="71"/>
      <c r="V154" s="71"/>
      <c r="W154" s="71"/>
      <c r="X154" s="71"/>
      <c r="Y154" s="71"/>
      <c r="Z154" s="71"/>
      <c r="AB154" s="7"/>
      <c r="AC154" s="67"/>
      <c r="AE154" s="67"/>
      <c r="AF154" s="185"/>
      <c r="AK154" s="71"/>
      <c r="AL154" s="71"/>
      <c r="AM154" s="71"/>
      <c r="AN154" s="71"/>
      <c r="AO154" s="71"/>
    </row>
    <row r="155" spans="3:41" customFormat="1" ht="15" customHeight="1" x14ac:dyDescent="0.4">
      <c r="C155" s="71"/>
      <c r="D155" s="71"/>
      <c r="E155" s="129" t="s">
        <v>461</v>
      </c>
      <c r="F155" s="71"/>
      <c r="G155" s="71"/>
      <c r="H155" s="71"/>
      <c r="I155" s="71"/>
      <c r="J155" s="71"/>
      <c r="K155" s="71"/>
      <c r="L155" s="71"/>
      <c r="M155" s="71"/>
      <c r="N155" s="71"/>
      <c r="O155" s="71"/>
      <c r="P155" s="175"/>
      <c r="Q155" s="71"/>
      <c r="R155" s="71"/>
      <c r="S155" s="71"/>
      <c r="T155" s="71"/>
      <c r="U155" s="71"/>
      <c r="V155" s="71"/>
      <c r="W155" s="71"/>
      <c r="X155" s="71"/>
      <c r="Y155" s="71"/>
      <c r="Z155" s="71"/>
      <c r="AB155" s="7"/>
      <c r="AC155" s="67"/>
      <c r="AE155" s="67"/>
      <c r="AF155" s="185"/>
      <c r="AK155" s="71"/>
      <c r="AL155" s="71"/>
      <c r="AM155" s="71"/>
      <c r="AN155" s="71"/>
      <c r="AO155" s="71"/>
    </row>
    <row r="156" spans="3:41" customFormat="1" ht="15" customHeight="1" x14ac:dyDescent="0.4">
      <c r="C156" s="71"/>
      <c r="D156" s="71"/>
      <c r="E156" s="71"/>
      <c r="F156" s="71"/>
      <c r="G156" s="71"/>
      <c r="H156" s="71"/>
      <c r="I156" s="71"/>
      <c r="J156" s="71"/>
      <c r="K156" s="71"/>
      <c r="L156" s="71"/>
      <c r="M156" s="71"/>
      <c r="N156" s="71"/>
      <c r="O156" s="71"/>
      <c r="P156" s="175"/>
      <c r="Q156" s="71"/>
      <c r="R156" s="71"/>
      <c r="S156" s="71"/>
      <c r="T156" s="71"/>
      <c r="U156" s="71"/>
      <c r="V156" s="71"/>
      <c r="W156" s="71"/>
      <c r="X156" s="71"/>
      <c r="Y156" s="71"/>
      <c r="Z156" s="71"/>
      <c r="AB156" s="7"/>
      <c r="AC156" s="67"/>
      <c r="AE156" s="67"/>
      <c r="AF156" s="185"/>
      <c r="AK156" s="71"/>
      <c r="AL156" s="71"/>
      <c r="AM156" s="71"/>
      <c r="AN156" s="71"/>
      <c r="AO156" s="71"/>
    </row>
    <row r="157" spans="3:41" customFormat="1" ht="15" customHeight="1" x14ac:dyDescent="0.4">
      <c r="C157" s="71"/>
      <c r="D157" s="71"/>
      <c r="E157" s="71"/>
      <c r="F157" s="71"/>
      <c r="G157" s="71"/>
      <c r="H157" s="71"/>
      <c r="I157" s="71"/>
      <c r="J157" s="71"/>
      <c r="K157" s="71"/>
      <c r="L157" s="71"/>
      <c r="M157" s="71"/>
      <c r="N157" s="71"/>
      <c r="O157" s="71"/>
      <c r="P157" s="175"/>
      <c r="Q157" s="71"/>
      <c r="R157" s="71"/>
      <c r="S157" s="71"/>
      <c r="T157" s="71"/>
      <c r="U157" s="71"/>
      <c r="V157" s="71"/>
      <c r="W157" s="71"/>
      <c r="X157" s="71"/>
      <c r="Y157" s="71"/>
      <c r="Z157" s="71"/>
      <c r="AB157" s="7"/>
      <c r="AC157" s="67"/>
      <c r="AE157" s="67"/>
      <c r="AF157" s="185"/>
      <c r="AK157" s="71"/>
      <c r="AL157" s="71"/>
      <c r="AM157" s="71"/>
      <c r="AN157" s="71"/>
      <c r="AO157" s="71"/>
    </row>
    <row r="158" spans="3:41" customFormat="1" ht="15" customHeight="1" x14ac:dyDescent="0.4">
      <c r="C158" s="71"/>
      <c r="D158" s="71"/>
      <c r="E158" s="71"/>
      <c r="F158" s="71"/>
      <c r="G158" s="71"/>
      <c r="H158" s="71"/>
      <c r="I158" s="71"/>
      <c r="J158" s="71"/>
      <c r="K158" s="71"/>
      <c r="L158" s="71"/>
      <c r="M158" s="71"/>
      <c r="N158" s="71"/>
      <c r="O158" s="71"/>
      <c r="P158" s="175"/>
      <c r="Q158" s="71"/>
      <c r="R158" s="71"/>
      <c r="S158" s="71"/>
      <c r="T158" s="71"/>
      <c r="U158" s="71"/>
      <c r="V158" s="71"/>
      <c r="W158" s="71"/>
      <c r="X158" s="71"/>
      <c r="Y158" s="71"/>
      <c r="Z158" s="71"/>
      <c r="AB158" s="7"/>
      <c r="AC158" s="67"/>
      <c r="AE158" s="67"/>
      <c r="AF158" s="185"/>
      <c r="AK158" s="71"/>
      <c r="AL158" s="71"/>
      <c r="AM158" s="71"/>
      <c r="AN158" s="71"/>
      <c r="AO158" s="71"/>
    </row>
    <row r="159" spans="3:41" customFormat="1" ht="15" customHeight="1" x14ac:dyDescent="0.4">
      <c r="C159" s="71"/>
      <c r="D159" s="71"/>
      <c r="E159" s="71"/>
      <c r="F159" s="71"/>
      <c r="G159" s="71"/>
      <c r="H159" s="71"/>
      <c r="I159" s="71"/>
      <c r="J159" s="71"/>
      <c r="K159" s="71"/>
      <c r="L159" s="71"/>
      <c r="M159" s="71"/>
      <c r="N159" s="71"/>
      <c r="O159" s="71"/>
      <c r="P159" s="175"/>
      <c r="Q159" s="71"/>
      <c r="R159" s="71"/>
      <c r="S159" s="71"/>
      <c r="T159" s="71"/>
      <c r="U159" s="71"/>
      <c r="V159" s="71"/>
      <c r="W159" s="71"/>
      <c r="X159" s="71"/>
      <c r="Y159" s="71"/>
      <c r="Z159" s="71"/>
      <c r="AB159" s="7"/>
      <c r="AC159" s="67"/>
      <c r="AE159" s="67"/>
      <c r="AF159" s="185"/>
      <c r="AK159" s="71"/>
      <c r="AL159" s="71"/>
      <c r="AM159" s="71"/>
      <c r="AN159" s="71"/>
      <c r="AO159" s="71"/>
    </row>
    <row r="160" spans="3:41" customFormat="1" ht="15" customHeight="1" x14ac:dyDescent="0.4">
      <c r="C160" s="71"/>
      <c r="D160" s="71"/>
      <c r="E160" s="71"/>
      <c r="F160" s="71"/>
      <c r="G160" s="71"/>
      <c r="H160" s="71"/>
      <c r="I160" s="71"/>
      <c r="J160" s="71"/>
      <c r="K160" s="71"/>
      <c r="L160" s="71"/>
      <c r="M160" s="71"/>
      <c r="N160" s="71"/>
      <c r="O160" s="71"/>
      <c r="P160" s="175"/>
      <c r="Q160" s="71"/>
      <c r="R160" s="71"/>
      <c r="S160" s="71"/>
      <c r="T160" s="71"/>
      <c r="U160" s="71"/>
      <c r="V160" s="71"/>
      <c r="W160" s="71"/>
      <c r="X160" s="71"/>
      <c r="Y160" s="71"/>
      <c r="Z160" s="71"/>
      <c r="AB160" s="7"/>
      <c r="AC160" s="67"/>
      <c r="AE160" s="67"/>
      <c r="AF160" s="185"/>
      <c r="AK160" s="71"/>
      <c r="AL160" s="71"/>
      <c r="AM160" s="71"/>
      <c r="AN160" s="71"/>
      <c r="AO160" s="71"/>
    </row>
    <row r="161" spans="3:41" customFormat="1" ht="15" customHeight="1" x14ac:dyDescent="0.4">
      <c r="C161" s="71"/>
      <c r="D161" s="71"/>
      <c r="E161" s="71"/>
      <c r="F161" s="71"/>
      <c r="G161" s="71"/>
      <c r="H161" s="71"/>
      <c r="I161" s="71"/>
      <c r="J161" s="71"/>
      <c r="K161" s="71"/>
      <c r="L161" s="71"/>
      <c r="M161" s="71"/>
      <c r="N161" s="71"/>
      <c r="O161" s="71"/>
      <c r="P161" s="175"/>
      <c r="Q161" s="71"/>
      <c r="R161" s="71"/>
      <c r="S161" s="71"/>
      <c r="T161" s="71"/>
      <c r="U161" s="71"/>
      <c r="V161" s="71"/>
      <c r="W161" s="71"/>
      <c r="X161" s="71"/>
      <c r="Y161" s="71"/>
      <c r="Z161" s="71"/>
      <c r="AB161" s="7"/>
      <c r="AC161" s="67"/>
      <c r="AE161" s="67"/>
      <c r="AF161" s="185"/>
      <c r="AK161" s="71"/>
      <c r="AL161" s="71"/>
      <c r="AM161" s="71"/>
      <c r="AN161" s="71"/>
      <c r="AO161" s="71"/>
    </row>
    <row r="162" spans="3:41" customFormat="1" ht="15" customHeight="1" x14ac:dyDescent="0.4">
      <c r="C162" s="71"/>
      <c r="D162" s="71"/>
      <c r="E162" s="71"/>
      <c r="F162" s="71"/>
      <c r="G162" s="71"/>
      <c r="H162" s="71"/>
      <c r="I162" s="71"/>
      <c r="J162" s="71"/>
      <c r="K162" s="71"/>
      <c r="L162" s="71"/>
      <c r="M162" s="71"/>
      <c r="N162" s="71"/>
      <c r="O162" s="71"/>
      <c r="P162" s="175"/>
      <c r="Q162" s="71"/>
      <c r="R162" s="71"/>
      <c r="S162" s="71"/>
      <c r="T162" s="71"/>
      <c r="U162" s="71"/>
      <c r="V162" s="71"/>
      <c r="W162" s="71"/>
      <c r="X162" s="71"/>
      <c r="Y162" s="71"/>
      <c r="Z162" s="71"/>
      <c r="AB162" s="7"/>
      <c r="AC162" s="67"/>
      <c r="AE162" s="67"/>
      <c r="AF162" s="185"/>
      <c r="AK162" s="71"/>
      <c r="AL162" s="71"/>
      <c r="AM162" s="71"/>
      <c r="AN162" s="71"/>
      <c r="AO162" s="71"/>
    </row>
    <row r="163" spans="3:41" customFormat="1" ht="15" customHeight="1" x14ac:dyDescent="0.4">
      <c r="C163" s="71"/>
      <c r="D163" s="71"/>
      <c r="E163" s="71"/>
      <c r="F163" s="71"/>
      <c r="G163" s="71"/>
      <c r="H163" s="71"/>
      <c r="I163" s="71"/>
      <c r="J163" s="71"/>
      <c r="K163" s="71"/>
      <c r="L163" s="71"/>
      <c r="M163" s="71"/>
      <c r="N163" s="71"/>
      <c r="O163" s="71"/>
      <c r="P163" s="175"/>
      <c r="Q163" s="71"/>
      <c r="R163" s="71"/>
      <c r="S163" s="71"/>
      <c r="T163" s="71"/>
      <c r="U163" s="71"/>
      <c r="V163" s="71"/>
      <c r="W163" s="71"/>
      <c r="X163" s="71"/>
      <c r="Y163" s="71"/>
      <c r="Z163" s="71"/>
      <c r="AB163" s="7"/>
      <c r="AC163" s="67"/>
      <c r="AE163" s="67"/>
      <c r="AF163" s="185"/>
      <c r="AK163" s="71"/>
      <c r="AL163" s="71"/>
      <c r="AM163" s="71"/>
      <c r="AN163" s="71"/>
      <c r="AO163" s="71"/>
    </row>
    <row r="164" spans="3:41" customFormat="1" ht="15" customHeight="1" x14ac:dyDescent="0.4">
      <c r="C164" s="71"/>
      <c r="D164" s="71"/>
      <c r="E164" s="71"/>
      <c r="F164" s="71"/>
      <c r="G164" s="71"/>
      <c r="H164" s="71"/>
      <c r="I164" s="71"/>
      <c r="J164" s="71"/>
      <c r="K164" s="71"/>
      <c r="L164" s="71"/>
      <c r="M164" s="71"/>
      <c r="N164" s="71"/>
      <c r="O164" s="71"/>
      <c r="P164" s="175"/>
      <c r="Q164" s="71"/>
      <c r="R164" s="71"/>
      <c r="S164" s="71"/>
      <c r="T164" s="71"/>
      <c r="U164" s="71"/>
      <c r="V164" s="71"/>
      <c r="W164" s="71"/>
      <c r="X164" s="71"/>
      <c r="Y164" s="71"/>
      <c r="Z164" s="71"/>
      <c r="AB164" s="7"/>
      <c r="AC164" s="67"/>
      <c r="AE164" s="67"/>
      <c r="AF164" s="185"/>
      <c r="AK164" s="71"/>
      <c r="AL164" s="71"/>
      <c r="AM164" s="71"/>
      <c r="AN164" s="71"/>
      <c r="AO164" s="71"/>
    </row>
    <row r="165" spans="3:41" customFormat="1" ht="15" customHeight="1" x14ac:dyDescent="0.4">
      <c r="C165" s="71"/>
      <c r="D165" s="71"/>
      <c r="E165" s="71"/>
      <c r="F165" s="71"/>
      <c r="G165" s="71"/>
      <c r="H165" s="71"/>
      <c r="I165" s="71"/>
      <c r="J165" s="71"/>
      <c r="K165" s="71"/>
      <c r="L165" s="71"/>
      <c r="M165" s="71"/>
      <c r="N165" s="71"/>
      <c r="O165" s="71"/>
      <c r="P165" s="175"/>
      <c r="Q165" s="71"/>
      <c r="R165" s="71"/>
      <c r="S165" s="71"/>
      <c r="T165" s="71"/>
      <c r="U165" s="71"/>
      <c r="V165" s="71"/>
      <c r="W165" s="71"/>
      <c r="X165" s="71"/>
      <c r="Y165" s="71"/>
      <c r="Z165" s="71"/>
      <c r="AB165" s="7"/>
      <c r="AC165" s="67"/>
      <c r="AE165" s="67"/>
      <c r="AF165" s="185"/>
      <c r="AK165" s="71"/>
      <c r="AL165" s="71"/>
      <c r="AM165" s="71"/>
      <c r="AN165" s="71"/>
      <c r="AO165" s="71"/>
    </row>
    <row r="166" spans="3:41" customFormat="1" ht="15" customHeight="1" x14ac:dyDescent="0.4">
      <c r="C166" s="71"/>
      <c r="D166" s="71"/>
      <c r="E166" s="71"/>
      <c r="F166" s="71"/>
      <c r="G166" s="71"/>
      <c r="H166" s="71"/>
      <c r="I166" s="71"/>
      <c r="J166" s="71"/>
      <c r="K166" s="71"/>
      <c r="L166" s="71"/>
      <c r="M166" s="71"/>
      <c r="N166" s="71"/>
      <c r="O166" s="71"/>
      <c r="P166" s="175"/>
      <c r="Q166" s="71"/>
      <c r="R166" s="71"/>
      <c r="S166" s="71"/>
      <c r="T166" s="71"/>
      <c r="U166" s="71"/>
      <c r="V166" s="71"/>
      <c r="W166" s="71"/>
      <c r="X166" s="71"/>
      <c r="Y166" s="71"/>
      <c r="Z166" s="71"/>
      <c r="AB166" s="7"/>
      <c r="AC166" s="67"/>
      <c r="AE166" s="67"/>
      <c r="AF166" s="185"/>
      <c r="AK166" s="71"/>
      <c r="AL166" s="71"/>
      <c r="AM166" s="71"/>
      <c r="AN166" s="71"/>
      <c r="AO166" s="71"/>
    </row>
    <row r="167" spans="3:41" customFormat="1" ht="15" customHeight="1" x14ac:dyDescent="0.4">
      <c r="C167" s="71"/>
      <c r="D167" s="71"/>
      <c r="E167" s="71"/>
      <c r="F167" s="71"/>
      <c r="G167" s="71"/>
      <c r="H167" s="71"/>
      <c r="I167" s="71"/>
      <c r="J167" s="71"/>
      <c r="K167" s="71"/>
      <c r="L167" s="71"/>
      <c r="M167" s="71"/>
      <c r="N167" s="71"/>
      <c r="O167" s="71"/>
      <c r="P167" s="175"/>
      <c r="Q167" s="71"/>
      <c r="R167" s="71"/>
      <c r="S167" s="71"/>
      <c r="T167" s="71"/>
      <c r="U167" s="71"/>
      <c r="V167" s="71"/>
      <c r="W167" s="71"/>
      <c r="X167" s="71"/>
      <c r="Y167" s="71"/>
      <c r="Z167" s="71"/>
      <c r="AB167" s="7"/>
      <c r="AC167" s="67"/>
      <c r="AE167" s="67"/>
      <c r="AF167" s="185"/>
      <c r="AK167" s="71"/>
      <c r="AL167" s="71"/>
      <c r="AM167" s="71"/>
      <c r="AN167" s="71"/>
      <c r="AO167" s="71"/>
    </row>
    <row r="168" spans="3:41" customFormat="1" ht="15" customHeight="1" x14ac:dyDescent="0.4">
      <c r="C168" s="71"/>
      <c r="D168" s="71"/>
      <c r="E168" s="71"/>
      <c r="F168" s="71"/>
      <c r="G168" s="71"/>
      <c r="H168" s="71"/>
      <c r="I168" s="71"/>
      <c r="J168" s="71"/>
      <c r="K168" s="71"/>
      <c r="L168" s="71"/>
      <c r="M168" s="71"/>
      <c r="N168" s="71"/>
      <c r="O168" s="71"/>
      <c r="P168" s="175"/>
      <c r="Q168" s="71"/>
      <c r="R168" s="71"/>
      <c r="S168" s="71"/>
      <c r="T168" s="71"/>
      <c r="U168" s="71"/>
      <c r="V168" s="71"/>
      <c r="W168" s="71"/>
      <c r="X168" s="71"/>
      <c r="Y168" s="71"/>
      <c r="Z168" s="71"/>
      <c r="AB168" s="7"/>
      <c r="AC168" s="67"/>
      <c r="AE168" s="67"/>
      <c r="AF168" s="185"/>
      <c r="AK168" s="71"/>
      <c r="AL168" s="71"/>
      <c r="AM168" s="71"/>
      <c r="AN168" s="71"/>
      <c r="AO168" s="71"/>
    </row>
    <row r="169" spans="3:41" customFormat="1" ht="15" customHeight="1" x14ac:dyDescent="0.4">
      <c r="C169" s="71"/>
      <c r="D169" s="71"/>
      <c r="E169" s="71"/>
      <c r="F169" s="71"/>
      <c r="G169" s="71"/>
      <c r="H169" s="71"/>
      <c r="I169" s="71"/>
      <c r="J169" s="71"/>
      <c r="K169" s="71"/>
      <c r="L169" s="71"/>
      <c r="M169" s="71"/>
      <c r="N169" s="71"/>
      <c r="O169" s="71"/>
      <c r="P169" s="175"/>
      <c r="Q169" s="71"/>
      <c r="R169" s="71"/>
      <c r="S169" s="71"/>
      <c r="T169" s="71"/>
      <c r="U169" s="71"/>
      <c r="V169" s="71"/>
      <c r="W169" s="71"/>
      <c r="X169" s="71"/>
      <c r="Y169" s="71"/>
      <c r="Z169" s="71"/>
      <c r="AB169" s="7"/>
      <c r="AC169" s="67"/>
      <c r="AE169" s="67"/>
      <c r="AF169" s="185"/>
      <c r="AK169" s="71"/>
      <c r="AL169" s="71"/>
      <c r="AM169" s="71"/>
      <c r="AN169" s="71"/>
      <c r="AO169" s="71"/>
    </row>
    <row r="170" spans="3:41" customFormat="1" ht="15" customHeight="1" x14ac:dyDescent="0.4">
      <c r="C170" s="71"/>
      <c r="D170" s="71"/>
      <c r="E170" s="71"/>
      <c r="F170" s="71"/>
      <c r="G170" s="71"/>
      <c r="H170" s="71"/>
      <c r="I170" s="71"/>
      <c r="J170" s="71"/>
      <c r="K170" s="71"/>
      <c r="L170" s="71"/>
      <c r="M170" s="71"/>
      <c r="N170" s="71"/>
      <c r="O170" s="71"/>
      <c r="P170" s="175"/>
      <c r="Q170" s="71"/>
      <c r="R170" s="71"/>
      <c r="S170" s="71"/>
      <c r="T170" s="71"/>
      <c r="U170" s="71"/>
      <c r="V170" s="71"/>
      <c r="W170" s="71"/>
      <c r="X170" s="71"/>
      <c r="Y170" s="71"/>
      <c r="Z170" s="71"/>
      <c r="AB170" s="7"/>
      <c r="AC170" s="67"/>
      <c r="AD170" s="134"/>
      <c r="AE170" s="67"/>
      <c r="AF170" s="185"/>
      <c r="AK170" s="71"/>
      <c r="AL170" s="71"/>
      <c r="AM170" s="71"/>
      <c r="AN170" s="71"/>
      <c r="AO170" s="71"/>
    </row>
    <row r="171" spans="3:41" customFormat="1" ht="15" customHeight="1" x14ac:dyDescent="0.4">
      <c r="C171" s="71"/>
      <c r="D171" s="71"/>
      <c r="E171" s="71"/>
      <c r="F171" s="71"/>
      <c r="G171" s="71"/>
      <c r="H171" s="71"/>
      <c r="I171" s="71"/>
      <c r="J171" s="71"/>
      <c r="K171" s="71"/>
      <c r="L171" s="71"/>
      <c r="M171" s="71"/>
      <c r="N171" s="71"/>
      <c r="O171" s="71"/>
      <c r="P171" s="175"/>
      <c r="Q171" s="71"/>
      <c r="R171" s="71"/>
      <c r="S171" s="71"/>
      <c r="T171" s="71"/>
      <c r="U171" s="71"/>
      <c r="V171" s="71"/>
      <c r="W171" s="71"/>
      <c r="X171" s="71"/>
      <c r="Y171" s="71"/>
      <c r="Z171" s="71"/>
      <c r="AB171" s="7"/>
      <c r="AC171" s="67"/>
      <c r="AD171" s="135"/>
      <c r="AE171" s="67"/>
      <c r="AF171" s="185"/>
      <c r="AK171" s="71"/>
      <c r="AL171" s="71"/>
      <c r="AM171" s="71"/>
      <c r="AN171" s="71"/>
      <c r="AO171" s="71"/>
    </row>
    <row r="172" spans="3:41" customFormat="1" ht="15" customHeight="1" x14ac:dyDescent="0.4">
      <c r="C172" s="71"/>
      <c r="D172" s="71"/>
      <c r="E172" s="71"/>
      <c r="F172" s="71"/>
      <c r="G172" s="71"/>
      <c r="H172" s="71"/>
      <c r="I172" s="71"/>
      <c r="J172" s="71"/>
      <c r="K172" s="71"/>
      <c r="L172" s="71"/>
      <c r="M172" s="71"/>
      <c r="N172" s="71"/>
      <c r="O172" s="71"/>
      <c r="P172" s="175"/>
      <c r="Q172" s="71"/>
      <c r="R172" s="71"/>
      <c r="S172" s="71"/>
      <c r="T172" s="71"/>
      <c r="U172" s="71"/>
      <c r="V172" s="71"/>
      <c r="W172" s="71"/>
      <c r="X172" s="71"/>
      <c r="Y172" s="71"/>
      <c r="Z172" s="71"/>
      <c r="AB172" s="7"/>
      <c r="AC172" s="67"/>
      <c r="AE172" s="67"/>
      <c r="AF172" s="185"/>
      <c r="AK172" s="71"/>
      <c r="AL172" s="71"/>
      <c r="AM172" s="71"/>
      <c r="AN172" s="71"/>
      <c r="AO172" s="71"/>
    </row>
    <row r="173" spans="3:41" customFormat="1" ht="15" customHeight="1" x14ac:dyDescent="0.4">
      <c r="C173" s="71"/>
      <c r="D173" s="71"/>
      <c r="E173" s="71"/>
      <c r="F173" s="71"/>
      <c r="G173" s="71"/>
      <c r="H173" s="71"/>
      <c r="I173" s="71"/>
      <c r="J173" s="71"/>
      <c r="K173" s="71"/>
      <c r="L173" s="71"/>
      <c r="M173" s="71"/>
      <c r="N173" s="71"/>
      <c r="O173" s="71"/>
      <c r="P173" s="175"/>
      <c r="Q173" s="71"/>
      <c r="R173" s="71"/>
      <c r="S173" s="71"/>
      <c r="T173" s="71"/>
      <c r="U173" s="71"/>
      <c r="V173" s="71"/>
      <c r="W173" s="71"/>
      <c r="X173" s="71"/>
      <c r="Y173" s="71"/>
      <c r="Z173" s="71"/>
      <c r="AB173" s="7"/>
      <c r="AC173" s="67"/>
      <c r="AE173" s="67"/>
      <c r="AF173" s="185"/>
      <c r="AK173" s="71"/>
      <c r="AL173" s="71"/>
      <c r="AM173" s="71"/>
      <c r="AN173" s="71"/>
      <c r="AO173" s="71"/>
    </row>
    <row r="174" spans="3:41" customFormat="1" ht="15" customHeight="1" x14ac:dyDescent="0.4">
      <c r="C174" s="71"/>
      <c r="D174" s="71"/>
      <c r="E174" s="71"/>
      <c r="F174" s="71"/>
      <c r="G174" s="71"/>
      <c r="H174" s="71"/>
      <c r="I174" s="71"/>
      <c r="J174" s="71"/>
      <c r="K174" s="71"/>
      <c r="L174" s="71"/>
      <c r="M174" s="71"/>
      <c r="N174" s="71"/>
      <c r="O174" s="71"/>
      <c r="P174" s="175"/>
      <c r="Q174" s="71"/>
      <c r="R174" s="71"/>
      <c r="S174" s="71"/>
      <c r="T174" s="71"/>
      <c r="U174" s="71"/>
      <c r="V174" s="71"/>
      <c r="W174" s="71"/>
      <c r="X174" s="71"/>
      <c r="Y174" s="71"/>
      <c r="Z174" s="71"/>
      <c r="AB174" s="7"/>
      <c r="AC174" s="67"/>
      <c r="AE174" s="67"/>
      <c r="AF174" s="185"/>
      <c r="AK174" s="71"/>
      <c r="AL174" s="71"/>
      <c r="AM174" s="71"/>
      <c r="AN174" s="71"/>
      <c r="AO174" s="71"/>
    </row>
    <row r="175" spans="3:41" customFormat="1" ht="15" customHeight="1" x14ac:dyDescent="0.4">
      <c r="C175" s="71"/>
      <c r="D175" s="71"/>
      <c r="E175" s="71"/>
      <c r="F175" s="71"/>
      <c r="G175" s="71"/>
      <c r="H175" s="71"/>
      <c r="I175" s="71"/>
      <c r="J175" s="71"/>
      <c r="K175" s="71"/>
      <c r="L175" s="71"/>
      <c r="M175" s="71"/>
      <c r="N175" s="71"/>
      <c r="O175" s="71"/>
      <c r="P175" s="175"/>
      <c r="Q175" s="71"/>
      <c r="R175" s="71"/>
      <c r="S175" s="71"/>
      <c r="T175" s="71"/>
      <c r="U175" s="71"/>
      <c r="V175" s="71"/>
      <c r="W175" s="71"/>
      <c r="X175" s="71"/>
      <c r="Y175" s="71"/>
      <c r="Z175" s="71"/>
      <c r="AB175" s="7"/>
      <c r="AC175" s="67"/>
      <c r="AE175" s="67"/>
      <c r="AF175" s="185"/>
      <c r="AK175" s="71"/>
      <c r="AL175" s="71"/>
      <c r="AM175" s="71"/>
      <c r="AN175" s="71"/>
      <c r="AO175" s="71"/>
    </row>
    <row r="176" spans="3:41" customFormat="1" ht="15" customHeight="1" x14ac:dyDescent="0.4">
      <c r="C176" s="71"/>
      <c r="D176" s="71"/>
      <c r="E176" s="71"/>
      <c r="F176" s="71"/>
      <c r="G176" s="71"/>
      <c r="H176" s="71"/>
      <c r="I176" s="71"/>
      <c r="J176" s="71"/>
      <c r="K176" s="71"/>
      <c r="L176" s="71"/>
      <c r="M176" s="71"/>
      <c r="N176" s="71"/>
      <c r="O176" s="71"/>
      <c r="P176" s="175"/>
      <c r="Q176" s="71"/>
      <c r="R176" s="71"/>
      <c r="S176" s="71"/>
      <c r="T176" s="71"/>
      <c r="U176" s="71"/>
      <c r="V176" s="71"/>
      <c r="W176" s="71"/>
      <c r="X176" s="71"/>
      <c r="Y176" s="71"/>
      <c r="Z176" s="71"/>
      <c r="AB176" s="7"/>
      <c r="AC176" s="67"/>
      <c r="AF176" s="185"/>
      <c r="AK176" s="71"/>
      <c r="AL176" s="71"/>
      <c r="AM176" s="71"/>
      <c r="AN176" s="71"/>
      <c r="AO176" s="71"/>
    </row>
    <row r="177" spans="3:41" customFormat="1" ht="15" customHeight="1" x14ac:dyDescent="0.4">
      <c r="C177" s="71"/>
      <c r="D177" s="71"/>
      <c r="E177" s="71"/>
      <c r="F177" s="71"/>
      <c r="G177" s="71"/>
      <c r="H177" s="71"/>
      <c r="I177" s="71"/>
      <c r="J177" s="71"/>
      <c r="K177" s="71"/>
      <c r="L177" s="71"/>
      <c r="M177" s="71"/>
      <c r="N177" s="71"/>
      <c r="O177" s="71"/>
      <c r="P177" s="175"/>
      <c r="Q177" s="71"/>
      <c r="R177" s="71"/>
      <c r="S177" s="71"/>
      <c r="T177" s="71"/>
      <c r="U177" s="71"/>
      <c r="V177" s="71"/>
      <c r="W177" s="71"/>
      <c r="X177" s="71"/>
      <c r="Y177" s="71"/>
      <c r="Z177" s="71"/>
      <c r="AB177" s="7"/>
      <c r="AC177" s="67"/>
      <c r="AF177" s="185"/>
      <c r="AK177" s="71"/>
      <c r="AL177" s="71"/>
      <c r="AM177" s="71"/>
      <c r="AN177" s="71"/>
      <c r="AO177" s="71"/>
    </row>
    <row r="178" spans="3:41" customFormat="1" ht="15" customHeight="1" x14ac:dyDescent="0.4">
      <c r="C178" s="71"/>
      <c r="D178" s="71"/>
      <c r="E178" s="71"/>
      <c r="F178" s="71"/>
      <c r="G178" s="71"/>
      <c r="H178" s="71"/>
      <c r="I178" s="71"/>
      <c r="J178" s="71"/>
      <c r="K178" s="71"/>
      <c r="L178" s="71"/>
      <c r="M178" s="71"/>
      <c r="N178" s="71"/>
      <c r="O178" s="71"/>
      <c r="P178" s="175"/>
      <c r="Q178" s="71"/>
      <c r="R178" s="71"/>
      <c r="S178" s="71"/>
      <c r="T178" s="71"/>
      <c r="U178" s="71"/>
      <c r="V178" s="71"/>
      <c r="W178" s="71"/>
      <c r="X178" s="71"/>
      <c r="Y178" s="71"/>
      <c r="Z178" s="71"/>
      <c r="AB178" s="7"/>
      <c r="AC178" s="67"/>
      <c r="AF178" s="185"/>
      <c r="AK178" s="71"/>
      <c r="AL178" s="71"/>
      <c r="AM178" s="71"/>
      <c r="AN178" s="71"/>
      <c r="AO178" s="71"/>
    </row>
    <row r="179" spans="3:41" customFormat="1" ht="15" customHeight="1" x14ac:dyDescent="0.4">
      <c r="C179" s="71"/>
      <c r="D179" s="71"/>
      <c r="E179" s="71"/>
      <c r="F179" s="71"/>
      <c r="G179" s="71"/>
      <c r="H179" s="71"/>
      <c r="I179" s="71"/>
      <c r="J179" s="71"/>
      <c r="K179" s="71"/>
      <c r="L179" s="71"/>
      <c r="M179" s="71"/>
      <c r="N179" s="71"/>
      <c r="O179" s="71"/>
      <c r="P179" s="175"/>
      <c r="Q179" s="71"/>
      <c r="R179" s="71"/>
      <c r="S179" s="71"/>
      <c r="T179" s="71"/>
      <c r="U179" s="71"/>
      <c r="V179" s="71"/>
      <c r="W179" s="71"/>
      <c r="X179" s="71"/>
      <c r="Y179" s="71"/>
      <c r="Z179" s="71"/>
      <c r="AB179" s="7"/>
      <c r="AC179" s="67"/>
      <c r="AF179" s="185"/>
      <c r="AK179" s="71"/>
      <c r="AL179" s="71"/>
      <c r="AM179" s="71"/>
      <c r="AN179" s="71"/>
      <c r="AO179" s="71"/>
    </row>
    <row r="180" spans="3:41" customFormat="1" ht="15" customHeight="1" x14ac:dyDescent="0.4">
      <c r="C180" s="71"/>
      <c r="D180" s="71"/>
      <c r="E180" s="71"/>
      <c r="F180" s="71"/>
      <c r="G180" s="71"/>
      <c r="H180" s="71"/>
      <c r="I180" s="71"/>
      <c r="J180" s="71"/>
      <c r="K180" s="71"/>
      <c r="L180" s="71"/>
      <c r="M180" s="71"/>
      <c r="N180" s="71"/>
      <c r="O180" s="71"/>
      <c r="P180" s="175"/>
      <c r="Q180" s="71"/>
      <c r="R180" s="71"/>
      <c r="S180" s="71"/>
      <c r="T180" s="71"/>
      <c r="U180" s="71"/>
      <c r="V180" s="71"/>
      <c r="W180" s="71"/>
      <c r="X180" s="71"/>
      <c r="Y180" s="71"/>
      <c r="Z180" s="71"/>
      <c r="AB180" s="7"/>
      <c r="AC180" s="67"/>
      <c r="AF180" s="185"/>
      <c r="AK180" s="71"/>
      <c r="AL180" s="71"/>
      <c r="AM180" s="71"/>
      <c r="AN180" s="71"/>
      <c r="AO180" s="71"/>
    </row>
    <row r="181" spans="3:41" customFormat="1" ht="15" customHeight="1" x14ac:dyDescent="0.4">
      <c r="C181" s="71"/>
      <c r="D181" s="71"/>
      <c r="E181" s="71"/>
      <c r="F181" s="71"/>
      <c r="G181" s="71"/>
      <c r="H181" s="71"/>
      <c r="I181" s="71"/>
      <c r="J181" s="71"/>
      <c r="K181" s="71"/>
      <c r="L181" s="71"/>
      <c r="M181" s="71"/>
      <c r="N181" s="71"/>
      <c r="O181" s="71"/>
      <c r="P181" s="175"/>
      <c r="Q181" s="71"/>
      <c r="R181" s="71"/>
      <c r="S181" s="71"/>
      <c r="T181" s="71"/>
      <c r="U181" s="71"/>
      <c r="V181" s="71"/>
      <c r="W181" s="71"/>
      <c r="X181" s="71"/>
      <c r="Y181" s="71"/>
      <c r="Z181" s="71"/>
      <c r="AB181" s="7"/>
      <c r="AC181" s="67"/>
      <c r="AF181" s="185"/>
      <c r="AK181" s="71"/>
      <c r="AL181" s="71"/>
      <c r="AM181" s="71"/>
      <c r="AN181" s="71"/>
      <c r="AO181" s="71"/>
    </row>
    <row r="182" spans="3:41" customFormat="1" ht="15" customHeight="1" x14ac:dyDescent="0.4">
      <c r="C182" s="71"/>
      <c r="D182" s="71"/>
      <c r="E182" s="71"/>
      <c r="F182" s="71"/>
      <c r="G182" s="71"/>
      <c r="H182" s="71"/>
      <c r="I182" s="71"/>
      <c r="J182" s="71"/>
      <c r="K182" s="71"/>
      <c r="L182" s="71"/>
      <c r="M182" s="71"/>
      <c r="N182" s="71"/>
      <c r="O182" s="71"/>
      <c r="P182" s="175"/>
      <c r="Q182" s="71"/>
      <c r="R182" s="71"/>
      <c r="S182" s="71"/>
      <c r="T182" s="71"/>
      <c r="U182" s="71"/>
      <c r="V182" s="71"/>
      <c r="W182" s="71"/>
      <c r="X182" s="71"/>
      <c r="Y182" s="71"/>
      <c r="Z182" s="71"/>
      <c r="AB182" s="7"/>
      <c r="AC182" s="67"/>
      <c r="AF182" s="185"/>
      <c r="AK182" s="71"/>
      <c r="AL182" s="71"/>
      <c r="AM182" s="71"/>
      <c r="AN182" s="71"/>
      <c r="AO182" s="71"/>
    </row>
    <row r="183" spans="3:41" customFormat="1" ht="15" customHeight="1" x14ac:dyDescent="0.4">
      <c r="C183" s="71"/>
      <c r="D183" s="71"/>
      <c r="E183" s="71"/>
      <c r="F183" s="71"/>
      <c r="G183" s="71"/>
      <c r="H183" s="71"/>
      <c r="I183" s="71"/>
      <c r="J183" s="71"/>
      <c r="K183" s="71"/>
      <c r="L183" s="71"/>
      <c r="M183" s="71"/>
      <c r="N183" s="71"/>
      <c r="O183" s="71"/>
      <c r="P183" s="175"/>
      <c r="Q183" s="71"/>
      <c r="R183" s="71"/>
      <c r="S183" s="71"/>
      <c r="T183" s="71"/>
      <c r="U183" s="71"/>
      <c r="V183" s="71"/>
      <c r="W183" s="71"/>
      <c r="X183" s="71"/>
      <c r="Y183" s="71"/>
      <c r="Z183" s="71"/>
      <c r="AB183" s="7"/>
      <c r="AC183" s="67"/>
      <c r="AF183" s="185"/>
      <c r="AK183" s="71"/>
      <c r="AL183" s="71"/>
      <c r="AM183" s="71"/>
      <c r="AN183" s="71"/>
      <c r="AO183" s="71"/>
    </row>
    <row r="184" spans="3:41" customFormat="1" ht="15" customHeight="1" x14ac:dyDescent="0.4">
      <c r="C184" s="71"/>
      <c r="D184" s="71"/>
      <c r="E184" s="71"/>
      <c r="F184" s="71"/>
      <c r="G184" s="71"/>
      <c r="H184" s="71"/>
      <c r="I184" s="71"/>
      <c r="J184" s="71"/>
      <c r="K184" s="71"/>
      <c r="L184" s="71"/>
      <c r="M184" s="71"/>
      <c r="N184" s="71"/>
      <c r="O184" s="71"/>
      <c r="P184" s="175"/>
      <c r="Q184" s="71"/>
      <c r="R184" s="71"/>
      <c r="S184" s="71"/>
      <c r="T184" s="71"/>
      <c r="U184" s="71"/>
      <c r="V184" s="71"/>
      <c r="W184" s="71"/>
      <c r="X184" s="71"/>
      <c r="Y184" s="71"/>
      <c r="Z184" s="71"/>
      <c r="AB184" s="7"/>
      <c r="AC184" s="67"/>
      <c r="AF184" s="185"/>
      <c r="AK184" s="71"/>
      <c r="AL184" s="71"/>
      <c r="AM184" s="71"/>
      <c r="AN184" s="71"/>
      <c r="AO184" s="71"/>
    </row>
    <row r="185" spans="3:41" customFormat="1" ht="15" customHeight="1" x14ac:dyDescent="0.4">
      <c r="C185" s="71"/>
      <c r="D185" s="71"/>
      <c r="E185" s="71"/>
      <c r="F185" s="71"/>
      <c r="G185" s="71"/>
      <c r="H185" s="71"/>
      <c r="I185" s="71"/>
      <c r="J185" s="71"/>
      <c r="K185" s="71"/>
      <c r="L185" s="71"/>
      <c r="M185" s="71"/>
      <c r="N185" s="71"/>
      <c r="O185" s="71"/>
      <c r="P185" s="175"/>
      <c r="Q185" s="71"/>
      <c r="R185" s="71"/>
      <c r="S185" s="71"/>
      <c r="T185" s="71"/>
      <c r="U185" s="71"/>
      <c r="V185" s="71"/>
      <c r="W185" s="71"/>
      <c r="X185" s="71"/>
      <c r="Y185" s="71"/>
      <c r="Z185" s="71"/>
      <c r="AB185" s="7"/>
      <c r="AC185" s="67"/>
      <c r="AF185" s="185"/>
      <c r="AK185" s="71"/>
      <c r="AL185" s="71"/>
      <c r="AM185" s="71"/>
      <c r="AN185" s="71"/>
      <c r="AO185" s="71"/>
    </row>
    <row r="186" spans="3:41" customFormat="1" ht="15" customHeight="1" x14ac:dyDescent="0.4">
      <c r="C186" s="71"/>
      <c r="D186" s="71"/>
      <c r="E186" s="71"/>
      <c r="F186" s="71"/>
      <c r="G186" s="71"/>
      <c r="H186" s="71"/>
      <c r="I186" s="71"/>
      <c r="J186" s="71"/>
      <c r="K186" s="71"/>
      <c r="L186" s="71"/>
      <c r="M186" s="71"/>
      <c r="N186" s="71"/>
      <c r="O186" s="71"/>
      <c r="P186" s="175"/>
      <c r="Q186" s="71"/>
      <c r="R186" s="71"/>
      <c r="S186" s="71"/>
      <c r="T186" s="71"/>
      <c r="U186" s="71"/>
      <c r="V186" s="71"/>
      <c r="W186" s="71"/>
      <c r="X186" s="71"/>
      <c r="Y186" s="71"/>
      <c r="Z186" s="71"/>
      <c r="AB186" s="7"/>
      <c r="AC186" s="67"/>
      <c r="AF186" s="185"/>
      <c r="AK186" s="71"/>
      <c r="AL186" s="71"/>
      <c r="AM186" s="71"/>
      <c r="AN186" s="71"/>
      <c r="AO186" s="71"/>
    </row>
    <row r="187" spans="3:41" customFormat="1" ht="15" customHeight="1" x14ac:dyDescent="0.4">
      <c r="C187" s="71"/>
      <c r="D187" s="71"/>
      <c r="E187" s="71"/>
      <c r="F187" s="71"/>
      <c r="G187" s="71"/>
      <c r="H187" s="71"/>
      <c r="I187" s="71"/>
      <c r="J187" s="71"/>
      <c r="K187" s="71"/>
      <c r="L187" s="71"/>
      <c r="M187" s="71"/>
      <c r="N187" s="71"/>
      <c r="O187" s="71"/>
      <c r="P187" s="175"/>
      <c r="Q187" s="71"/>
      <c r="R187" s="71"/>
      <c r="S187" s="71"/>
      <c r="T187" s="71"/>
      <c r="U187" s="71"/>
      <c r="V187" s="71"/>
      <c r="W187" s="71"/>
      <c r="X187" s="71"/>
      <c r="Y187" s="71"/>
      <c r="Z187" s="71"/>
      <c r="AB187" s="7"/>
      <c r="AC187" s="67"/>
      <c r="AF187" s="185"/>
      <c r="AK187" s="71"/>
      <c r="AL187" s="71"/>
      <c r="AM187" s="71"/>
      <c r="AN187" s="71"/>
      <c r="AO187" s="71"/>
    </row>
    <row r="188" spans="3:41" customFormat="1" ht="15" customHeight="1" x14ac:dyDescent="0.4">
      <c r="C188" s="71"/>
      <c r="D188" s="71"/>
      <c r="E188" s="71"/>
      <c r="F188" s="71"/>
      <c r="G188" s="71"/>
      <c r="H188" s="71"/>
      <c r="I188" s="71"/>
      <c r="J188" s="71"/>
      <c r="K188" s="71"/>
      <c r="L188" s="71"/>
      <c r="M188" s="71"/>
      <c r="N188" s="71"/>
      <c r="O188" s="71"/>
      <c r="P188" s="175"/>
      <c r="Q188" s="71"/>
      <c r="R188" s="71"/>
      <c r="S188" s="71"/>
      <c r="T188" s="71"/>
      <c r="U188" s="71"/>
      <c r="V188" s="71"/>
      <c r="W188" s="71"/>
      <c r="X188" s="71"/>
      <c r="Y188" s="71"/>
      <c r="Z188" s="71"/>
      <c r="AB188" s="7"/>
      <c r="AC188" s="67"/>
      <c r="AF188" s="185"/>
      <c r="AK188" s="71"/>
      <c r="AL188" s="71"/>
      <c r="AM188" s="71"/>
      <c r="AN188" s="71"/>
      <c r="AO188" s="71"/>
    </row>
    <row r="189" spans="3:41" customFormat="1" ht="15" customHeight="1" x14ac:dyDescent="0.4">
      <c r="C189" s="71"/>
      <c r="D189" s="71"/>
      <c r="E189" s="71"/>
      <c r="F189" s="71"/>
      <c r="G189" s="71"/>
      <c r="H189" s="71"/>
      <c r="I189" s="71"/>
      <c r="J189" s="71"/>
      <c r="K189" s="71"/>
      <c r="L189" s="71"/>
      <c r="M189" s="71"/>
      <c r="N189" s="71"/>
      <c r="O189" s="71"/>
      <c r="P189" s="175"/>
      <c r="Q189" s="71"/>
      <c r="R189" s="71"/>
      <c r="S189" s="71"/>
      <c r="T189" s="71"/>
      <c r="U189" s="71"/>
      <c r="V189" s="71"/>
      <c r="W189" s="71"/>
      <c r="X189" s="71"/>
      <c r="Y189" s="71"/>
      <c r="Z189" s="71"/>
      <c r="AB189" s="7"/>
      <c r="AC189" s="67"/>
      <c r="AF189" s="185"/>
      <c r="AK189" s="71"/>
      <c r="AL189" s="71"/>
      <c r="AM189" s="71"/>
      <c r="AN189" s="71"/>
      <c r="AO189" s="71"/>
    </row>
    <row r="190" spans="3:41" customFormat="1" ht="15" customHeight="1" x14ac:dyDescent="0.4">
      <c r="C190" s="71"/>
      <c r="D190" s="71"/>
      <c r="E190" s="71"/>
      <c r="F190" s="71"/>
      <c r="G190" s="71"/>
      <c r="H190" s="71"/>
      <c r="I190" s="71"/>
      <c r="J190" s="71"/>
      <c r="K190" s="71"/>
      <c r="L190" s="71"/>
      <c r="M190" s="71"/>
      <c r="N190" s="71"/>
      <c r="O190" s="71"/>
      <c r="P190" s="175"/>
      <c r="Q190" s="71"/>
      <c r="R190" s="71"/>
      <c r="S190" s="71"/>
      <c r="T190" s="71"/>
      <c r="U190" s="71"/>
      <c r="V190" s="71"/>
      <c r="W190" s="71"/>
      <c r="X190" s="71"/>
      <c r="Y190" s="71"/>
      <c r="Z190" s="71"/>
      <c r="AB190" s="7"/>
      <c r="AC190" s="67"/>
      <c r="AF190" s="185"/>
      <c r="AK190" s="71"/>
      <c r="AL190" s="71"/>
      <c r="AM190" s="71"/>
      <c r="AN190" s="71"/>
      <c r="AO190" s="71"/>
    </row>
    <row r="191" spans="3:41" customFormat="1" ht="15" customHeight="1" x14ac:dyDescent="0.4">
      <c r="C191" s="71"/>
      <c r="D191" s="71"/>
      <c r="E191" s="71"/>
      <c r="F191" s="71"/>
      <c r="G191" s="71"/>
      <c r="H191" s="71"/>
      <c r="I191" s="71"/>
      <c r="J191" s="71"/>
      <c r="K191" s="71"/>
      <c r="L191" s="71"/>
      <c r="M191" s="71"/>
      <c r="N191" s="71"/>
      <c r="O191" s="71"/>
      <c r="P191" s="175"/>
      <c r="Q191" s="71"/>
      <c r="R191" s="71"/>
      <c r="S191" s="71"/>
      <c r="T191" s="71"/>
      <c r="U191" s="71"/>
      <c r="V191" s="71"/>
      <c r="W191" s="71"/>
      <c r="X191" s="71"/>
      <c r="Y191" s="71"/>
      <c r="Z191" s="71"/>
      <c r="AB191" s="7"/>
      <c r="AC191" s="67"/>
      <c r="AF191" s="185"/>
      <c r="AK191" s="71"/>
      <c r="AL191" s="71"/>
      <c r="AM191" s="71"/>
      <c r="AN191" s="71"/>
      <c r="AO191" s="71"/>
    </row>
    <row r="192" spans="3:41" customFormat="1" ht="15" customHeight="1" x14ac:dyDescent="0.4">
      <c r="C192" s="71"/>
      <c r="D192" s="71"/>
      <c r="E192" s="71"/>
      <c r="F192" s="71"/>
      <c r="G192" s="71"/>
      <c r="H192" s="71"/>
      <c r="I192" s="71"/>
      <c r="J192" s="71"/>
      <c r="K192" s="71"/>
      <c r="L192" s="71"/>
      <c r="M192" s="71"/>
      <c r="N192" s="71"/>
      <c r="O192" s="71"/>
      <c r="P192" s="175"/>
      <c r="Q192" s="71"/>
      <c r="R192" s="71"/>
      <c r="S192" s="71"/>
      <c r="T192" s="71"/>
      <c r="U192" s="71"/>
      <c r="V192" s="71"/>
      <c r="W192" s="71"/>
      <c r="X192" s="71"/>
      <c r="Y192" s="71"/>
      <c r="Z192" s="71"/>
      <c r="AB192" s="7"/>
      <c r="AC192" s="67"/>
      <c r="AF192" s="185"/>
      <c r="AK192" s="71"/>
      <c r="AL192" s="71"/>
      <c r="AM192" s="71"/>
      <c r="AN192" s="71"/>
      <c r="AO192" s="71"/>
    </row>
    <row r="193" spans="3:41" customFormat="1" ht="15" customHeight="1" x14ac:dyDescent="0.4">
      <c r="C193" s="71"/>
      <c r="D193" s="71"/>
      <c r="E193" s="71"/>
      <c r="F193" s="71"/>
      <c r="G193" s="71"/>
      <c r="H193" s="71"/>
      <c r="I193" s="71"/>
      <c r="J193" s="71"/>
      <c r="K193" s="71"/>
      <c r="L193" s="71"/>
      <c r="M193" s="71"/>
      <c r="N193" s="71"/>
      <c r="O193" s="71"/>
      <c r="P193" s="175"/>
      <c r="Q193" s="71"/>
      <c r="R193" s="71"/>
      <c r="S193" s="71"/>
      <c r="T193" s="71"/>
      <c r="U193" s="71"/>
      <c r="V193" s="71"/>
      <c r="W193" s="71"/>
      <c r="X193" s="71"/>
      <c r="Y193" s="71"/>
      <c r="Z193" s="71"/>
      <c r="AB193" s="7"/>
      <c r="AC193" s="67"/>
      <c r="AF193" s="185"/>
      <c r="AK193" s="71"/>
      <c r="AL193" s="71"/>
      <c r="AM193" s="71"/>
      <c r="AN193" s="71"/>
      <c r="AO193" s="71"/>
    </row>
    <row r="194" spans="3:41" customFormat="1" ht="15" customHeight="1" x14ac:dyDescent="0.4">
      <c r="C194" s="71"/>
      <c r="D194" s="71"/>
      <c r="E194" s="71"/>
      <c r="F194" s="71"/>
      <c r="G194" s="71"/>
      <c r="H194" s="71"/>
      <c r="I194" s="71"/>
      <c r="J194" s="71"/>
      <c r="K194" s="71"/>
      <c r="L194" s="71"/>
      <c r="M194" s="71"/>
      <c r="N194" s="71"/>
      <c r="O194" s="71"/>
      <c r="P194" s="175"/>
      <c r="Q194" s="71"/>
      <c r="R194" s="71"/>
      <c r="S194" s="71"/>
      <c r="T194" s="71"/>
      <c r="U194" s="71"/>
      <c r="V194" s="71"/>
      <c r="W194" s="71"/>
      <c r="X194" s="71"/>
      <c r="Y194" s="71"/>
      <c r="Z194" s="71"/>
      <c r="AB194" s="7"/>
      <c r="AC194" s="67"/>
      <c r="AF194" s="185"/>
      <c r="AK194" s="71"/>
      <c r="AL194" s="71"/>
      <c r="AM194" s="71"/>
      <c r="AN194" s="71"/>
      <c r="AO194" s="71"/>
    </row>
    <row r="195" spans="3:41" customFormat="1" ht="15" customHeight="1" x14ac:dyDescent="0.4">
      <c r="C195" s="71"/>
      <c r="D195" s="71"/>
      <c r="E195" s="71"/>
      <c r="F195" s="71"/>
      <c r="G195" s="71"/>
      <c r="H195" s="71"/>
      <c r="I195" s="71"/>
      <c r="J195" s="71"/>
      <c r="K195" s="71"/>
      <c r="L195" s="71"/>
      <c r="M195" s="71"/>
      <c r="N195" s="71"/>
      <c r="O195" s="71"/>
      <c r="P195" s="175"/>
      <c r="Q195" s="71"/>
      <c r="R195" s="71"/>
      <c r="S195" s="71"/>
      <c r="T195" s="71"/>
      <c r="U195" s="71"/>
      <c r="V195" s="71"/>
      <c r="W195" s="71"/>
      <c r="X195" s="71"/>
      <c r="Y195" s="71"/>
      <c r="Z195" s="71"/>
      <c r="AB195" s="7"/>
      <c r="AC195" s="67"/>
      <c r="AF195" s="185"/>
      <c r="AK195" s="71"/>
      <c r="AL195" s="71"/>
      <c r="AM195" s="71"/>
      <c r="AN195" s="71"/>
      <c r="AO195" s="71"/>
    </row>
    <row r="196" spans="3:41" customFormat="1" ht="15" customHeight="1" x14ac:dyDescent="0.4">
      <c r="C196" s="71"/>
      <c r="D196" s="71"/>
      <c r="E196" s="71"/>
      <c r="F196" s="71"/>
      <c r="G196" s="71"/>
      <c r="H196" s="71"/>
      <c r="I196" s="71"/>
      <c r="J196" s="71"/>
      <c r="K196" s="71"/>
      <c r="L196" s="71"/>
      <c r="M196" s="71"/>
      <c r="N196" s="71"/>
      <c r="O196" s="71"/>
      <c r="P196" s="175"/>
      <c r="Q196" s="71"/>
      <c r="R196" s="71"/>
      <c r="S196" s="71"/>
      <c r="T196" s="71"/>
      <c r="U196" s="71"/>
      <c r="V196" s="71"/>
      <c r="W196" s="71"/>
      <c r="X196" s="71"/>
      <c r="Y196" s="71"/>
      <c r="Z196" s="71"/>
      <c r="AB196" s="7"/>
      <c r="AC196" s="67"/>
      <c r="AF196" s="185"/>
      <c r="AK196" s="71"/>
      <c r="AL196" s="71"/>
      <c r="AM196" s="71"/>
      <c r="AN196" s="71"/>
      <c r="AO196" s="71"/>
    </row>
    <row r="197" spans="3:41" customFormat="1" ht="15" customHeight="1" x14ac:dyDescent="0.4">
      <c r="C197" s="71"/>
      <c r="D197" s="71"/>
      <c r="E197" s="71"/>
      <c r="F197" s="71"/>
      <c r="G197" s="71"/>
      <c r="H197" s="71"/>
      <c r="I197" s="71"/>
      <c r="J197" s="71"/>
      <c r="K197" s="71"/>
      <c r="L197" s="71"/>
      <c r="M197" s="71"/>
      <c r="N197" s="71"/>
      <c r="O197" s="71"/>
      <c r="P197" s="175"/>
      <c r="Q197" s="71"/>
      <c r="R197" s="71"/>
      <c r="S197" s="71"/>
      <c r="T197" s="71"/>
      <c r="U197" s="71"/>
      <c r="V197" s="71"/>
      <c r="W197" s="71"/>
      <c r="X197" s="71"/>
      <c r="Y197" s="71"/>
      <c r="Z197" s="71"/>
      <c r="AB197" s="7"/>
      <c r="AC197" s="67"/>
      <c r="AF197" s="185"/>
      <c r="AK197" s="71"/>
      <c r="AL197" s="71"/>
      <c r="AM197" s="71"/>
      <c r="AN197" s="71"/>
      <c r="AO197" s="71"/>
    </row>
    <row r="198" spans="3:41" customFormat="1" ht="15" customHeight="1" x14ac:dyDescent="0.4">
      <c r="C198" s="71"/>
      <c r="D198" s="71"/>
      <c r="E198" s="71"/>
      <c r="F198" s="71"/>
      <c r="G198" s="71"/>
      <c r="H198" s="71"/>
      <c r="I198" s="71"/>
      <c r="J198" s="71"/>
      <c r="K198" s="71"/>
      <c r="L198" s="71"/>
      <c r="M198" s="71"/>
      <c r="N198" s="71"/>
      <c r="O198" s="71"/>
      <c r="P198" s="175"/>
      <c r="Q198" s="71"/>
      <c r="R198" s="71"/>
      <c r="S198" s="71"/>
      <c r="T198" s="71"/>
      <c r="U198" s="71"/>
      <c r="V198" s="71"/>
      <c r="W198" s="71"/>
      <c r="X198" s="71"/>
      <c r="Y198" s="71"/>
      <c r="Z198" s="71"/>
      <c r="AB198" s="7"/>
      <c r="AC198" s="67"/>
      <c r="AF198" s="185"/>
      <c r="AK198" s="71"/>
      <c r="AL198" s="71"/>
      <c r="AM198" s="71"/>
      <c r="AN198" s="71"/>
      <c r="AO198" s="71"/>
    </row>
    <row r="199" spans="3:41" customFormat="1" ht="15" customHeight="1" x14ac:dyDescent="0.4">
      <c r="C199" s="71"/>
      <c r="D199" s="71"/>
      <c r="E199" s="71"/>
      <c r="F199" s="71"/>
      <c r="G199" s="71"/>
      <c r="H199" s="71"/>
      <c r="I199" s="71"/>
      <c r="J199" s="71"/>
      <c r="K199" s="71"/>
      <c r="L199" s="71"/>
      <c r="M199" s="71"/>
      <c r="N199" s="71"/>
      <c r="O199" s="71"/>
      <c r="P199" s="175"/>
      <c r="Q199" s="71"/>
      <c r="R199" s="71"/>
      <c r="S199" s="71"/>
      <c r="T199" s="71"/>
      <c r="U199" s="71"/>
      <c r="V199" s="71"/>
      <c r="W199" s="71"/>
      <c r="X199" s="71"/>
      <c r="Y199" s="71"/>
      <c r="Z199" s="71"/>
      <c r="AB199" s="7"/>
      <c r="AC199" s="67"/>
      <c r="AF199" s="185"/>
      <c r="AK199" s="71"/>
      <c r="AL199" s="71"/>
      <c r="AM199" s="71"/>
      <c r="AN199" s="71"/>
      <c r="AO199" s="71"/>
    </row>
    <row r="200" spans="3:41" customFormat="1" ht="15" customHeight="1" x14ac:dyDescent="0.4">
      <c r="C200" s="71"/>
      <c r="D200" s="71"/>
      <c r="E200" s="71"/>
      <c r="F200" s="71"/>
      <c r="G200" s="71"/>
      <c r="H200" s="71"/>
      <c r="I200" s="71"/>
      <c r="J200" s="71"/>
      <c r="K200" s="71"/>
      <c r="L200" s="71"/>
      <c r="M200" s="71"/>
      <c r="N200" s="71"/>
      <c r="O200" s="71"/>
      <c r="P200" s="175"/>
      <c r="Q200" s="71"/>
      <c r="R200" s="71"/>
      <c r="S200" s="71"/>
      <c r="T200" s="71"/>
      <c r="U200" s="71"/>
      <c r="V200" s="71"/>
      <c r="W200" s="71"/>
      <c r="X200" s="71"/>
      <c r="Y200" s="71"/>
      <c r="Z200" s="71"/>
      <c r="AB200" s="7"/>
      <c r="AC200" s="67"/>
      <c r="AF200" s="185"/>
      <c r="AK200" s="71"/>
      <c r="AL200" s="71"/>
      <c r="AM200" s="71"/>
      <c r="AN200" s="71"/>
      <c r="AO200" s="71"/>
    </row>
    <row r="201" spans="3:41" customFormat="1" ht="15" customHeight="1" x14ac:dyDescent="0.4">
      <c r="C201" s="71"/>
      <c r="D201" s="71"/>
      <c r="E201" s="71"/>
      <c r="F201" s="71"/>
      <c r="G201" s="71"/>
      <c r="H201" s="71"/>
      <c r="I201" s="71"/>
      <c r="J201" s="71"/>
      <c r="K201" s="71"/>
      <c r="L201" s="71"/>
      <c r="M201" s="71"/>
      <c r="N201" s="71"/>
      <c r="O201" s="71"/>
      <c r="P201" s="175"/>
      <c r="Q201" s="71"/>
      <c r="R201" s="71"/>
      <c r="S201" s="71"/>
      <c r="T201" s="71"/>
      <c r="U201" s="71"/>
      <c r="V201" s="71"/>
      <c r="W201" s="71"/>
      <c r="X201" s="71"/>
      <c r="Y201" s="71"/>
      <c r="Z201" s="71"/>
      <c r="AB201" s="7"/>
      <c r="AC201" s="67"/>
      <c r="AF201" s="185"/>
      <c r="AK201" s="71"/>
      <c r="AL201" s="71"/>
      <c r="AM201" s="71"/>
      <c r="AN201" s="71"/>
      <c r="AO201" s="71"/>
    </row>
    <row r="202" spans="3:41" customFormat="1" ht="15" customHeight="1" x14ac:dyDescent="0.4">
      <c r="C202" s="71"/>
      <c r="D202" s="71"/>
      <c r="E202" s="71"/>
      <c r="F202" s="71"/>
      <c r="G202" s="71"/>
      <c r="H202" s="71"/>
      <c r="I202" s="71"/>
      <c r="J202" s="71"/>
      <c r="K202" s="71"/>
      <c r="L202" s="71"/>
      <c r="M202" s="71"/>
      <c r="N202" s="71"/>
      <c r="O202" s="71"/>
      <c r="P202" s="175"/>
      <c r="Q202" s="71"/>
      <c r="R202" s="71"/>
      <c r="S202" s="71"/>
      <c r="T202" s="71"/>
      <c r="U202" s="71"/>
      <c r="V202" s="71"/>
      <c r="W202" s="71"/>
      <c r="X202" s="71"/>
      <c r="Y202" s="71"/>
      <c r="Z202" s="71"/>
      <c r="AB202" s="7"/>
      <c r="AC202" s="67"/>
      <c r="AF202" s="185"/>
      <c r="AK202" s="71"/>
      <c r="AL202" s="71"/>
      <c r="AM202" s="71"/>
      <c r="AN202" s="71"/>
      <c r="AO202" s="71"/>
    </row>
    <row r="203" spans="3:41" customFormat="1" ht="15" customHeight="1" x14ac:dyDescent="0.4">
      <c r="C203" s="71"/>
      <c r="D203" s="71"/>
      <c r="E203" s="71"/>
      <c r="F203" s="71"/>
      <c r="G203" s="71"/>
      <c r="H203" s="71"/>
      <c r="I203" s="71"/>
      <c r="J203" s="71"/>
      <c r="K203" s="71"/>
      <c r="L203" s="71"/>
      <c r="M203" s="71"/>
      <c r="N203" s="71"/>
      <c r="O203" s="71"/>
      <c r="P203" s="175"/>
      <c r="Q203" s="71"/>
      <c r="R203" s="71"/>
      <c r="S203" s="71"/>
      <c r="T203" s="81"/>
      <c r="U203" s="81"/>
      <c r="V203" s="81"/>
      <c r="W203" s="81"/>
      <c r="X203" s="81"/>
      <c r="Y203" s="81"/>
      <c r="Z203" s="81"/>
      <c r="AB203" s="7"/>
      <c r="AC203" s="67"/>
      <c r="AF203" s="185"/>
      <c r="AK203" s="71"/>
      <c r="AL203" s="71"/>
      <c r="AM203" s="71"/>
      <c r="AN203" s="71"/>
      <c r="AO203" s="71"/>
    </row>
    <row r="204" spans="3:41" customFormat="1" ht="15" customHeight="1" x14ac:dyDescent="0.4">
      <c r="C204" s="71"/>
      <c r="D204" s="71"/>
      <c r="E204" s="71"/>
      <c r="F204" s="71"/>
      <c r="G204" s="71"/>
      <c r="H204" s="71"/>
      <c r="I204" s="71"/>
      <c r="J204" s="71"/>
      <c r="K204" s="71"/>
      <c r="L204" s="71"/>
      <c r="M204" s="71"/>
      <c r="N204" s="71"/>
      <c r="O204" s="71"/>
      <c r="P204" s="175"/>
      <c r="Q204" s="71"/>
      <c r="R204" s="71"/>
      <c r="S204" s="71"/>
      <c r="T204" s="71"/>
      <c r="U204" s="71"/>
      <c r="V204" s="71"/>
      <c r="W204" s="71"/>
      <c r="X204" s="71"/>
      <c r="Y204" s="71"/>
      <c r="Z204" s="71"/>
      <c r="AB204" s="7"/>
      <c r="AC204" s="67"/>
      <c r="AF204" s="185"/>
      <c r="AK204" s="71"/>
      <c r="AL204" s="71"/>
      <c r="AM204" s="71"/>
      <c r="AN204" s="71"/>
      <c r="AO204" s="71"/>
    </row>
    <row r="205" spans="3:41" customFormat="1" ht="15" customHeight="1" x14ac:dyDescent="0.4">
      <c r="C205" s="71"/>
      <c r="D205" s="71"/>
      <c r="E205" s="71"/>
      <c r="F205" s="71"/>
      <c r="G205" s="71"/>
      <c r="H205" s="71"/>
      <c r="I205" s="71"/>
      <c r="J205" s="71"/>
      <c r="K205" s="71"/>
      <c r="L205" s="71"/>
      <c r="M205" s="71"/>
      <c r="N205" s="71"/>
      <c r="O205" s="71"/>
      <c r="P205" s="175"/>
      <c r="Q205" s="71"/>
      <c r="R205" s="71"/>
      <c r="S205" s="71"/>
      <c r="T205" s="71"/>
      <c r="U205" s="71"/>
      <c r="V205" s="71"/>
      <c r="W205" s="71"/>
      <c r="X205" s="71"/>
      <c r="Y205" s="71"/>
      <c r="Z205" s="71"/>
      <c r="AB205" s="7"/>
      <c r="AC205" s="67"/>
      <c r="AF205" s="185"/>
      <c r="AK205" s="71"/>
      <c r="AL205" s="71"/>
      <c r="AM205" s="71"/>
      <c r="AN205" s="71"/>
      <c r="AO205" s="71"/>
    </row>
    <row r="206" spans="3:41" customFormat="1" ht="15" customHeight="1" x14ac:dyDescent="0.4">
      <c r="C206" s="71"/>
      <c r="D206" s="71"/>
      <c r="E206" s="71"/>
      <c r="F206" s="71"/>
      <c r="G206" s="71"/>
      <c r="H206" s="71"/>
      <c r="I206" s="71"/>
      <c r="J206" s="71"/>
      <c r="K206" s="71"/>
      <c r="L206" s="71"/>
      <c r="M206" s="71"/>
      <c r="N206" s="71"/>
      <c r="O206" s="71"/>
      <c r="P206" s="175"/>
      <c r="Q206" s="71"/>
      <c r="R206" s="71"/>
      <c r="S206" s="71"/>
      <c r="T206" s="71"/>
      <c r="U206" s="71"/>
      <c r="V206" s="71"/>
      <c r="W206" s="71"/>
      <c r="X206" s="71"/>
      <c r="Y206" s="71"/>
      <c r="Z206" s="71"/>
      <c r="AB206" s="7"/>
      <c r="AC206" s="67"/>
      <c r="AF206" s="185"/>
      <c r="AK206" s="71"/>
      <c r="AL206" s="71"/>
      <c r="AM206" s="71"/>
      <c r="AN206" s="71"/>
      <c r="AO206" s="71"/>
    </row>
    <row r="207" spans="3:41" customFormat="1" ht="15" customHeight="1" x14ac:dyDescent="0.4">
      <c r="C207" s="71"/>
      <c r="D207" s="71"/>
      <c r="E207" s="71"/>
      <c r="F207" s="71"/>
      <c r="G207" s="71"/>
      <c r="H207" s="71"/>
      <c r="I207" s="71"/>
      <c r="J207" s="71"/>
      <c r="K207" s="71"/>
      <c r="L207" s="71"/>
      <c r="M207" s="71"/>
      <c r="N207" s="71"/>
      <c r="O207" s="71"/>
      <c r="P207" s="175"/>
      <c r="Q207" s="71"/>
      <c r="R207" s="71"/>
      <c r="S207" s="71"/>
      <c r="T207" s="71"/>
      <c r="U207" s="71"/>
      <c r="V207" s="71"/>
      <c r="W207" s="71"/>
      <c r="X207" s="71"/>
      <c r="Y207" s="71"/>
      <c r="Z207" s="71"/>
      <c r="AB207" s="7"/>
      <c r="AC207" s="67"/>
      <c r="AF207" s="185"/>
      <c r="AK207" s="71"/>
      <c r="AL207" s="71"/>
      <c r="AM207" s="71"/>
      <c r="AN207" s="71"/>
      <c r="AO207" s="71"/>
    </row>
    <row r="208" spans="3:41" customFormat="1" ht="15" customHeight="1" x14ac:dyDescent="0.4">
      <c r="C208" s="71"/>
      <c r="D208" s="71"/>
      <c r="E208" s="71"/>
      <c r="F208" s="71"/>
      <c r="G208" s="71"/>
      <c r="H208" s="71"/>
      <c r="I208" s="71"/>
      <c r="J208" s="71"/>
      <c r="K208" s="71"/>
      <c r="L208" s="71"/>
      <c r="M208" s="71"/>
      <c r="N208" s="71"/>
      <c r="O208" s="71"/>
      <c r="P208" s="175"/>
      <c r="Q208" s="71"/>
      <c r="R208" s="71"/>
      <c r="S208" s="71"/>
      <c r="T208" s="71"/>
      <c r="U208" s="71"/>
      <c r="V208" s="71"/>
      <c r="W208" s="71"/>
      <c r="X208" s="71"/>
      <c r="Y208" s="71"/>
      <c r="Z208" s="71"/>
      <c r="AB208" s="7"/>
      <c r="AC208" s="67"/>
      <c r="AF208" s="185"/>
      <c r="AK208" s="71"/>
      <c r="AL208" s="122"/>
      <c r="AM208" s="71"/>
      <c r="AN208" s="71"/>
      <c r="AO208" s="71"/>
    </row>
    <row r="209" spans="3:41" customFormat="1" ht="15" customHeight="1" x14ac:dyDescent="0.4">
      <c r="C209" s="71"/>
      <c r="D209" s="71"/>
      <c r="E209" s="71"/>
      <c r="F209" s="71"/>
      <c r="G209" s="71"/>
      <c r="H209" s="71"/>
      <c r="I209" s="71"/>
      <c r="J209" s="71"/>
      <c r="K209" s="71"/>
      <c r="L209" s="71"/>
      <c r="M209" s="71"/>
      <c r="N209" s="71"/>
      <c r="O209" s="71"/>
      <c r="P209" s="175"/>
      <c r="Q209" s="71"/>
      <c r="R209" s="71"/>
      <c r="S209" s="71"/>
      <c r="T209" s="71"/>
      <c r="U209" s="71"/>
      <c r="V209" s="71"/>
      <c r="W209" s="71"/>
      <c r="X209" s="71"/>
      <c r="Y209" s="71"/>
      <c r="Z209" s="71"/>
      <c r="AB209" s="7"/>
      <c r="AC209" s="67"/>
      <c r="AF209" s="185"/>
      <c r="AK209" s="71"/>
      <c r="AL209" s="71"/>
      <c r="AM209" s="71"/>
      <c r="AN209" s="71"/>
      <c r="AO209" s="71"/>
    </row>
    <row r="210" spans="3:41" customFormat="1" ht="15" customHeight="1" x14ac:dyDescent="0.4">
      <c r="C210" s="71"/>
      <c r="D210" s="71"/>
      <c r="E210" s="71"/>
      <c r="F210" s="71"/>
      <c r="G210" s="71"/>
      <c r="H210" s="71"/>
      <c r="I210" s="71"/>
      <c r="J210" s="71"/>
      <c r="K210" s="71"/>
      <c r="L210" s="71"/>
      <c r="M210" s="71"/>
      <c r="N210" s="71"/>
      <c r="O210" s="71"/>
      <c r="P210" s="175"/>
      <c r="Q210" s="71"/>
      <c r="R210" s="71"/>
      <c r="S210" s="71"/>
      <c r="T210" s="71"/>
      <c r="U210" s="71"/>
      <c r="V210" s="71"/>
      <c r="W210" s="71"/>
      <c r="X210" s="71"/>
      <c r="Y210" s="71"/>
      <c r="Z210" s="71"/>
      <c r="AB210" s="7"/>
      <c r="AC210" s="67"/>
      <c r="AF210" s="185"/>
      <c r="AK210" s="71"/>
      <c r="AL210" s="71"/>
      <c r="AM210" s="71"/>
      <c r="AN210" s="71"/>
      <c r="AO210" s="71"/>
    </row>
    <row r="211" spans="3:41" customFormat="1" ht="15" customHeight="1" x14ac:dyDescent="0.4">
      <c r="C211" s="71"/>
      <c r="D211" s="71"/>
      <c r="E211" s="71"/>
      <c r="F211" s="71"/>
      <c r="G211" s="71"/>
      <c r="H211" s="71"/>
      <c r="I211" s="71"/>
      <c r="J211" s="71"/>
      <c r="K211" s="71"/>
      <c r="L211" s="71"/>
      <c r="M211" s="71"/>
      <c r="N211" s="71"/>
      <c r="O211" s="71"/>
      <c r="P211" s="175"/>
      <c r="Q211" s="71"/>
      <c r="R211" s="71"/>
      <c r="S211" s="71"/>
      <c r="T211" s="71"/>
      <c r="U211" s="71"/>
      <c r="V211" s="71"/>
      <c r="W211" s="71"/>
      <c r="X211" s="71"/>
      <c r="Y211" s="71"/>
      <c r="Z211" s="71"/>
      <c r="AB211" s="7"/>
      <c r="AC211" s="67"/>
      <c r="AF211" s="185"/>
      <c r="AK211" s="71"/>
      <c r="AL211" s="71"/>
      <c r="AM211" s="71"/>
      <c r="AN211" s="71"/>
      <c r="AO211" s="71"/>
    </row>
    <row r="212" spans="3:41" customFormat="1" ht="15" customHeight="1" x14ac:dyDescent="0.4">
      <c r="C212" s="71"/>
      <c r="D212" s="71"/>
      <c r="E212" s="71"/>
      <c r="F212" s="71"/>
      <c r="G212" s="71"/>
      <c r="H212" s="71"/>
      <c r="I212" s="71"/>
      <c r="J212" s="71"/>
      <c r="K212" s="71"/>
      <c r="L212" s="71"/>
      <c r="M212" s="71"/>
      <c r="N212" s="71"/>
      <c r="O212" s="71"/>
      <c r="P212" s="175"/>
      <c r="Q212" s="71"/>
      <c r="R212" s="71"/>
      <c r="S212" s="71"/>
      <c r="T212" s="71"/>
      <c r="U212" s="71"/>
      <c r="V212" s="71"/>
      <c r="W212" s="71"/>
      <c r="X212" s="71"/>
      <c r="Y212" s="71"/>
      <c r="Z212" s="71"/>
      <c r="AB212" s="7"/>
      <c r="AC212" s="67"/>
      <c r="AF212" s="185"/>
      <c r="AK212" s="71"/>
      <c r="AL212" s="71"/>
      <c r="AM212" s="71"/>
      <c r="AN212" s="71"/>
      <c r="AO212" s="71"/>
    </row>
    <row r="213" spans="3:41" customFormat="1" ht="15" customHeight="1" x14ac:dyDescent="0.4">
      <c r="C213" s="71"/>
      <c r="D213" s="71"/>
      <c r="E213" s="71"/>
      <c r="F213" s="71"/>
      <c r="G213" s="71"/>
      <c r="H213" s="71"/>
      <c r="I213" s="71"/>
      <c r="J213" s="71"/>
      <c r="K213" s="71"/>
      <c r="L213" s="71"/>
      <c r="M213" s="71"/>
      <c r="N213" s="71"/>
      <c r="O213" s="71"/>
      <c r="P213" s="175"/>
      <c r="Q213" s="71"/>
      <c r="R213" s="71"/>
      <c r="S213" s="71"/>
      <c r="T213" s="71"/>
      <c r="U213" s="71"/>
      <c r="V213" s="71"/>
      <c r="W213" s="71"/>
      <c r="X213" s="71"/>
      <c r="Y213" s="71"/>
      <c r="Z213" s="71"/>
      <c r="AB213" s="7"/>
      <c r="AC213" s="67"/>
      <c r="AF213" s="185"/>
      <c r="AK213" s="71"/>
      <c r="AL213" s="71"/>
      <c r="AM213" s="71"/>
      <c r="AN213" s="71"/>
      <c r="AO213" s="71"/>
    </row>
    <row r="214" spans="3:41" customFormat="1" ht="15" customHeight="1" x14ac:dyDescent="0.4">
      <c r="C214" s="71"/>
      <c r="D214" s="71"/>
      <c r="E214" s="71"/>
      <c r="F214" s="71"/>
      <c r="G214" s="71"/>
      <c r="H214" s="71"/>
      <c r="I214" s="71"/>
      <c r="J214" s="71"/>
      <c r="K214" s="71"/>
      <c r="L214" s="71"/>
      <c r="M214" s="71"/>
      <c r="N214" s="71"/>
      <c r="O214" s="71"/>
      <c r="P214" s="175"/>
      <c r="Q214" s="71"/>
      <c r="R214" s="71"/>
      <c r="S214" s="71"/>
      <c r="T214" s="71"/>
      <c r="U214" s="71"/>
      <c r="V214" s="71"/>
      <c r="W214" s="71"/>
      <c r="X214" s="71"/>
      <c r="Y214" s="71"/>
      <c r="Z214" s="71"/>
      <c r="AB214" s="7"/>
      <c r="AC214" s="67"/>
      <c r="AF214" s="185"/>
      <c r="AK214" s="71"/>
      <c r="AL214" s="71"/>
      <c r="AM214" s="71"/>
      <c r="AN214" s="71"/>
      <c r="AO214" s="71"/>
    </row>
    <row r="215" spans="3:41" customFormat="1" ht="15" customHeight="1" x14ac:dyDescent="0.4">
      <c r="C215" s="71"/>
      <c r="D215" s="71"/>
      <c r="E215" s="71"/>
      <c r="F215" s="71"/>
      <c r="G215" s="71"/>
      <c r="H215" s="71"/>
      <c r="I215" s="71"/>
      <c r="J215" s="71"/>
      <c r="K215" s="71"/>
      <c r="L215" s="71"/>
      <c r="M215" s="71"/>
      <c r="N215" s="71"/>
      <c r="O215" s="71"/>
      <c r="P215" s="175"/>
      <c r="Q215" s="71"/>
      <c r="R215" s="71"/>
      <c r="S215" s="71"/>
      <c r="T215" s="71"/>
      <c r="U215" s="71"/>
      <c r="V215" s="71"/>
      <c r="W215" s="71"/>
      <c r="X215" s="71"/>
      <c r="Y215" s="71"/>
      <c r="Z215" s="71"/>
      <c r="AB215" s="7"/>
      <c r="AC215" s="67"/>
      <c r="AF215" s="185"/>
      <c r="AK215" s="71"/>
      <c r="AL215" s="71"/>
      <c r="AM215" s="71"/>
      <c r="AN215" s="71"/>
      <c r="AO215" s="71"/>
    </row>
    <row r="216" spans="3:41" customFormat="1" ht="15" customHeight="1" x14ac:dyDescent="0.4">
      <c r="C216" s="71"/>
      <c r="D216" s="71"/>
      <c r="E216" s="71"/>
      <c r="F216" s="71"/>
      <c r="G216" s="71"/>
      <c r="H216" s="71"/>
      <c r="I216" s="71"/>
      <c r="J216" s="71"/>
      <c r="K216" s="71"/>
      <c r="L216" s="71"/>
      <c r="M216" s="71"/>
      <c r="N216" s="71"/>
      <c r="O216" s="71"/>
      <c r="P216" s="175"/>
      <c r="Q216" s="71"/>
      <c r="R216" s="71"/>
      <c r="S216" s="71"/>
      <c r="T216" s="71"/>
      <c r="U216" s="71"/>
      <c r="V216" s="71"/>
      <c r="W216" s="71"/>
      <c r="X216" s="71"/>
      <c r="Y216" s="71"/>
      <c r="Z216" s="71"/>
      <c r="AB216" s="7"/>
      <c r="AC216" s="67"/>
      <c r="AF216" s="185"/>
      <c r="AK216" s="71"/>
      <c r="AL216" s="71"/>
      <c r="AM216" s="71"/>
      <c r="AN216" s="71"/>
      <c r="AO216" s="71"/>
    </row>
    <row r="217" spans="3:41" customFormat="1" ht="15" customHeight="1" x14ac:dyDescent="0.4">
      <c r="C217" s="71"/>
      <c r="D217" s="71"/>
      <c r="E217" s="71"/>
      <c r="F217" s="71"/>
      <c r="G217" s="71"/>
      <c r="H217" s="71"/>
      <c r="I217" s="71"/>
      <c r="J217" s="71"/>
      <c r="K217" s="71"/>
      <c r="L217" s="71"/>
      <c r="M217" s="71"/>
      <c r="N217" s="71"/>
      <c r="O217" s="71"/>
      <c r="P217" s="175"/>
      <c r="Q217" s="71"/>
      <c r="R217" s="71"/>
      <c r="S217" s="71"/>
      <c r="T217" s="71"/>
      <c r="U217" s="71"/>
      <c r="V217" s="71"/>
      <c r="W217" s="71"/>
      <c r="X217" s="71"/>
      <c r="Y217" s="71"/>
      <c r="Z217" s="71"/>
      <c r="AB217" s="7"/>
      <c r="AC217" s="67"/>
      <c r="AF217" s="185"/>
      <c r="AK217" s="71"/>
      <c r="AL217" s="71"/>
      <c r="AM217" s="71"/>
      <c r="AN217" s="71"/>
      <c r="AO217" s="71"/>
    </row>
    <row r="218" spans="3:41" customFormat="1" ht="15" customHeight="1" x14ac:dyDescent="0.4">
      <c r="C218" s="71"/>
      <c r="D218" s="71"/>
      <c r="E218" s="71"/>
      <c r="F218" s="71"/>
      <c r="G218" s="71"/>
      <c r="H218" s="71"/>
      <c r="I218" s="71"/>
      <c r="J218" s="71"/>
      <c r="K218" s="71"/>
      <c r="L218" s="71"/>
      <c r="M218" s="71"/>
      <c r="N218" s="71"/>
      <c r="O218" s="71"/>
      <c r="P218" s="175"/>
      <c r="Q218" s="71"/>
      <c r="R218" s="71"/>
      <c r="S218" s="71"/>
      <c r="T218" s="71"/>
      <c r="U218" s="71"/>
      <c r="V218" s="71"/>
      <c r="W218" s="71"/>
      <c r="X218" s="71"/>
      <c r="Y218" s="71"/>
      <c r="Z218" s="71"/>
      <c r="AB218" s="7"/>
      <c r="AC218" s="67"/>
      <c r="AF218" s="185"/>
      <c r="AK218" s="71"/>
      <c r="AL218" s="71"/>
      <c r="AM218" s="71"/>
      <c r="AN218" s="71"/>
      <c r="AO218" s="71"/>
    </row>
    <row r="219" spans="3:41" customFormat="1" ht="15" customHeight="1" x14ac:dyDescent="0.4">
      <c r="C219" s="71"/>
      <c r="D219" s="71"/>
      <c r="E219" s="71"/>
      <c r="F219" s="71"/>
      <c r="G219" s="71"/>
      <c r="H219" s="71"/>
      <c r="I219" s="71"/>
      <c r="J219" s="71"/>
      <c r="K219" s="71"/>
      <c r="L219" s="71"/>
      <c r="M219" s="71"/>
      <c r="N219" s="71"/>
      <c r="O219" s="71"/>
      <c r="P219" s="175"/>
      <c r="Q219" s="71"/>
      <c r="R219" s="71"/>
      <c r="S219" s="71"/>
      <c r="T219" s="71"/>
      <c r="U219" s="71"/>
      <c r="V219" s="71"/>
      <c r="W219" s="71"/>
      <c r="X219" s="71"/>
      <c r="Y219" s="71"/>
      <c r="Z219" s="71"/>
      <c r="AB219" s="7"/>
      <c r="AC219" s="67"/>
      <c r="AF219" s="185"/>
      <c r="AK219" s="71"/>
      <c r="AL219" s="71"/>
      <c r="AM219" s="71"/>
      <c r="AN219" s="71"/>
      <c r="AO219" s="71"/>
    </row>
    <row r="220" spans="3:41" customFormat="1" ht="15" customHeight="1" x14ac:dyDescent="0.4">
      <c r="C220" s="71"/>
      <c r="D220" s="71"/>
      <c r="E220" s="71"/>
      <c r="F220" s="71"/>
      <c r="G220" s="71"/>
      <c r="H220" s="71"/>
      <c r="I220" s="71"/>
      <c r="J220" s="71"/>
      <c r="K220" s="71"/>
      <c r="L220" s="71"/>
      <c r="M220" s="71"/>
      <c r="N220" s="71"/>
      <c r="O220" s="71"/>
      <c r="P220" s="175"/>
      <c r="Q220" s="71"/>
      <c r="R220" s="71"/>
      <c r="S220" s="71"/>
      <c r="T220" s="71"/>
      <c r="U220" s="71"/>
      <c r="V220" s="71"/>
      <c r="W220" s="71"/>
      <c r="X220" s="71"/>
      <c r="Y220" s="122"/>
      <c r="Z220" s="122"/>
      <c r="AB220" s="7"/>
      <c r="AC220" s="67"/>
      <c r="AF220" s="185"/>
      <c r="AK220" s="71"/>
      <c r="AL220" s="71"/>
      <c r="AM220" s="71"/>
      <c r="AN220" s="71"/>
      <c r="AO220" s="71"/>
    </row>
    <row r="221" spans="3:41" customFormat="1" ht="15" customHeight="1" x14ac:dyDescent="0.4">
      <c r="C221" s="71"/>
      <c r="D221" s="71"/>
      <c r="E221" s="71"/>
      <c r="F221" s="71"/>
      <c r="G221" s="71"/>
      <c r="H221" s="71"/>
      <c r="I221" s="71"/>
      <c r="J221" s="71"/>
      <c r="K221" s="71"/>
      <c r="L221" s="71"/>
      <c r="M221" s="71"/>
      <c r="N221" s="71"/>
      <c r="O221" s="71"/>
      <c r="P221" s="175"/>
      <c r="Q221" s="71"/>
      <c r="R221" s="71"/>
      <c r="S221" s="71"/>
      <c r="T221" s="71"/>
      <c r="U221" s="71"/>
      <c r="V221" s="71"/>
      <c r="W221" s="71"/>
      <c r="X221" s="71"/>
      <c r="Y221" s="122"/>
      <c r="Z221" s="122"/>
      <c r="AB221" s="7"/>
      <c r="AC221" s="67"/>
      <c r="AF221" s="185"/>
      <c r="AK221" s="71"/>
      <c r="AL221" s="71"/>
      <c r="AM221" s="71"/>
      <c r="AN221" s="71"/>
      <c r="AO221" s="71"/>
    </row>
    <row r="222" spans="3:41" customFormat="1" ht="15" customHeight="1" x14ac:dyDescent="0.4">
      <c r="C222" s="71"/>
      <c r="D222" s="71"/>
      <c r="E222" s="71"/>
      <c r="F222" s="71"/>
      <c r="G222" s="71"/>
      <c r="H222" s="71"/>
      <c r="I222" s="71"/>
      <c r="J222" s="71"/>
      <c r="K222" s="71"/>
      <c r="L222" s="71"/>
      <c r="M222" s="71"/>
      <c r="N222" s="71"/>
      <c r="O222" s="71"/>
      <c r="P222" s="175"/>
      <c r="Q222" s="71"/>
      <c r="R222" s="71"/>
      <c r="S222" s="71"/>
      <c r="T222" s="71"/>
      <c r="U222" s="71"/>
      <c r="V222" s="71"/>
      <c r="W222" s="71"/>
      <c r="X222" s="71"/>
      <c r="Y222" s="71"/>
      <c r="Z222" s="71"/>
      <c r="AB222" s="7"/>
      <c r="AC222" s="67"/>
      <c r="AF222" s="185"/>
      <c r="AK222" s="71"/>
      <c r="AL222" s="71"/>
      <c r="AM222" s="71"/>
      <c r="AN222" s="71"/>
      <c r="AO222" s="71"/>
    </row>
    <row r="223" spans="3:41" customFormat="1" ht="15" customHeight="1" x14ac:dyDescent="0.4">
      <c r="C223" s="71"/>
      <c r="D223" s="71"/>
      <c r="E223" s="71"/>
      <c r="F223" s="71"/>
      <c r="G223" s="71"/>
      <c r="H223" s="71"/>
      <c r="I223" s="71"/>
      <c r="J223" s="71"/>
      <c r="K223" s="71"/>
      <c r="L223" s="71"/>
      <c r="M223" s="71"/>
      <c r="N223" s="71"/>
      <c r="O223" s="71"/>
      <c r="P223" s="175"/>
      <c r="Q223" s="71"/>
      <c r="R223" s="71"/>
      <c r="S223" s="71"/>
      <c r="T223" s="71"/>
      <c r="U223" s="71"/>
      <c r="V223" s="71"/>
      <c r="W223" s="71"/>
      <c r="X223" s="71"/>
      <c r="Y223" s="71"/>
      <c r="Z223" s="71"/>
      <c r="AB223" s="7"/>
      <c r="AC223" s="67"/>
      <c r="AF223" s="185"/>
      <c r="AK223" s="71"/>
      <c r="AL223" s="71"/>
      <c r="AM223" s="71"/>
      <c r="AN223" s="71"/>
      <c r="AO223" s="71"/>
    </row>
    <row r="224" spans="3:41" customFormat="1" ht="15" customHeight="1" x14ac:dyDescent="0.4">
      <c r="C224" s="71"/>
      <c r="D224" s="71"/>
      <c r="E224" s="71"/>
      <c r="F224" s="71"/>
      <c r="G224" s="71"/>
      <c r="H224" s="71"/>
      <c r="I224" s="71"/>
      <c r="J224" s="71"/>
      <c r="K224" s="71"/>
      <c r="L224" s="71"/>
      <c r="M224" s="71"/>
      <c r="N224" s="71"/>
      <c r="O224" s="71"/>
      <c r="P224" s="175"/>
      <c r="Q224" s="71"/>
      <c r="R224" s="71"/>
      <c r="S224" s="71"/>
      <c r="T224" s="71"/>
      <c r="U224" s="71"/>
      <c r="V224" s="71"/>
      <c r="W224" s="71"/>
      <c r="X224" s="71"/>
      <c r="Y224" s="71"/>
      <c r="Z224" s="71"/>
      <c r="AB224" s="7"/>
      <c r="AC224" s="67"/>
      <c r="AF224" s="185"/>
      <c r="AK224" s="71"/>
      <c r="AL224" s="71"/>
      <c r="AM224" s="71"/>
      <c r="AN224" s="71"/>
      <c r="AO224" s="71"/>
    </row>
    <row r="225" spans="3:41" customFormat="1" ht="15" customHeight="1" x14ac:dyDescent="0.4">
      <c r="C225" s="71"/>
      <c r="D225" s="71"/>
      <c r="E225" s="71"/>
      <c r="F225" s="71"/>
      <c r="G225" s="71"/>
      <c r="H225" s="71"/>
      <c r="I225" s="71"/>
      <c r="J225" s="71"/>
      <c r="K225" s="71"/>
      <c r="L225" s="71"/>
      <c r="M225" s="71"/>
      <c r="N225" s="71"/>
      <c r="O225" s="71"/>
      <c r="P225" s="175"/>
      <c r="Q225" s="71"/>
      <c r="R225" s="71"/>
      <c r="S225" s="71"/>
      <c r="T225" s="71"/>
      <c r="U225" s="71"/>
      <c r="V225" s="71"/>
      <c r="W225" s="71"/>
      <c r="X225" s="71"/>
      <c r="Y225" s="71"/>
      <c r="Z225" s="71"/>
      <c r="AB225" s="7"/>
      <c r="AC225" s="67"/>
      <c r="AF225" s="185"/>
      <c r="AK225" s="71"/>
      <c r="AL225" s="71"/>
      <c r="AM225" s="71"/>
      <c r="AN225" s="71"/>
      <c r="AO225" s="71"/>
    </row>
    <row r="226" spans="3:41" customFormat="1" ht="15" customHeight="1" x14ac:dyDescent="0.4">
      <c r="C226" s="71"/>
      <c r="D226" s="71"/>
      <c r="E226" s="71"/>
      <c r="F226" s="71"/>
      <c r="G226" s="71"/>
      <c r="H226" s="71"/>
      <c r="I226" s="71"/>
      <c r="J226" s="71"/>
      <c r="K226" s="71"/>
      <c r="L226" s="71"/>
      <c r="M226" s="71"/>
      <c r="N226" s="71"/>
      <c r="O226" s="71"/>
      <c r="P226" s="175"/>
      <c r="Q226" s="71"/>
      <c r="R226" s="71"/>
      <c r="S226" s="71"/>
      <c r="T226" s="71"/>
      <c r="U226" s="71"/>
      <c r="V226" s="71"/>
      <c r="W226" s="71"/>
      <c r="X226" s="71"/>
      <c r="Y226" s="71"/>
      <c r="Z226" s="71"/>
      <c r="AB226" s="7"/>
      <c r="AC226" s="67"/>
      <c r="AF226" s="185"/>
      <c r="AK226" s="71"/>
      <c r="AL226" s="71"/>
      <c r="AM226" s="71"/>
      <c r="AN226" s="71"/>
      <c r="AO226" s="71"/>
    </row>
    <row r="227" spans="3:41" customFormat="1" ht="15" customHeight="1" x14ac:dyDescent="0.4">
      <c r="C227" s="71"/>
      <c r="D227" s="71"/>
      <c r="E227" s="71"/>
      <c r="F227" s="71"/>
      <c r="G227" s="71"/>
      <c r="H227" s="71"/>
      <c r="I227" s="71"/>
      <c r="J227" s="71"/>
      <c r="K227" s="71"/>
      <c r="L227" s="71"/>
      <c r="M227" s="71"/>
      <c r="N227" s="71"/>
      <c r="O227" s="71"/>
      <c r="P227" s="175"/>
      <c r="Q227" s="71"/>
      <c r="R227" s="71"/>
      <c r="S227" s="71"/>
      <c r="T227" s="71"/>
      <c r="U227" s="71"/>
      <c r="V227" s="71"/>
      <c r="W227" s="71"/>
      <c r="X227" s="71"/>
      <c r="Y227" s="71"/>
      <c r="Z227" s="71"/>
      <c r="AB227" s="7"/>
      <c r="AC227" s="67"/>
      <c r="AF227" s="185"/>
      <c r="AK227" s="71"/>
      <c r="AL227" s="71"/>
      <c r="AM227" s="71"/>
      <c r="AN227" s="71"/>
      <c r="AO227" s="71"/>
    </row>
    <row r="228" spans="3:41" customFormat="1" ht="15" customHeight="1" x14ac:dyDescent="0.4">
      <c r="C228" s="71"/>
      <c r="D228" s="71"/>
      <c r="E228" s="71"/>
      <c r="F228" s="71"/>
      <c r="G228" s="71"/>
      <c r="H228" s="71"/>
      <c r="I228" s="71"/>
      <c r="J228" s="71"/>
      <c r="K228" s="71"/>
      <c r="L228" s="71"/>
      <c r="M228" s="71"/>
      <c r="N228" s="71"/>
      <c r="O228" s="71"/>
      <c r="P228" s="175"/>
      <c r="Q228" s="71"/>
      <c r="R228" s="71"/>
      <c r="S228" s="71"/>
      <c r="T228" s="71"/>
      <c r="U228" s="71"/>
      <c r="V228" s="71"/>
      <c r="W228" s="71"/>
      <c r="X228" s="71"/>
      <c r="Y228" s="71"/>
      <c r="Z228" s="71"/>
      <c r="AB228" s="7"/>
      <c r="AC228" s="67"/>
      <c r="AF228" s="185"/>
      <c r="AK228" s="71"/>
      <c r="AL228" s="71"/>
      <c r="AM228" s="71"/>
      <c r="AN228" s="71"/>
      <c r="AO228" s="71"/>
    </row>
    <row r="229" spans="3:41" customFormat="1" ht="15" customHeight="1" x14ac:dyDescent="0.4">
      <c r="C229" s="71"/>
      <c r="D229" s="71"/>
      <c r="E229" s="71"/>
      <c r="F229" s="71"/>
      <c r="G229" s="71"/>
      <c r="H229" s="71"/>
      <c r="I229" s="71"/>
      <c r="J229" s="71"/>
      <c r="K229" s="71"/>
      <c r="L229" s="71"/>
      <c r="M229" s="71"/>
      <c r="N229" s="71"/>
      <c r="O229" s="71"/>
      <c r="P229" s="175"/>
      <c r="Q229" s="71"/>
      <c r="R229" s="71"/>
      <c r="S229" s="71"/>
      <c r="T229" s="71"/>
      <c r="U229" s="71"/>
      <c r="V229" s="71"/>
      <c r="W229" s="71"/>
      <c r="X229" s="71"/>
      <c r="Y229" s="71"/>
      <c r="Z229" s="71"/>
      <c r="AB229" s="7"/>
      <c r="AC229" s="67"/>
      <c r="AF229" s="185"/>
      <c r="AK229" s="71"/>
      <c r="AL229" s="71"/>
      <c r="AM229" s="71"/>
      <c r="AN229" s="71"/>
      <c r="AO229" s="71"/>
    </row>
    <row r="230" spans="3:41" customFormat="1" ht="15" customHeight="1" x14ac:dyDescent="0.4">
      <c r="C230" s="71"/>
      <c r="D230" s="71"/>
      <c r="E230" s="71"/>
      <c r="F230" s="71"/>
      <c r="G230" s="71"/>
      <c r="H230" s="71"/>
      <c r="I230" s="71"/>
      <c r="J230" s="71"/>
      <c r="K230" s="71"/>
      <c r="L230" s="71"/>
      <c r="M230" s="71"/>
      <c r="N230" s="71"/>
      <c r="O230" s="71"/>
      <c r="P230" s="175"/>
      <c r="Q230" s="71"/>
      <c r="R230" s="71"/>
      <c r="S230" s="71"/>
      <c r="T230" s="71"/>
      <c r="U230" s="71"/>
      <c r="V230" s="71"/>
      <c r="W230" s="71"/>
      <c r="X230" s="71"/>
      <c r="Y230" s="71"/>
      <c r="Z230" s="71"/>
      <c r="AB230" s="7"/>
      <c r="AC230" s="67"/>
      <c r="AF230" s="185"/>
      <c r="AK230" s="71"/>
      <c r="AL230" s="71"/>
      <c r="AM230" s="71"/>
      <c r="AN230" s="71"/>
      <c r="AO230" s="71"/>
    </row>
    <row r="231" spans="3:41" customFormat="1" ht="15" customHeight="1" x14ac:dyDescent="0.4">
      <c r="C231" s="71"/>
      <c r="D231" s="71"/>
      <c r="E231" s="71"/>
      <c r="F231" s="71"/>
      <c r="G231" s="71"/>
      <c r="H231" s="71"/>
      <c r="I231" s="71"/>
      <c r="J231" s="71"/>
      <c r="K231" s="71"/>
      <c r="L231" s="71"/>
      <c r="M231" s="71"/>
      <c r="N231" s="71"/>
      <c r="O231" s="71"/>
      <c r="P231" s="175"/>
      <c r="Q231" s="71"/>
      <c r="R231" s="71"/>
      <c r="S231" s="71"/>
      <c r="T231" s="71"/>
      <c r="U231" s="71"/>
      <c r="V231" s="71"/>
      <c r="W231" s="71"/>
      <c r="X231" s="71"/>
      <c r="Y231" s="71"/>
      <c r="Z231" s="71"/>
      <c r="AB231" s="7"/>
      <c r="AC231" s="67"/>
      <c r="AF231" s="185"/>
      <c r="AK231" s="71"/>
      <c r="AL231" s="71"/>
      <c r="AM231" s="71"/>
      <c r="AN231" s="71"/>
      <c r="AO231" s="71"/>
    </row>
    <row r="232" spans="3:41" customFormat="1" ht="15" customHeight="1" x14ac:dyDescent="0.4">
      <c r="C232" s="71"/>
      <c r="D232" s="71"/>
      <c r="E232" s="71"/>
      <c r="F232" s="71"/>
      <c r="G232" s="71"/>
      <c r="H232" s="71"/>
      <c r="I232" s="71"/>
      <c r="J232" s="71"/>
      <c r="K232" s="71"/>
      <c r="L232" s="71"/>
      <c r="M232" s="71"/>
      <c r="N232" s="71"/>
      <c r="O232" s="71"/>
      <c r="P232" s="175"/>
      <c r="Q232" s="71"/>
      <c r="R232" s="71"/>
      <c r="S232" s="71"/>
      <c r="T232" s="71"/>
      <c r="U232" s="71"/>
      <c r="V232" s="71"/>
      <c r="W232" s="71"/>
      <c r="X232" s="71"/>
      <c r="Y232" s="71"/>
      <c r="Z232" s="71"/>
      <c r="AB232" s="7"/>
      <c r="AC232" s="67"/>
      <c r="AF232" s="185"/>
      <c r="AK232" s="71"/>
      <c r="AL232" s="71"/>
      <c r="AM232" s="71"/>
      <c r="AN232" s="71"/>
      <c r="AO232" s="71"/>
    </row>
    <row r="233" spans="3:41" customFormat="1" ht="15" customHeight="1" x14ac:dyDescent="0.4">
      <c r="C233" s="71"/>
      <c r="D233" s="71"/>
      <c r="E233" s="71"/>
      <c r="F233" s="71"/>
      <c r="G233" s="71"/>
      <c r="H233" s="71"/>
      <c r="I233" s="71"/>
      <c r="J233" s="71"/>
      <c r="K233" s="71"/>
      <c r="L233" s="71"/>
      <c r="M233" s="71"/>
      <c r="N233" s="71"/>
      <c r="O233" s="71"/>
      <c r="P233" s="175"/>
      <c r="Q233" s="71"/>
      <c r="R233" s="71"/>
      <c r="S233" s="71"/>
      <c r="T233" s="71"/>
      <c r="U233" s="71"/>
      <c r="V233" s="71"/>
      <c r="W233" s="71"/>
      <c r="X233" s="71"/>
      <c r="Y233" s="71"/>
      <c r="Z233" s="71"/>
      <c r="AB233" s="7"/>
      <c r="AC233" s="67"/>
      <c r="AF233" s="185"/>
      <c r="AK233" s="71"/>
      <c r="AL233" s="71"/>
      <c r="AM233" s="71"/>
      <c r="AN233" s="71"/>
      <c r="AO233" s="71"/>
    </row>
    <row r="234" spans="3:41" customFormat="1" ht="15" customHeight="1" x14ac:dyDescent="0.4">
      <c r="C234" s="71"/>
      <c r="D234" s="71"/>
      <c r="E234" s="71"/>
      <c r="F234" s="71"/>
      <c r="G234" s="71"/>
      <c r="H234" s="71"/>
      <c r="I234" s="71"/>
      <c r="J234" s="71"/>
      <c r="K234" s="71"/>
      <c r="L234" s="71"/>
      <c r="M234" s="71"/>
      <c r="N234" s="71"/>
      <c r="O234" s="71"/>
      <c r="P234" s="175"/>
      <c r="Q234" s="71"/>
      <c r="R234" s="71"/>
      <c r="S234" s="71"/>
      <c r="T234" s="71"/>
      <c r="U234" s="71"/>
      <c r="V234" s="71"/>
      <c r="W234" s="71"/>
      <c r="X234" s="71"/>
      <c r="Y234" s="71"/>
      <c r="Z234" s="71"/>
      <c r="AB234" s="7"/>
      <c r="AC234" s="67"/>
      <c r="AF234" s="185"/>
      <c r="AK234" s="71"/>
      <c r="AL234" s="71"/>
      <c r="AM234" s="71"/>
      <c r="AN234" s="71"/>
      <c r="AO234" s="71"/>
    </row>
    <row r="235" spans="3:41" customFormat="1" ht="15" customHeight="1" x14ac:dyDescent="0.4">
      <c r="C235" s="71"/>
      <c r="D235" s="71"/>
      <c r="E235" s="71"/>
      <c r="F235" s="71"/>
      <c r="G235" s="71"/>
      <c r="H235" s="71"/>
      <c r="I235" s="71"/>
      <c r="J235" s="71"/>
      <c r="K235" s="71"/>
      <c r="L235" s="71"/>
      <c r="M235" s="71"/>
      <c r="N235" s="71"/>
      <c r="O235" s="71"/>
      <c r="P235" s="175"/>
      <c r="Q235" s="71"/>
      <c r="R235" s="71"/>
      <c r="S235" s="71"/>
      <c r="T235" s="71"/>
      <c r="U235" s="71"/>
      <c r="V235" s="71"/>
      <c r="W235" s="71"/>
      <c r="X235" s="71"/>
      <c r="Y235" s="71"/>
      <c r="Z235" s="71"/>
      <c r="AB235" s="7"/>
      <c r="AC235" s="67"/>
      <c r="AF235" s="185"/>
      <c r="AK235" s="71"/>
      <c r="AL235" s="71"/>
      <c r="AM235" s="71"/>
      <c r="AN235" s="71"/>
      <c r="AO235" s="71"/>
    </row>
    <row r="236" spans="3:41" customFormat="1" ht="15" customHeight="1" x14ac:dyDescent="0.4">
      <c r="C236" s="71"/>
      <c r="D236" s="71"/>
      <c r="E236" s="71"/>
      <c r="F236" s="71"/>
      <c r="G236" s="71"/>
      <c r="H236" s="71"/>
      <c r="I236" s="71"/>
      <c r="J236" s="71"/>
      <c r="K236" s="71"/>
      <c r="L236" s="71"/>
      <c r="M236" s="71"/>
      <c r="N236" s="71"/>
      <c r="O236" s="71"/>
      <c r="P236" s="175"/>
      <c r="Q236" s="71"/>
      <c r="R236" s="71"/>
      <c r="S236" s="71"/>
      <c r="T236" s="71"/>
      <c r="U236" s="71"/>
      <c r="V236" s="71"/>
      <c r="W236" s="71"/>
      <c r="X236" s="71"/>
      <c r="Y236" s="71"/>
      <c r="Z236" s="71"/>
      <c r="AB236" s="7"/>
      <c r="AC236" s="67"/>
      <c r="AF236" s="185"/>
      <c r="AK236" s="71"/>
      <c r="AL236" s="71"/>
      <c r="AM236" s="71"/>
      <c r="AN236" s="71"/>
      <c r="AO236" s="71"/>
    </row>
    <row r="237" spans="3:41" customFormat="1" ht="15" customHeight="1" x14ac:dyDescent="0.4">
      <c r="C237" s="71"/>
      <c r="D237" s="71"/>
      <c r="E237" s="71"/>
      <c r="F237" s="71"/>
      <c r="G237" s="71"/>
      <c r="H237" s="71"/>
      <c r="I237" s="71"/>
      <c r="J237" s="71"/>
      <c r="K237" s="71"/>
      <c r="L237" s="71"/>
      <c r="M237" s="71"/>
      <c r="N237" s="71"/>
      <c r="O237" s="71"/>
      <c r="P237" s="175"/>
      <c r="Q237" s="71"/>
      <c r="R237" s="71"/>
      <c r="S237" s="71"/>
      <c r="T237" s="71"/>
      <c r="U237" s="71"/>
      <c r="V237" s="71"/>
      <c r="W237" s="71"/>
      <c r="X237" s="71"/>
      <c r="Y237" s="71"/>
      <c r="Z237" s="71"/>
      <c r="AB237" s="7"/>
      <c r="AC237" s="67"/>
      <c r="AF237" s="185"/>
      <c r="AK237" s="71"/>
      <c r="AL237" s="71"/>
      <c r="AM237" s="71"/>
      <c r="AN237" s="71"/>
      <c r="AO237" s="71"/>
    </row>
    <row r="238" spans="3:41" customFormat="1" ht="15" customHeight="1" x14ac:dyDescent="0.4">
      <c r="C238" s="71"/>
      <c r="D238" s="71"/>
      <c r="E238" s="71"/>
      <c r="F238" s="71"/>
      <c r="G238" s="71"/>
      <c r="H238" s="71"/>
      <c r="I238" s="71"/>
      <c r="J238" s="71"/>
      <c r="K238" s="71"/>
      <c r="L238" s="71"/>
      <c r="M238" s="71"/>
      <c r="N238" s="71"/>
      <c r="O238" s="71"/>
      <c r="P238" s="175"/>
      <c r="Q238" s="71"/>
      <c r="R238" s="71"/>
      <c r="S238" s="71"/>
      <c r="T238" s="71"/>
      <c r="U238" s="71"/>
      <c r="V238" s="71"/>
      <c r="W238" s="71"/>
      <c r="X238" s="71"/>
      <c r="Y238" s="71"/>
      <c r="Z238" s="71"/>
      <c r="AB238" s="7"/>
      <c r="AC238" s="67"/>
      <c r="AF238" s="185"/>
      <c r="AK238" s="71"/>
      <c r="AL238" s="71"/>
      <c r="AM238" s="71"/>
      <c r="AN238" s="71"/>
      <c r="AO238" s="71"/>
    </row>
    <row r="239" spans="3:41" customFormat="1" ht="15" customHeight="1" x14ac:dyDescent="0.4">
      <c r="C239" s="71"/>
      <c r="D239" s="71"/>
      <c r="E239" s="71"/>
      <c r="F239" s="71"/>
      <c r="G239" s="71"/>
      <c r="H239" s="71"/>
      <c r="I239" s="71"/>
      <c r="J239" s="71"/>
      <c r="K239" s="71"/>
      <c r="L239" s="71"/>
      <c r="M239" s="71"/>
      <c r="N239" s="71"/>
      <c r="O239" s="71"/>
      <c r="P239" s="175"/>
      <c r="Q239" s="71"/>
      <c r="R239" s="71"/>
      <c r="S239" s="71"/>
      <c r="T239" s="71"/>
      <c r="U239" s="71"/>
      <c r="V239" s="71"/>
      <c r="W239" s="71"/>
      <c r="X239" s="71"/>
      <c r="Y239" s="71"/>
      <c r="Z239" s="71"/>
      <c r="AB239" s="7"/>
      <c r="AC239" s="67"/>
      <c r="AF239" s="185"/>
      <c r="AK239" s="71"/>
      <c r="AL239" s="71"/>
      <c r="AM239" s="71"/>
      <c r="AN239" s="71"/>
      <c r="AO239" s="71"/>
    </row>
    <row r="240" spans="3:41" customFormat="1" ht="15" customHeight="1" x14ac:dyDescent="0.4">
      <c r="C240" s="71"/>
      <c r="D240" s="71"/>
      <c r="E240" s="71"/>
      <c r="F240" s="71"/>
      <c r="G240" s="71"/>
      <c r="H240" s="71"/>
      <c r="I240" s="71"/>
      <c r="J240" s="71"/>
      <c r="K240" s="71"/>
      <c r="L240" s="71"/>
      <c r="M240" s="71"/>
      <c r="N240" s="71"/>
      <c r="O240" s="71"/>
      <c r="P240" s="175"/>
      <c r="Q240" s="71"/>
      <c r="R240" s="71"/>
      <c r="S240" s="71"/>
      <c r="T240" s="71"/>
      <c r="U240" s="71"/>
      <c r="V240" s="71"/>
      <c r="W240" s="71"/>
      <c r="X240" s="71"/>
      <c r="Y240" s="71"/>
      <c r="Z240" s="71"/>
      <c r="AB240" s="7"/>
      <c r="AC240" s="67"/>
      <c r="AF240" s="185"/>
      <c r="AK240" s="71"/>
      <c r="AL240" s="71"/>
      <c r="AM240" s="71"/>
      <c r="AN240" s="71"/>
      <c r="AO240" s="71"/>
    </row>
    <row r="241" spans="3:41" customFormat="1" ht="15" customHeight="1" x14ac:dyDescent="0.4">
      <c r="C241" s="71"/>
      <c r="D241" s="71"/>
      <c r="E241" s="71"/>
      <c r="F241" s="71"/>
      <c r="G241" s="71"/>
      <c r="H241" s="71"/>
      <c r="I241" s="71"/>
      <c r="J241" s="71"/>
      <c r="K241" s="71"/>
      <c r="L241" s="71"/>
      <c r="M241" s="71"/>
      <c r="N241" s="71"/>
      <c r="O241" s="71"/>
      <c r="P241" s="175"/>
      <c r="Q241" s="71"/>
      <c r="R241" s="71"/>
      <c r="S241" s="71"/>
      <c r="T241" s="71"/>
      <c r="U241" s="71"/>
      <c r="V241" s="71"/>
      <c r="W241" s="71"/>
      <c r="X241" s="71"/>
      <c r="Y241" s="71"/>
      <c r="Z241" s="71"/>
      <c r="AB241" s="7"/>
      <c r="AC241" s="67"/>
      <c r="AF241" s="185"/>
      <c r="AK241" s="71"/>
      <c r="AL241" s="71"/>
      <c r="AM241" s="71"/>
      <c r="AN241" s="71"/>
      <c r="AO241" s="71"/>
    </row>
    <row r="242" spans="3:41" customFormat="1" ht="15" customHeight="1" x14ac:dyDescent="0.4">
      <c r="C242" s="71"/>
      <c r="D242" s="71"/>
      <c r="E242" s="71"/>
      <c r="F242" s="71"/>
      <c r="G242" s="71"/>
      <c r="H242" s="71"/>
      <c r="I242" s="71"/>
      <c r="J242" s="71"/>
      <c r="K242" s="71"/>
      <c r="L242" s="71"/>
      <c r="M242" s="71"/>
      <c r="N242" s="71"/>
      <c r="O242" s="71"/>
      <c r="P242" s="175"/>
      <c r="Q242" s="71"/>
      <c r="R242" s="71"/>
      <c r="S242" s="71"/>
      <c r="T242" s="71"/>
      <c r="U242" s="71"/>
      <c r="V242" s="71"/>
      <c r="W242" s="71"/>
      <c r="X242" s="71"/>
      <c r="Y242" s="71"/>
      <c r="Z242" s="71"/>
      <c r="AB242" s="7"/>
      <c r="AC242" s="67"/>
      <c r="AF242" s="185"/>
      <c r="AK242" s="71"/>
      <c r="AL242" s="71"/>
      <c r="AM242" s="71"/>
      <c r="AN242" s="71"/>
      <c r="AO242" s="71"/>
    </row>
    <row r="243" spans="3:41" customFormat="1" ht="15" customHeight="1" x14ac:dyDescent="0.4">
      <c r="C243" s="71"/>
      <c r="D243" s="71"/>
      <c r="E243" s="71"/>
      <c r="F243" s="71"/>
      <c r="G243" s="71"/>
      <c r="H243" s="71"/>
      <c r="I243" s="71"/>
      <c r="J243" s="71"/>
      <c r="K243" s="71"/>
      <c r="L243" s="71"/>
      <c r="M243" s="71"/>
      <c r="N243" s="71"/>
      <c r="O243" s="71"/>
      <c r="P243" s="175"/>
      <c r="Q243" s="71"/>
      <c r="R243" s="71"/>
      <c r="S243" s="71"/>
      <c r="T243" s="71"/>
      <c r="U243" s="71"/>
      <c r="V243" s="71"/>
      <c r="W243" s="71"/>
      <c r="X243" s="71"/>
      <c r="Y243" s="71"/>
      <c r="Z243" s="71"/>
      <c r="AB243" s="7"/>
      <c r="AC243" s="67"/>
      <c r="AF243" s="185"/>
      <c r="AK243" s="71"/>
      <c r="AL243" s="71"/>
      <c r="AM243" s="71"/>
      <c r="AN243" s="71"/>
      <c r="AO243" s="71"/>
    </row>
    <row r="244" spans="3:41" customFormat="1" ht="15" customHeight="1" x14ac:dyDescent="0.4">
      <c r="C244" s="71"/>
      <c r="D244" s="71"/>
      <c r="E244" s="71"/>
      <c r="F244" s="71"/>
      <c r="G244" s="71"/>
      <c r="H244" s="71"/>
      <c r="I244" s="71"/>
      <c r="J244" s="71"/>
      <c r="K244" s="71"/>
      <c r="L244" s="71"/>
      <c r="M244" s="71"/>
      <c r="N244" s="71"/>
      <c r="O244" s="71"/>
      <c r="P244" s="175"/>
      <c r="Q244" s="71"/>
      <c r="R244" s="71"/>
      <c r="S244" s="71"/>
      <c r="T244" s="71"/>
      <c r="U244" s="71"/>
      <c r="V244" s="71"/>
      <c r="W244" s="71"/>
      <c r="X244" s="71"/>
      <c r="Y244" s="71"/>
      <c r="Z244" s="71"/>
      <c r="AB244" s="7"/>
      <c r="AC244" s="67"/>
      <c r="AF244" s="185"/>
      <c r="AK244" s="71"/>
      <c r="AL244" s="71"/>
      <c r="AM244" s="71"/>
      <c r="AN244" s="71"/>
      <c r="AO244" s="71"/>
    </row>
    <row r="245" spans="3:41" customFormat="1" ht="15" customHeight="1" x14ac:dyDescent="0.4">
      <c r="C245" s="71"/>
      <c r="D245" s="71"/>
      <c r="E245" s="71"/>
      <c r="F245" s="71"/>
      <c r="G245" s="71"/>
      <c r="H245" s="71"/>
      <c r="I245" s="71"/>
      <c r="J245" s="71"/>
      <c r="K245" s="71"/>
      <c r="L245" s="71"/>
      <c r="M245" s="71"/>
      <c r="N245" s="71"/>
      <c r="O245" s="71"/>
      <c r="P245" s="175"/>
      <c r="Q245" s="71"/>
      <c r="R245" s="71"/>
      <c r="S245" s="71"/>
      <c r="T245" s="71"/>
      <c r="U245" s="71"/>
      <c r="V245" s="71"/>
      <c r="W245" s="71"/>
      <c r="X245" s="71"/>
      <c r="Y245" s="71"/>
      <c r="Z245" s="71"/>
      <c r="AB245" s="7"/>
      <c r="AC245" s="67"/>
      <c r="AF245" s="185"/>
      <c r="AK245" s="71"/>
      <c r="AL245" s="71"/>
      <c r="AM245" s="71"/>
      <c r="AN245" s="71"/>
      <c r="AO245" s="71"/>
    </row>
    <row r="246" spans="3:41" customFormat="1" ht="15" customHeight="1" x14ac:dyDescent="0.4">
      <c r="C246" s="71"/>
      <c r="D246" s="71"/>
      <c r="E246" s="71"/>
      <c r="F246" s="71"/>
      <c r="G246" s="71"/>
      <c r="H246" s="71"/>
      <c r="I246" s="71"/>
      <c r="J246" s="71"/>
      <c r="K246" s="71"/>
      <c r="L246" s="71"/>
      <c r="M246" s="71"/>
      <c r="N246" s="71"/>
      <c r="O246" s="71"/>
      <c r="P246" s="175"/>
      <c r="Q246" s="71"/>
      <c r="R246" s="71"/>
      <c r="S246" s="71"/>
      <c r="T246" s="71"/>
      <c r="U246" s="71"/>
      <c r="V246" s="71"/>
      <c r="W246" s="71"/>
      <c r="X246" s="71"/>
      <c r="Y246" s="71"/>
      <c r="Z246" s="71"/>
      <c r="AB246" s="7"/>
      <c r="AC246" s="67"/>
      <c r="AF246" s="185"/>
      <c r="AK246" s="71"/>
      <c r="AL246" s="71"/>
      <c r="AM246" s="71"/>
      <c r="AN246" s="71"/>
      <c r="AO246" s="71"/>
    </row>
    <row r="247" spans="3:41" customFormat="1" ht="15" customHeight="1" x14ac:dyDescent="0.4">
      <c r="C247" s="71"/>
      <c r="D247" s="71"/>
      <c r="E247" s="71"/>
      <c r="F247" s="71"/>
      <c r="G247" s="71"/>
      <c r="H247" s="71"/>
      <c r="I247" s="71"/>
      <c r="J247" s="71"/>
      <c r="K247" s="71"/>
      <c r="L247" s="71"/>
      <c r="M247" s="71"/>
      <c r="N247" s="71"/>
      <c r="O247" s="71"/>
      <c r="P247" s="175"/>
      <c r="Q247" s="71"/>
      <c r="R247" s="71"/>
      <c r="S247" s="71"/>
      <c r="T247" s="71"/>
      <c r="U247" s="71"/>
      <c r="V247" s="71"/>
      <c r="W247" s="71"/>
      <c r="X247" s="71"/>
      <c r="Y247" s="71"/>
      <c r="Z247" s="71"/>
      <c r="AB247" s="7"/>
      <c r="AC247" s="67"/>
      <c r="AF247" s="185"/>
      <c r="AK247" s="71"/>
      <c r="AL247" s="71"/>
      <c r="AM247" s="71"/>
      <c r="AN247" s="71"/>
      <c r="AO247" s="71"/>
    </row>
    <row r="248" spans="3:41" customFormat="1" ht="15" customHeight="1" x14ac:dyDescent="0.4">
      <c r="C248" s="71"/>
      <c r="D248" s="71"/>
      <c r="E248" s="71"/>
      <c r="F248" s="71"/>
      <c r="G248" s="71"/>
      <c r="H248" s="71"/>
      <c r="I248" s="71"/>
      <c r="J248" s="71"/>
      <c r="K248" s="71"/>
      <c r="L248" s="71"/>
      <c r="M248" s="71"/>
      <c r="N248" s="71"/>
      <c r="O248" s="71"/>
      <c r="P248" s="175"/>
      <c r="Q248" s="71"/>
      <c r="R248" s="71"/>
      <c r="S248" s="71"/>
      <c r="T248" s="71"/>
      <c r="U248" s="71"/>
      <c r="V248" s="71"/>
      <c r="W248" s="71"/>
      <c r="X248" s="71"/>
      <c r="Y248" s="71"/>
      <c r="Z248" s="71"/>
      <c r="AB248" s="7"/>
      <c r="AC248" s="67"/>
      <c r="AF248" s="185"/>
      <c r="AK248" s="71"/>
      <c r="AL248" s="71"/>
      <c r="AM248" s="71"/>
      <c r="AN248" s="71"/>
      <c r="AO248" s="71"/>
    </row>
    <row r="249" spans="3:41" customFormat="1" ht="15" customHeight="1" x14ac:dyDescent="0.4">
      <c r="C249" s="71"/>
      <c r="D249" s="71"/>
      <c r="E249" s="71"/>
      <c r="F249" s="71"/>
      <c r="G249" s="71"/>
      <c r="H249" s="71"/>
      <c r="I249" s="71"/>
      <c r="J249" s="71"/>
      <c r="K249" s="71"/>
      <c r="L249" s="71"/>
      <c r="M249" s="71"/>
      <c r="N249" s="71"/>
      <c r="O249" s="71"/>
      <c r="P249" s="175"/>
      <c r="Q249" s="71"/>
      <c r="R249" s="71"/>
      <c r="S249" s="71"/>
      <c r="T249" s="71"/>
      <c r="U249" s="71"/>
      <c r="V249" s="71"/>
      <c r="W249" s="71"/>
      <c r="X249" s="71"/>
      <c r="Y249" s="71"/>
      <c r="Z249" s="71"/>
      <c r="AB249" s="7"/>
      <c r="AC249" s="67"/>
      <c r="AF249" s="185"/>
      <c r="AK249" s="71"/>
      <c r="AL249" s="71"/>
      <c r="AM249" s="71"/>
      <c r="AN249" s="71"/>
      <c r="AO249" s="71"/>
    </row>
    <row r="250" spans="3:41" customFormat="1" ht="15" customHeight="1" x14ac:dyDescent="0.4">
      <c r="C250" s="71"/>
      <c r="D250" s="71"/>
      <c r="E250" s="71"/>
      <c r="F250" s="71"/>
      <c r="G250" s="71"/>
      <c r="H250" s="71"/>
      <c r="I250" s="71"/>
      <c r="J250" s="71"/>
      <c r="K250" s="71"/>
      <c r="L250" s="71"/>
      <c r="M250" s="71"/>
      <c r="N250" s="71"/>
      <c r="O250" s="71"/>
      <c r="P250" s="175"/>
      <c r="Q250" s="71"/>
      <c r="R250" s="71"/>
      <c r="S250" s="71"/>
      <c r="T250" s="71"/>
      <c r="U250" s="71"/>
      <c r="V250" s="71"/>
      <c r="W250" s="71"/>
      <c r="X250" s="71"/>
      <c r="Y250" s="71"/>
      <c r="Z250" s="71"/>
      <c r="AB250" s="7"/>
      <c r="AC250" s="67"/>
      <c r="AF250" s="185"/>
      <c r="AK250" s="71"/>
      <c r="AL250" s="71"/>
      <c r="AM250" s="71"/>
      <c r="AN250" s="71"/>
      <c r="AO250" s="71"/>
    </row>
    <row r="251" spans="3:41" customFormat="1" ht="15" customHeight="1" x14ac:dyDescent="0.4">
      <c r="C251" s="71"/>
      <c r="D251" s="71"/>
      <c r="E251" s="71"/>
      <c r="F251" s="71"/>
      <c r="G251" s="71"/>
      <c r="H251" s="71"/>
      <c r="I251" s="71"/>
      <c r="J251" s="71"/>
      <c r="K251" s="71"/>
      <c r="L251" s="71"/>
      <c r="M251" s="71"/>
      <c r="N251" s="71"/>
      <c r="O251" s="71"/>
      <c r="P251" s="175"/>
      <c r="Q251" s="71"/>
      <c r="R251" s="71"/>
      <c r="S251" s="71"/>
      <c r="T251" s="71"/>
      <c r="U251" s="71"/>
      <c r="V251" s="71"/>
      <c r="W251" s="71"/>
      <c r="X251" s="71"/>
      <c r="Y251" s="71"/>
      <c r="Z251" s="71"/>
      <c r="AB251" s="7"/>
      <c r="AC251" s="67"/>
      <c r="AF251" s="185"/>
      <c r="AK251" s="71"/>
      <c r="AL251" s="71"/>
      <c r="AM251" s="71"/>
      <c r="AN251" s="71"/>
      <c r="AO251" s="71"/>
    </row>
    <row r="252" spans="3:41" customFormat="1" ht="15" customHeight="1" x14ac:dyDescent="0.4">
      <c r="C252" s="71"/>
      <c r="D252" s="71"/>
      <c r="E252" s="71"/>
      <c r="F252" s="71"/>
      <c r="G252" s="71"/>
      <c r="H252" s="71"/>
      <c r="I252" s="71"/>
      <c r="J252" s="71"/>
      <c r="K252" s="71"/>
      <c r="L252" s="71"/>
      <c r="M252" s="71"/>
      <c r="N252" s="71"/>
      <c r="O252" s="71"/>
      <c r="P252" s="175"/>
      <c r="Q252" s="71"/>
      <c r="R252" s="71"/>
      <c r="S252" s="71"/>
      <c r="T252" s="71"/>
      <c r="U252" s="71"/>
      <c r="V252" s="71"/>
      <c r="W252" s="71"/>
      <c r="X252" s="71"/>
      <c r="Y252" s="71"/>
      <c r="Z252" s="71"/>
      <c r="AB252" s="7"/>
      <c r="AC252" s="67"/>
      <c r="AF252" s="185"/>
      <c r="AK252" s="71"/>
      <c r="AL252" s="71"/>
      <c r="AM252" s="71"/>
      <c r="AN252" s="71"/>
      <c r="AO252" s="71"/>
    </row>
    <row r="253" spans="3:41" customFormat="1" ht="15" customHeight="1" x14ac:dyDescent="0.4">
      <c r="C253" s="71"/>
      <c r="D253" s="71"/>
      <c r="E253" s="71"/>
      <c r="F253" s="71"/>
      <c r="G253" s="71"/>
      <c r="H253" s="71"/>
      <c r="I253" s="71"/>
      <c r="J253" s="71"/>
      <c r="K253" s="71"/>
      <c r="L253" s="71"/>
      <c r="M253" s="71"/>
      <c r="N253" s="71"/>
      <c r="O253" s="71"/>
      <c r="P253" s="175"/>
      <c r="Q253" s="71"/>
      <c r="R253" s="71"/>
      <c r="S253" s="71"/>
      <c r="T253" s="71"/>
      <c r="U253" s="71"/>
      <c r="V253" s="71"/>
      <c r="W253" s="71"/>
      <c r="X253" s="71"/>
      <c r="Y253" s="71"/>
      <c r="Z253" s="71"/>
      <c r="AB253" s="7"/>
      <c r="AC253" s="67"/>
      <c r="AF253" s="185"/>
      <c r="AK253" s="71"/>
      <c r="AL253" s="71"/>
      <c r="AM253" s="71"/>
      <c r="AN253" s="71"/>
      <c r="AO253" s="71"/>
    </row>
    <row r="254" spans="3:41" customFormat="1" ht="15" customHeight="1" x14ac:dyDescent="0.4">
      <c r="C254" s="71"/>
      <c r="D254" s="71"/>
      <c r="E254" s="71"/>
      <c r="F254" s="71"/>
      <c r="G254" s="71"/>
      <c r="H254" s="71"/>
      <c r="I254" s="71"/>
      <c r="J254" s="71"/>
      <c r="K254" s="71"/>
      <c r="L254" s="71"/>
      <c r="M254" s="71"/>
      <c r="N254" s="71"/>
      <c r="O254" s="71"/>
      <c r="P254" s="175"/>
      <c r="Q254" s="71"/>
      <c r="R254" s="71"/>
      <c r="S254" s="71"/>
      <c r="T254" s="71"/>
      <c r="U254" s="71"/>
      <c r="V254" s="71"/>
      <c r="W254" s="71"/>
      <c r="X254" s="71"/>
      <c r="Y254" s="71"/>
      <c r="Z254" s="71"/>
      <c r="AB254" s="7"/>
      <c r="AC254" s="67"/>
      <c r="AF254" s="185"/>
      <c r="AK254" s="71"/>
      <c r="AL254" s="71"/>
      <c r="AM254" s="71"/>
      <c r="AN254" s="71"/>
      <c r="AO254" s="71"/>
    </row>
    <row r="255" spans="3:41" customFormat="1" ht="15" customHeight="1" x14ac:dyDescent="0.4">
      <c r="C255" s="71"/>
      <c r="D255" s="71"/>
      <c r="E255" s="124"/>
      <c r="F255" s="71"/>
      <c r="G255" s="71"/>
      <c r="H255" s="71"/>
      <c r="I255" s="71"/>
      <c r="J255" s="71"/>
      <c r="K255" s="71"/>
      <c r="L255" s="71"/>
      <c r="M255" s="71"/>
      <c r="N255" s="71"/>
      <c r="O255" s="71"/>
      <c r="P255" s="175"/>
      <c r="Q255" s="71"/>
      <c r="R255" s="71"/>
      <c r="S255" s="71"/>
      <c r="T255" s="71"/>
      <c r="U255" s="71"/>
      <c r="V255" s="71"/>
      <c r="W255" s="71"/>
      <c r="X255" s="71"/>
      <c r="Y255" s="71"/>
      <c r="Z255" s="71"/>
      <c r="AB255" s="7"/>
      <c r="AC255" s="67"/>
      <c r="AF255" s="185"/>
      <c r="AK255" s="71"/>
      <c r="AL255" s="71"/>
      <c r="AM255" s="71"/>
      <c r="AN255" s="71"/>
      <c r="AO255" s="71"/>
    </row>
    <row r="256" spans="3:41" customFormat="1" ht="15" customHeight="1" x14ac:dyDescent="0.4">
      <c r="C256" s="71"/>
      <c r="D256" s="71"/>
      <c r="E256" s="71"/>
      <c r="F256" s="71"/>
      <c r="G256" s="71"/>
      <c r="H256" s="71"/>
      <c r="I256" s="71"/>
      <c r="J256" s="71"/>
      <c r="K256" s="71"/>
      <c r="L256" s="71"/>
      <c r="M256" s="71"/>
      <c r="N256" s="71"/>
      <c r="O256" s="71"/>
      <c r="P256" s="175"/>
      <c r="Q256" s="71"/>
      <c r="R256" s="71"/>
      <c r="S256" s="71"/>
      <c r="T256" s="71"/>
      <c r="U256" s="71"/>
      <c r="V256" s="71"/>
      <c r="W256" s="71"/>
      <c r="X256" s="71"/>
      <c r="Y256" s="71"/>
      <c r="Z256" s="71"/>
      <c r="AB256" s="7"/>
      <c r="AC256" s="67"/>
      <c r="AF256" s="185"/>
      <c r="AK256" s="71"/>
      <c r="AL256" s="71"/>
      <c r="AM256" s="71"/>
      <c r="AN256" s="71"/>
      <c r="AO256" s="71"/>
    </row>
    <row r="257" spans="3:41" customFormat="1" ht="15" customHeight="1" x14ac:dyDescent="0.4">
      <c r="C257" s="71"/>
      <c r="D257" s="71"/>
      <c r="E257" s="71"/>
      <c r="F257" s="71"/>
      <c r="G257" s="71"/>
      <c r="H257" s="71"/>
      <c r="I257" s="71"/>
      <c r="J257" s="71"/>
      <c r="K257" s="71"/>
      <c r="L257" s="71"/>
      <c r="M257" s="71"/>
      <c r="N257" s="71"/>
      <c r="O257" s="71"/>
      <c r="P257" s="175"/>
      <c r="Q257" s="71"/>
      <c r="R257" s="71"/>
      <c r="S257" s="71"/>
      <c r="T257" s="71"/>
      <c r="U257" s="71"/>
      <c r="V257" s="71"/>
      <c r="W257" s="71"/>
      <c r="X257" s="71"/>
      <c r="Y257" s="71"/>
      <c r="Z257" s="71"/>
      <c r="AB257" s="7"/>
      <c r="AC257" s="67"/>
      <c r="AF257" s="185"/>
      <c r="AK257" s="71"/>
      <c r="AL257" s="71"/>
      <c r="AM257" s="71"/>
      <c r="AN257" s="71"/>
      <c r="AO257" s="71"/>
    </row>
    <row r="258" spans="3:41" customFormat="1" ht="15" customHeight="1" x14ac:dyDescent="0.4">
      <c r="C258" s="71"/>
      <c r="D258" s="71"/>
      <c r="E258" s="71"/>
      <c r="F258" s="71"/>
      <c r="G258" s="71"/>
      <c r="H258" s="71"/>
      <c r="I258" s="71"/>
      <c r="J258" s="71"/>
      <c r="K258" s="71"/>
      <c r="L258" s="71"/>
      <c r="M258" s="71"/>
      <c r="N258" s="71"/>
      <c r="O258" s="71"/>
      <c r="P258" s="175"/>
      <c r="Q258" s="71"/>
      <c r="R258" s="71"/>
      <c r="S258" s="71"/>
      <c r="T258" s="71"/>
      <c r="U258" s="71"/>
      <c r="V258" s="71"/>
      <c r="W258" s="71"/>
      <c r="X258" s="71"/>
      <c r="Y258" s="71"/>
      <c r="Z258" s="71"/>
      <c r="AB258" s="7"/>
      <c r="AC258" s="67"/>
      <c r="AF258" s="185"/>
      <c r="AK258" s="71"/>
      <c r="AL258" s="71"/>
      <c r="AM258" s="71"/>
      <c r="AN258" s="71"/>
      <c r="AO258" s="71"/>
    </row>
    <row r="259" spans="3:41" customFormat="1" ht="15" customHeight="1" x14ac:dyDescent="0.4">
      <c r="C259" s="71"/>
      <c r="D259" s="71"/>
      <c r="E259" s="71"/>
      <c r="F259" s="71"/>
      <c r="G259" s="71"/>
      <c r="H259" s="71"/>
      <c r="I259" s="71"/>
      <c r="J259" s="71"/>
      <c r="K259" s="71"/>
      <c r="L259" s="71"/>
      <c r="M259" s="71"/>
      <c r="N259" s="71"/>
      <c r="O259" s="71"/>
      <c r="P259" s="175"/>
      <c r="Q259" s="71"/>
      <c r="R259" s="71"/>
      <c r="S259" s="71"/>
      <c r="T259" s="71"/>
      <c r="U259" s="71"/>
      <c r="V259" s="71"/>
      <c r="W259" s="71"/>
      <c r="X259" s="71"/>
      <c r="Y259" s="71"/>
      <c r="Z259" s="71"/>
      <c r="AB259" s="7"/>
      <c r="AC259" s="67"/>
      <c r="AF259" s="185"/>
      <c r="AK259" s="71"/>
      <c r="AL259" s="71"/>
      <c r="AM259" s="71"/>
      <c r="AN259" s="71"/>
      <c r="AO259" s="71"/>
    </row>
    <row r="260" spans="3:41" customFormat="1" ht="15" customHeight="1" x14ac:dyDescent="0.4">
      <c r="C260" s="71"/>
      <c r="D260" s="71"/>
      <c r="E260" s="71"/>
      <c r="F260" s="71"/>
      <c r="G260" s="71"/>
      <c r="H260" s="71"/>
      <c r="I260" s="71"/>
      <c r="J260" s="71"/>
      <c r="K260" s="71"/>
      <c r="L260" s="71"/>
      <c r="M260" s="71"/>
      <c r="N260" s="71"/>
      <c r="O260" s="71"/>
      <c r="P260" s="175"/>
      <c r="Q260" s="71"/>
      <c r="R260" s="71"/>
      <c r="S260" s="71"/>
      <c r="T260" s="71"/>
      <c r="U260" s="71"/>
      <c r="V260" s="71"/>
      <c r="W260" s="71"/>
      <c r="X260" s="71"/>
      <c r="Y260" s="71"/>
      <c r="Z260" s="71"/>
      <c r="AB260" s="7"/>
      <c r="AC260" s="67"/>
      <c r="AF260" s="185"/>
      <c r="AK260" s="71"/>
      <c r="AL260" s="71"/>
      <c r="AM260" s="71"/>
      <c r="AN260" s="71"/>
      <c r="AO260" s="71"/>
    </row>
    <row r="261" spans="3:41" customFormat="1" ht="15" customHeight="1" x14ac:dyDescent="0.4">
      <c r="C261" s="71"/>
      <c r="D261" s="71"/>
      <c r="E261" s="71"/>
      <c r="F261" s="71"/>
      <c r="G261" s="71"/>
      <c r="H261" s="71"/>
      <c r="I261" s="71"/>
      <c r="J261" s="71"/>
      <c r="K261" s="71"/>
      <c r="L261" s="71"/>
      <c r="M261" s="71"/>
      <c r="N261" s="71"/>
      <c r="O261" s="71"/>
      <c r="P261" s="175"/>
      <c r="Q261" s="71"/>
      <c r="R261" s="71"/>
      <c r="S261" s="71"/>
      <c r="T261" s="71"/>
      <c r="U261" s="71"/>
      <c r="V261" s="71"/>
      <c r="W261" s="71"/>
      <c r="X261" s="71"/>
      <c r="Y261" s="71"/>
      <c r="Z261" s="71"/>
      <c r="AB261" s="7"/>
      <c r="AC261" s="67"/>
      <c r="AF261" s="185"/>
      <c r="AK261" s="71"/>
      <c r="AL261" s="71"/>
      <c r="AM261" s="71"/>
      <c r="AN261" s="71"/>
      <c r="AO261" s="71"/>
    </row>
    <row r="262" spans="3:41" customFormat="1" ht="15" customHeight="1" x14ac:dyDescent="0.4">
      <c r="C262" s="71"/>
      <c r="D262" s="71"/>
      <c r="E262" s="71"/>
      <c r="F262" s="71"/>
      <c r="G262" s="71"/>
      <c r="H262" s="71"/>
      <c r="I262" s="71"/>
      <c r="J262" s="71"/>
      <c r="K262" s="71"/>
      <c r="L262" s="71"/>
      <c r="M262" s="71"/>
      <c r="N262" s="71"/>
      <c r="O262" s="71"/>
      <c r="P262" s="175"/>
      <c r="Q262" s="71"/>
      <c r="R262" s="71"/>
      <c r="S262" s="71"/>
      <c r="T262" s="71"/>
      <c r="U262" s="71"/>
      <c r="V262" s="71"/>
      <c r="W262" s="71"/>
      <c r="X262" s="71"/>
      <c r="Y262" s="71"/>
      <c r="Z262" s="71"/>
      <c r="AB262" s="7"/>
      <c r="AC262" s="67"/>
      <c r="AF262" s="185"/>
      <c r="AK262" s="71"/>
      <c r="AL262" s="71"/>
      <c r="AM262" s="71"/>
      <c r="AN262" s="71"/>
      <c r="AO262" s="71"/>
    </row>
    <row r="263" spans="3:41" customFormat="1" ht="15" customHeight="1" x14ac:dyDescent="0.4">
      <c r="C263" s="71"/>
      <c r="D263" s="71"/>
      <c r="E263" s="71"/>
      <c r="F263" s="71"/>
      <c r="G263" s="83"/>
      <c r="H263" s="71"/>
      <c r="I263" s="71"/>
      <c r="J263" s="71"/>
      <c r="K263" s="71"/>
      <c r="L263" s="71"/>
      <c r="M263" s="71"/>
      <c r="N263" s="71"/>
      <c r="O263" s="71"/>
      <c r="P263" s="175"/>
      <c r="Q263" s="71"/>
      <c r="R263" s="71"/>
      <c r="S263" s="71"/>
      <c r="T263" s="71"/>
      <c r="U263" s="71"/>
      <c r="V263" s="71"/>
      <c r="W263" s="71"/>
      <c r="X263" s="71"/>
      <c r="Y263" s="71"/>
      <c r="Z263" s="71"/>
      <c r="AB263" s="7"/>
      <c r="AC263" s="67"/>
      <c r="AF263" s="185"/>
      <c r="AK263" s="71"/>
      <c r="AL263" s="71"/>
      <c r="AM263" s="71"/>
      <c r="AN263" s="71"/>
      <c r="AO263" s="71"/>
    </row>
    <row r="264" spans="3:41" customFormat="1" ht="15" customHeight="1" x14ac:dyDescent="0.4">
      <c r="C264" s="71"/>
      <c r="D264" s="71"/>
      <c r="E264" s="71"/>
      <c r="F264" s="71"/>
      <c r="G264" s="71"/>
      <c r="H264" s="71"/>
      <c r="I264" s="71"/>
      <c r="J264" s="71"/>
      <c r="K264" s="71"/>
      <c r="L264" s="71"/>
      <c r="M264" s="71"/>
      <c r="N264" s="71"/>
      <c r="O264" s="71"/>
      <c r="P264" s="175"/>
      <c r="Q264" s="71"/>
      <c r="R264" s="71"/>
      <c r="S264" s="71"/>
      <c r="T264" s="71"/>
      <c r="U264" s="71"/>
      <c r="V264" s="71"/>
      <c r="W264" s="71"/>
      <c r="X264" s="71"/>
      <c r="Y264" s="71"/>
      <c r="Z264" s="71"/>
      <c r="AB264" s="7"/>
      <c r="AC264" s="67"/>
      <c r="AF264" s="185"/>
      <c r="AK264" s="71"/>
      <c r="AL264" s="71"/>
      <c r="AM264" s="71"/>
      <c r="AN264" s="71"/>
      <c r="AO264" s="71"/>
    </row>
    <row r="265" spans="3:41" customFormat="1" ht="15" customHeight="1" x14ac:dyDescent="0.4">
      <c r="C265" s="71"/>
      <c r="D265" s="71"/>
      <c r="E265" s="71"/>
      <c r="F265" s="71"/>
      <c r="G265" s="71"/>
      <c r="H265" s="71"/>
      <c r="I265" s="71"/>
      <c r="J265" s="71"/>
      <c r="K265" s="71"/>
      <c r="L265" s="71"/>
      <c r="M265" s="71"/>
      <c r="N265" s="71"/>
      <c r="O265" s="71"/>
      <c r="P265" s="175"/>
      <c r="Q265" s="71"/>
      <c r="R265" s="71"/>
      <c r="S265" s="71"/>
      <c r="T265" s="71"/>
      <c r="U265" s="71"/>
      <c r="V265" s="71"/>
      <c r="W265" s="71"/>
      <c r="X265" s="71"/>
      <c r="Y265" s="71"/>
      <c r="Z265" s="71"/>
      <c r="AB265" s="7"/>
      <c r="AC265" s="67"/>
      <c r="AF265" s="185"/>
      <c r="AK265" s="71"/>
      <c r="AL265" s="71"/>
      <c r="AM265" s="71"/>
      <c r="AN265" s="71"/>
      <c r="AO265" s="71"/>
    </row>
    <row r="266" spans="3:41" customFormat="1" ht="15" customHeight="1" x14ac:dyDescent="0.4">
      <c r="C266" s="71"/>
      <c r="D266" s="71"/>
      <c r="E266" s="71"/>
      <c r="F266" s="71"/>
      <c r="G266" s="71"/>
      <c r="H266" s="71"/>
      <c r="I266" s="71"/>
      <c r="J266" s="71"/>
      <c r="K266" s="71"/>
      <c r="L266" s="71"/>
      <c r="M266" s="71"/>
      <c r="N266" s="71"/>
      <c r="O266" s="71"/>
      <c r="P266" s="175"/>
      <c r="Q266" s="71"/>
      <c r="R266" s="71"/>
      <c r="S266" s="71"/>
      <c r="T266" s="71"/>
      <c r="U266" s="71"/>
      <c r="V266" s="71"/>
      <c r="W266" s="71"/>
      <c r="X266" s="71"/>
      <c r="Y266" s="71"/>
      <c r="Z266" s="71"/>
      <c r="AB266" s="7"/>
      <c r="AC266" s="67"/>
      <c r="AF266" s="185"/>
      <c r="AK266" s="71"/>
      <c r="AL266" s="71"/>
      <c r="AM266" s="71"/>
      <c r="AN266" s="71"/>
      <c r="AO266" s="71"/>
    </row>
    <row r="267" spans="3:41" customFormat="1" ht="15" customHeight="1" x14ac:dyDescent="0.4">
      <c r="C267" s="71"/>
      <c r="D267" s="71"/>
      <c r="E267" s="71"/>
      <c r="F267" s="71"/>
      <c r="G267" s="71"/>
      <c r="H267" s="71"/>
      <c r="I267" s="71"/>
      <c r="J267" s="71"/>
      <c r="K267" s="71"/>
      <c r="L267" s="71"/>
      <c r="M267" s="71"/>
      <c r="N267" s="71"/>
      <c r="O267" s="71"/>
      <c r="P267" s="175"/>
      <c r="Q267" s="71"/>
      <c r="R267" s="71"/>
      <c r="S267" s="71"/>
      <c r="T267" s="71"/>
      <c r="U267" s="71"/>
      <c r="V267" s="71"/>
      <c r="W267" s="71"/>
      <c r="X267" s="71"/>
      <c r="Y267" s="71"/>
      <c r="Z267" s="71"/>
      <c r="AB267" s="7"/>
      <c r="AC267" s="67"/>
      <c r="AF267" s="185"/>
      <c r="AK267" s="71"/>
      <c r="AL267" s="71"/>
      <c r="AM267" s="71"/>
      <c r="AN267" s="71"/>
      <c r="AO267" s="71"/>
    </row>
    <row r="268" spans="3:41" customFormat="1" ht="15" customHeight="1" x14ac:dyDescent="0.4">
      <c r="C268" s="71"/>
      <c r="D268" s="71"/>
      <c r="E268" s="71"/>
      <c r="F268" s="71"/>
      <c r="G268" s="71"/>
      <c r="H268" s="71"/>
      <c r="I268" s="71"/>
      <c r="J268" s="71"/>
      <c r="K268" s="71"/>
      <c r="L268" s="71"/>
      <c r="M268" s="71"/>
      <c r="N268" s="71"/>
      <c r="O268" s="71"/>
      <c r="P268" s="175"/>
      <c r="Q268" s="71"/>
      <c r="R268" s="71"/>
      <c r="S268" s="71"/>
      <c r="T268" s="71"/>
      <c r="U268" s="71"/>
      <c r="V268" s="71"/>
      <c r="W268" s="71"/>
      <c r="X268" s="71"/>
      <c r="Y268" s="71"/>
      <c r="Z268" s="71"/>
      <c r="AB268" s="7"/>
      <c r="AC268" s="67"/>
      <c r="AF268" s="185"/>
      <c r="AK268" s="71"/>
      <c r="AL268" s="71"/>
      <c r="AM268" s="71"/>
      <c r="AN268" s="71"/>
      <c r="AO268" s="71"/>
    </row>
    <row r="269" spans="3:41" customFormat="1" ht="15" customHeight="1" x14ac:dyDescent="0.4">
      <c r="C269" s="71"/>
      <c r="D269" s="71"/>
      <c r="E269" s="71"/>
      <c r="F269" s="71"/>
      <c r="G269" s="71"/>
      <c r="H269" s="71"/>
      <c r="I269" s="71"/>
      <c r="J269" s="71"/>
      <c r="K269" s="71"/>
      <c r="L269" s="71"/>
      <c r="M269" s="71"/>
      <c r="N269" s="71"/>
      <c r="O269" s="71"/>
      <c r="P269" s="175"/>
      <c r="Q269" s="71"/>
      <c r="R269" s="71"/>
      <c r="S269" s="71"/>
      <c r="T269" s="71"/>
      <c r="U269" s="71"/>
      <c r="V269" s="71"/>
      <c r="W269" s="71"/>
      <c r="X269" s="71"/>
      <c r="Y269" s="71"/>
      <c r="Z269" s="71"/>
      <c r="AB269" s="7"/>
      <c r="AC269" s="67"/>
      <c r="AF269" s="185"/>
      <c r="AK269" s="71"/>
      <c r="AL269" s="71"/>
      <c r="AM269" s="71"/>
      <c r="AN269" s="71"/>
      <c r="AO269" s="71"/>
    </row>
    <row r="270" spans="3:41" customFormat="1" ht="15" customHeight="1" x14ac:dyDescent="0.4">
      <c r="C270" s="71"/>
      <c r="D270" s="71"/>
      <c r="E270" s="71"/>
      <c r="F270" s="71"/>
      <c r="G270" s="71"/>
      <c r="H270" s="71"/>
      <c r="I270" s="71"/>
      <c r="J270" s="71"/>
      <c r="K270" s="71"/>
      <c r="L270" s="71"/>
      <c r="M270" s="71"/>
      <c r="N270" s="71"/>
      <c r="O270" s="71"/>
      <c r="P270" s="175"/>
      <c r="Q270" s="71"/>
      <c r="R270" s="71"/>
      <c r="S270" s="71"/>
      <c r="T270" s="71"/>
      <c r="U270" s="71"/>
      <c r="V270" s="71"/>
      <c r="W270" s="71"/>
      <c r="X270" s="71"/>
      <c r="Y270" s="71"/>
      <c r="Z270" s="71"/>
      <c r="AB270" s="7"/>
      <c r="AC270" s="67"/>
      <c r="AF270" s="185"/>
      <c r="AK270" s="71"/>
      <c r="AL270" s="71"/>
      <c r="AM270" s="71"/>
      <c r="AN270" s="71"/>
      <c r="AO270" s="71"/>
    </row>
    <row r="271" spans="3:41" customFormat="1" ht="15" customHeight="1" x14ac:dyDescent="0.4">
      <c r="C271" s="71"/>
      <c r="D271" s="71"/>
      <c r="E271" s="71"/>
      <c r="F271" s="71"/>
      <c r="G271" s="71"/>
      <c r="H271" s="71"/>
      <c r="I271" s="71"/>
      <c r="J271" s="71"/>
      <c r="K271" s="71"/>
      <c r="L271" s="71"/>
      <c r="M271" s="71"/>
      <c r="N271" s="71"/>
      <c r="O271" s="71"/>
      <c r="P271" s="175"/>
      <c r="Q271" s="71"/>
      <c r="R271" s="71"/>
      <c r="S271" s="71"/>
      <c r="T271" s="71"/>
      <c r="U271" s="71"/>
      <c r="V271" s="71"/>
      <c r="W271" s="71"/>
      <c r="X271" s="71"/>
      <c r="Y271" s="71"/>
      <c r="Z271" s="71"/>
      <c r="AB271" s="7"/>
      <c r="AC271" s="67"/>
      <c r="AF271" s="185"/>
      <c r="AK271" s="71"/>
      <c r="AL271" s="71"/>
      <c r="AM271" s="71"/>
      <c r="AN271" s="71"/>
      <c r="AO271" s="71"/>
    </row>
    <row r="272" spans="3:41" customFormat="1" ht="15" customHeight="1" x14ac:dyDescent="0.4">
      <c r="C272" s="71"/>
      <c r="D272" s="71"/>
      <c r="E272" s="71"/>
      <c r="F272" s="71"/>
      <c r="G272" s="71"/>
      <c r="H272" s="71"/>
      <c r="I272" s="71"/>
      <c r="J272" s="71"/>
      <c r="K272" s="71"/>
      <c r="L272" s="71"/>
      <c r="M272" s="71"/>
      <c r="N272" s="71"/>
      <c r="O272" s="71"/>
      <c r="P272" s="175"/>
      <c r="Q272" s="71"/>
      <c r="R272" s="71"/>
      <c r="S272" s="71"/>
      <c r="T272" s="71"/>
      <c r="U272" s="71"/>
      <c r="V272" s="71"/>
      <c r="W272" s="71"/>
      <c r="X272" s="71"/>
      <c r="Y272" s="71"/>
      <c r="Z272" s="71"/>
      <c r="AB272" s="7"/>
      <c r="AC272" s="67"/>
      <c r="AF272" s="185"/>
      <c r="AK272" s="71"/>
      <c r="AL272" s="71"/>
      <c r="AM272" s="71"/>
      <c r="AN272" s="71"/>
      <c r="AO272" s="71"/>
    </row>
    <row r="273" spans="3:41" customFormat="1" ht="15" customHeight="1" x14ac:dyDescent="0.4">
      <c r="C273" s="71"/>
      <c r="D273" s="71"/>
      <c r="E273" s="71"/>
      <c r="F273" s="71"/>
      <c r="G273" s="71"/>
      <c r="H273" s="71"/>
      <c r="I273" s="71"/>
      <c r="J273" s="71"/>
      <c r="K273" s="71"/>
      <c r="L273" s="71"/>
      <c r="M273" s="71"/>
      <c r="N273" s="71"/>
      <c r="O273" s="71"/>
      <c r="P273" s="175"/>
      <c r="Q273" s="71"/>
      <c r="R273" s="71"/>
      <c r="S273" s="71"/>
      <c r="T273" s="71"/>
      <c r="U273" s="71"/>
      <c r="V273" s="71"/>
      <c r="W273" s="71"/>
      <c r="X273" s="71"/>
      <c r="Y273" s="71"/>
      <c r="Z273" s="71"/>
      <c r="AB273" s="7"/>
      <c r="AC273" s="67"/>
      <c r="AF273" s="185"/>
      <c r="AK273" s="71"/>
      <c r="AL273" s="71"/>
      <c r="AM273" s="71"/>
      <c r="AN273" s="71"/>
      <c r="AO273" s="71"/>
    </row>
    <row r="274" spans="3:41" customFormat="1" ht="15" customHeight="1" x14ac:dyDescent="0.4">
      <c r="C274" s="71"/>
      <c r="D274" s="71"/>
      <c r="E274" s="71"/>
      <c r="F274" s="71"/>
      <c r="G274" s="83"/>
      <c r="H274" s="71"/>
      <c r="I274" s="71"/>
      <c r="J274" s="71"/>
      <c r="K274" s="71"/>
      <c r="L274" s="71"/>
      <c r="M274" s="71"/>
      <c r="N274" s="71"/>
      <c r="O274" s="71"/>
      <c r="P274" s="175"/>
      <c r="Q274" s="71"/>
      <c r="R274" s="71"/>
      <c r="S274" s="71"/>
      <c r="T274" s="71"/>
      <c r="U274" s="71"/>
      <c r="V274" s="71"/>
      <c r="W274" s="71"/>
      <c r="X274" s="71"/>
      <c r="Y274" s="71"/>
      <c r="Z274" s="71"/>
      <c r="AB274" s="7"/>
      <c r="AC274" s="67"/>
      <c r="AF274" s="185"/>
      <c r="AK274" s="71"/>
      <c r="AL274" s="71"/>
      <c r="AM274" s="71"/>
      <c r="AN274" s="71"/>
      <c r="AO274" s="71"/>
    </row>
    <row r="275" spans="3:41" customFormat="1" ht="15" customHeight="1" x14ac:dyDescent="0.4">
      <c r="C275" s="71"/>
      <c r="D275" s="71"/>
      <c r="E275" s="71"/>
      <c r="F275" s="71"/>
      <c r="G275" s="71"/>
      <c r="H275" s="71"/>
      <c r="I275" s="71"/>
      <c r="J275" s="71"/>
      <c r="K275" s="71"/>
      <c r="L275" s="71"/>
      <c r="M275" s="71"/>
      <c r="N275" s="71"/>
      <c r="O275" s="71"/>
      <c r="P275" s="175"/>
      <c r="Q275" s="71"/>
      <c r="R275" s="71"/>
      <c r="S275" s="71"/>
      <c r="T275" s="71"/>
      <c r="U275" s="71"/>
      <c r="V275" s="71"/>
      <c r="W275" s="71"/>
      <c r="X275" s="71"/>
      <c r="Y275" s="71"/>
      <c r="Z275" s="71"/>
      <c r="AB275" s="7"/>
      <c r="AC275" s="67"/>
      <c r="AF275" s="185"/>
      <c r="AK275" s="71"/>
      <c r="AL275" s="71"/>
      <c r="AM275" s="71"/>
      <c r="AN275" s="71"/>
      <c r="AO275" s="71"/>
    </row>
    <row r="276" spans="3:41" customFormat="1" ht="15" customHeight="1" x14ac:dyDescent="0.4">
      <c r="C276" s="71"/>
      <c r="D276" s="71"/>
      <c r="E276" s="71"/>
      <c r="F276" s="71"/>
      <c r="G276" s="71"/>
      <c r="H276" s="71"/>
      <c r="I276" s="71"/>
      <c r="J276" s="71"/>
      <c r="K276" s="71"/>
      <c r="L276" s="71"/>
      <c r="M276" s="71"/>
      <c r="N276" s="71"/>
      <c r="O276" s="71"/>
      <c r="P276" s="175"/>
      <c r="Q276" s="71"/>
      <c r="R276" s="71"/>
      <c r="S276" s="71"/>
      <c r="T276" s="71"/>
      <c r="U276" s="71"/>
      <c r="V276" s="71"/>
      <c r="W276" s="71"/>
      <c r="X276" s="71"/>
      <c r="Y276" s="71"/>
      <c r="Z276" s="71"/>
      <c r="AB276" s="7"/>
      <c r="AC276" s="67"/>
      <c r="AF276" s="185"/>
      <c r="AK276" s="71"/>
      <c r="AL276" s="71"/>
      <c r="AM276" s="71"/>
      <c r="AN276" s="71"/>
      <c r="AO276" s="71"/>
    </row>
    <row r="277" spans="3:41" customFormat="1" ht="15" customHeight="1" x14ac:dyDescent="0.4">
      <c r="C277" s="71"/>
      <c r="D277" s="71"/>
      <c r="E277" s="71"/>
      <c r="F277" s="71"/>
      <c r="G277" s="71"/>
      <c r="H277" s="71"/>
      <c r="I277" s="71"/>
      <c r="J277" s="71"/>
      <c r="K277" s="71"/>
      <c r="L277" s="71"/>
      <c r="M277" s="71"/>
      <c r="N277" s="71"/>
      <c r="O277" s="71"/>
      <c r="P277" s="175"/>
      <c r="Q277" s="71"/>
      <c r="R277" s="71"/>
      <c r="S277" s="71"/>
      <c r="T277" s="71"/>
      <c r="U277" s="71"/>
      <c r="V277" s="71"/>
      <c r="W277" s="71"/>
      <c r="X277" s="71"/>
      <c r="Y277" s="71"/>
      <c r="Z277" s="71"/>
      <c r="AB277" s="7"/>
      <c r="AC277" s="67"/>
      <c r="AF277" s="185"/>
      <c r="AK277" s="71"/>
      <c r="AL277" s="71"/>
      <c r="AM277" s="71"/>
      <c r="AN277" s="71"/>
      <c r="AO277" s="71"/>
    </row>
    <row r="278" spans="3:41" customFormat="1" ht="15" customHeight="1" x14ac:dyDescent="0.4">
      <c r="C278" s="71"/>
      <c r="D278" s="71"/>
      <c r="E278" s="71"/>
      <c r="F278" s="71"/>
      <c r="G278" s="71"/>
      <c r="H278" s="71"/>
      <c r="I278" s="71"/>
      <c r="J278" s="71"/>
      <c r="K278" s="71"/>
      <c r="L278" s="71"/>
      <c r="M278" s="71"/>
      <c r="N278" s="71"/>
      <c r="O278" s="71"/>
      <c r="P278" s="175"/>
      <c r="Q278" s="71"/>
      <c r="R278" s="71"/>
      <c r="S278" s="71"/>
      <c r="T278" s="71"/>
      <c r="U278" s="71"/>
      <c r="V278" s="71"/>
      <c r="W278" s="71"/>
      <c r="X278" s="71"/>
      <c r="Y278" s="71"/>
      <c r="Z278" s="71"/>
      <c r="AB278" s="7"/>
      <c r="AC278" s="67"/>
      <c r="AF278" s="185"/>
      <c r="AK278" s="71"/>
      <c r="AL278" s="71"/>
      <c r="AM278" s="71"/>
      <c r="AN278" s="71"/>
      <c r="AO278" s="71"/>
    </row>
    <row r="279" spans="3:41" customFormat="1" ht="15" customHeight="1" x14ac:dyDescent="0.4">
      <c r="C279" s="71"/>
      <c r="D279" s="71"/>
      <c r="E279" s="71"/>
      <c r="F279" s="71"/>
      <c r="G279" s="71"/>
      <c r="H279" s="71"/>
      <c r="I279" s="71"/>
      <c r="J279" s="71"/>
      <c r="K279" s="71"/>
      <c r="L279" s="71"/>
      <c r="M279" s="71"/>
      <c r="N279" s="71"/>
      <c r="O279" s="71"/>
      <c r="P279" s="175"/>
      <c r="Q279" s="71"/>
      <c r="R279" s="71"/>
      <c r="S279" s="71"/>
      <c r="T279" s="71"/>
      <c r="U279" s="71"/>
      <c r="V279" s="71"/>
      <c r="W279" s="71"/>
      <c r="X279" s="71"/>
      <c r="Y279" s="71"/>
      <c r="Z279" s="71"/>
      <c r="AB279" s="7"/>
      <c r="AC279" s="67"/>
      <c r="AF279" s="185"/>
      <c r="AK279" s="71"/>
      <c r="AL279" s="71"/>
      <c r="AM279" s="71"/>
      <c r="AN279" s="71"/>
      <c r="AO279" s="71"/>
    </row>
    <row r="280" spans="3:41" customFormat="1" ht="15" customHeight="1" x14ac:dyDescent="0.4">
      <c r="C280" s="71"/>
      <c r="D280" s="71"/>
      <c r="E280" s="71"/>
      <c r="F280" s="71"/>
      <c r="G280" s="83"/>
      <c r="H280" s="71"/>
      <c r="I280" s="71"/>
      <c r="J280" s="71"/>
      <c r="K280" s="71"/>
      <c r="L280" s="71"/>
      <c r="M280" s="71"/>
      <c r="N280" s="71"/>
      <c r="O280" s="71"/>
      <c r="P280" s="175"/>
      <c r="Q280" s="71"/>
      <c r="R280" s="71"/>
      <c r="S280" s="71"/>
      <c r="T280" s="71"/>
      <c r="U280" s="71"/>
      <c r="V280" s="71"/>
      <c r="W280" s="71"/>
      <c r="X280" s="71"/>
      <c r="Y280" s="71"/>
      <c r="Z280" s="71"/>
      <c r="AB280" s="7"/>
      <c r="AC280" s="67"/>
      <c r="AF280" s="185"/>
      <c r="AK280" s="71"/>
      <c r="AL280" s="71"/>
      <c r="AM280" s="71"/>
      <c r="AN280" s="71"/>
      <c r="AO280" s="71"/>
    </row>
    <row r="281" spans="3:41" customFormat="1" ht="15" customHeight="1" x14ac:dyDescent="0.4">
      <c r="C281" s="71"/>
      <c r="D281" s="71"/>
      <c r="E281" s="71"/>
      <c r="F281" s="71"/>
      <c r="G281" s="71"/>
      <c r="H281" s="71"/>
      <c r="I281" s="71"/>
      <c r="J281" s="71"/>
      <c r="K281" s="71"/>
      <c r="L281" s="71"/>
      <c r="M281" s="71"/>
      <c r="N281" s="71"/>
      <c r="O281" s="71"/>
      <c r="P281" s="175"/>
      <c r="Q281" s="71"/>
      <c r="R281" s="71"/>
      <c r="S281" s="71"/>
      <c r="T281" s="71"/>
      <c r="U281" s="71"/>
      <c r="V281" s="71"/>
      <c r="W281" s="71"/>
      <c r="X281" s="71"/>
      <c r="Y281" s="71"/>
      <c r="Z281" s="71"/>
      <c r="AB281" s="7"/>
      <c r="AC281" s="67"/>
      <c r="AF281" s="185"/>
      <c r="AK281" s="71"/>
      <c r="AL281" s="71"/>
      <c r="AM281" s="71"/>
      <c r="AN281" s="71"/>
      <c r="AO281" s="71"/>
    </row>
    <row r="282" spans="3:41" customFormat="1" ht="15" customHeight="1" x14ac:dyDescent="0.4">
      <c r="C282" s="71"/>
      <c r="D282" s="71"/>
      <c r="E282" s="71"/>
      <c r="F282" s="71"/>
      <c r="G282" s="71"/>
      <c r="H282" s="71"/>
      <c r="I282" s="71"/>
      <c r="J282" s="71"/>
      <c r="K282" s="71"/>
      <c r="L282" s="71"/>
      <c r="M282" s="71"/>
      <c r="N282" s="71"/>
      <c r="O282" s="71"/>
      <c r="P282" s="175"/>
      <c r="Q282" s="71"/>
      <c r="R282" s="71"/>
      <c r="S282" s="71"/>
      <c r="T282" s="71"/>
      <c r="U282" s="71"/>
      <c r="V282" s="71"/>
      <c r="W282" s="71"/>
      <c r="X282" s="71"/>
      <c r="Y282" s="71"/>
      <c r="Z282" s="71"/>
      <c r="AB282" s="7"/>
      <c r="AC282" s="67"/>
      <c r="AF282" s="185"/>
      <c r="AK282" s="71"/>
      <c r="AL282" s="71"/>
      <c r="AM282" s="71"/>
      <c r="AN282" s="71"/>
      <c r="AO282" s="71"/>
    </row>
    <row r="283" spans="3:41" customFormat="1" ht="15" customHeight="1" x14ac:dyDescent="0.4">
      <c r="C283" s="71"/>
      <c r="D283" s="71"/>
      <c r="E283" s="71"/>
      <c r="F283" s="71"/>
      <c r="G283" s="71"/>
      <c r="H283" s="71"/>
      <c r="I283" s="71"/>
      <c r="J283" s="71"/>
      <c r="K283" s="71"/>
      <c r="L283" s="71"/>
      <c r="M283" s="71"/>
      <c r="N283" s="71"/>
      <c r="O283" s="71"/>
      <c r="P283" s="175"/>
      <c r="Q283" s="71"/>
      <c r="R283" s="71"/>
      <c r="S283" s="71"/>
      <c r="T283" s="71"/>
      <c r="U283" s="71"/>
      <c r="V283" s="71"/>
      <c r="W283" s="71"/>
      <c r="X283" s="71"/>
      <c r="Y283" s="71"/>
      <c r="Z283" s="71"/>
      <c r="AB283" s="7"/>
      <c r="AC283" s="67"/>
      <c r="AF283" s="185"/>
      <c r="AK283" s="71"/>
      <c r="AL283" s="71"/>
      <c r="AM283" s="71"/>
      <c r="AN283" s="71"/>
      <c r="AO283" s="71"/>
    </row>
    <row r="284" spans="3:41" customFormat="1" ht="15" customHeight="1" x14ac:dyDescent="0.4">
      <c r="C284" s="71"/>
      <c r="D284" s="71"/>
      <c r="E284" s="71"/>
      <c r="F284" s="71"/>
      <c r="G284" s="71"/>
      <c r="H284" s="71"/>
      <c r="I284" s="71"/>
      <c r="J284" s="71"/>
      <c r="K284" s="71"/>
      <c r="L284" s="71"/>
      <c r="M284" s="71"/>
      <c r="N284" s="71"/>
      <c r="O284" s="71"/>
      <c r="P284" s="175"/>
      <c r="Q284" s="71"/>
      <c r="R284" s="71"/>
      <c r="S284" s="71"/>
      <c r="T284" s="71"/>
      <c r="U284" s="71"/>
      <c r="V284" s="71"/>
      <c r="W284" s="71"/>
      <c r="X284" s="71"/>
      <c r="Y284" s="71"/>
      <c r="Z284" s="71"/>
      <c r="AB284" s="7"/>
      <c r="AC284" s="67"/>
      <c r="AF284" s="185"/>
      <c r="AK284" s="71"/>
      <c r="AL284" s="71"/>
      <c r="AM284" s="71"/>
      <c r="AN284" s="71"/>
      <c r="AO284" s="71"/>
    </row>
    <row r="285" spans="3:41" customFormat="1" ht="15" customHeight="1" x14ac:dyDescent="0.4">
      <c r="C285" s="71"/>
      <c r="D285" s="71"/>
      <c r="E285" s="71"/>
      <c r="F285" s="71"/>
      <c r="G285" s="83"/>
      <c r="H285" s="71"/>
      <c r="I285" s="71"/>
      <c r="J285" s="71"/>
      <c r="K285" s="71"/>
      <c r="L285" s="71"/>
      <c r="M285" s="71"/>
      <c r="N285" s="71"/>
      <c r="O285" s="71"/>
      <c r="P285" s="175"/>
      <c r="Q285" s="71"/>
      <c r="R285" s="71"/>
      <c r="S285" s="71"/>
      <c r="T285" s="71"/>
      <c r="U285" s="71"/>
      <c r="V285" s="71"/>
      <c r="W285" s="71"/>
      <c r="X285" s="71"/>
      <c r="Y285" s="71"/>
      <c r="Z285" s="71"/>
      <c r="AB285" s="7"/>
      <c r="AC285" s="67"/>
      <c r="AF285" s="185"/>
      <c r="AK285" s="71"/>
      <c r="AL285" s="71"/>
      <c r="AM285" s="71"/>
      <c r="AN285" s="71"/>
      <c r="AO285" s="71"/>
    </row>
    <row r="286" spans="3:41" customFormat="1" ht="15" customHeight="1" x14ac:dyDescent="0.4">
      <c r="C286" s="71"/>
      <c r="D286" s="71"/>
      <c r="E286" s="71"/>
      <c r="F286" s="71"/>
      <c r="G286" s="71"/>
      <c r="H286" s="71"/>
      <c r="I286" s="71"/>
      <c r="J286" s="71"/>
      <c r="K286" s="71"/>
      <c r="L286" s="71"/>
      <c r="M286" s="71"/>
      <c r="N286" s="71"/>
      <c r="O286" s="71"/>
      <c r="P286" s="175"/>
      <c r="Q286" s="71"/>
      <c r="R286" s="71"/>
      <c r="S286" s="71"/>
      <c r="T286" s="71"/>
      <c r="U286" s="71"/>
      <c r="V286" s="71"/>
      <c r="W286" s="71"/>
      <c r="X286" s="71"/>
      <c r="Y286" s="71"/>
      <c r="Z286" s="71"/>
      <c r="AB286" s="7"/>
      <c r="AC286" s="67"/>
      <c r="AF286" s="185"/>
      <c r="AK286" s="71"/>
      <c r="AL286" s="71"/>
      <c r="AM286" s="71"/>
      <c r="AN286" s="71"/>
      <c r="AO286" s="71"/>
    </row>
    <row r="287" spans="3:41" customFormat="1" ht="15" customHeight="1" x14ac:dyDescent="0.4">
      <c r="C287" s="71"/>
      <c r="D287" s="71"/>
      <c r="E287" s="71"/>
      <c r="F287" s="71"/>
      <c r="G287" s="71"/>
      <c r="H287" s="71"/>
      <c r="I287" s="71"/>
      <c r="J287" s="71"/>
      <c r="K287" s="71"/>
      <c r="L287" s="71"/>
      <c r="M287" s="71"/>
      <c r="N287" s="71"/>
      <c r="O287" s="71"/>
      <c r="P287" s="175"/>
      <c r="Q287" s="71"/>
      <c r="R287" s="71"/>
      <c r="S287" s="71"/>
      <c r="T287" s="71"/>
      <c r="U287" s="71"/>
      <c r="V287" s="71"/>
      <c r="W287" s="71"/>
      <c r="X287" s="71"/>
      <c r="Y287" s="71"/>
      <c r="Z287" s="71"/>
      <c r="AB287" s="7"/>
      <c r="AC287" s="67"/>
      <c r="AF287" s="185"/>
      <c r="AK287" s="71"/>
      <c r="AL287" s="71"/>
      <c r="AM287" s="71"/>
      <c r="AN287" s="71"/>
      <c r="AO287" s="71"/>
    </row>
    <row r="288" spans="3:41" customFormat="1" ht="15" customHeight="1" x14ac:dyDescent="0.4">
      <c r="C288" s="71"/>
      <c r="D288" s="71"/>
      <c r="E288" s="71"/>
      <c r="F288" s="71"/>
      <c r="G288" s="71"/>
      <c r="H288" s="71"/>
      <c r="I288" s="71"/>
      <c r="J288" s="71"/>
      <c r="K288" s="71"/>
      <c r="L288" s="71"/>
      <c r="M288" s="71"/>
      <c r="N288" s="71"/>
      <c r="O288" s="71"/>
      <c r="P288" s="175"/>
      <c r="Q288" s="71"/>
      <c r="R288" s="71"/>
      <c r="S288" s="71"/>
      <c r="T288" s="71"/>
      <c r="U288" s="71"/>
      <c r="V288" s="71"/>
      <c r="W288" s="71"/>
      <c r="X288" s="71"/>
      <c r="Y288" s="71"/>
      <c r="Z288" s="71"/>
      <c r="AB288" s="7"/>
      <c r="AC288" s="67"/>
      <c r="AF288" s="185"/>
      <c r="AK288" s="71"/>
      <c r="AL288" s="71"/>
      <c r="AM288" s="71"/>
      <c r="AN288" s="71"/>
      <c r="AO288" s="71"/>
    </row>
    <row r="289" spans="3:41" customFormat="1" ht="15" customHeight="1" x14ac:dyDescent="0.4">
      <c r="C289" s="71"/>
      <c r="D289" s="71"/>
      <c r="E289" s="71"/>
      <c r="F289" s="71"/>
      <c r="G289" s="71"/>
      <c r="H289" s="71"/>
      <c r="I289" s="71"/>
      <c r="J289" s="71"/>
      <c r="K289" s="71"/>
      <c r="L289" s="71"/>
      <c r="M289" s="71"/>
      <c r="N289" s="71"/>
      <c r="O289" s="71"/>
      <c r="P289" s="175"/>
      <c r="Q289" s="71"/>
      <c r="R289" s="71"/>
      <c r="S289" s="71"/>
      <c r="T289" s="71"/>
      <c r="U289" s="71"/>
      <c r="V289" s="71"/>
      <c r="W289" s="71"/>
      <c r="X289" s="71"/>
      <c r="Y289" s="71"/>
      <c r="Z289" s="71"/>
      <c r="AB289" s="7"/>
      <c r="AC289" s="67"/>
      <c r="AF289" s="185"/>
      <c r="AK289" s="71"/>
      <c r="AL289" s="71"/>
      <c r="AM289" s="71"/>
      <c r="AN289" s="71"/>
      <c r="AO289" s="71"/>
    </row>
    <row r="290" spans="3:41" customFormat="1" ht="15" customHeight="1" x14ac:dyDescent="0.4">
      <c r="C290" s="71"/>
      <c r="D290" s="71"/>
      <c r="E290" s="71"/>
      <c r="F290" s="71"/>
      <c r="G290" s="71"/>
      <c r="H290" s="71"/>
      <c r="I290" s="71"/>
      <c r="J290" s="71"/>
      <c r="K290" s="71"/>
      <c r="L290" s="71"/>
      <c r="M290" s="71"/>
      <c r="N290" s="71"/>
      <c r="O290" s="71"/>
      <c r="P290" s="175"/>
      <c r="Q290" s="71"/>
      <c r="R290" s="71"/>
      <c r="S290" s="71"/>
      <c r="T290" s="71"/>
      <c r="U290" s="71"/>
      <c r="V290" s="71"/>
      <c r="W290" s="71"/>
      <c r="X290" s="71"/>
      <c r="Y290" s="71"/>
      <c r="Z290" s="71"/>
      <c r="AB290" s="7"/>
      <c r="AC290" s="67"/>
      <c r="AF290" s="185"/>
      <c r="AK290" s="71"/>
      <c r="AL290" s="71"/>
      <c r="AM290" s="71"/>
      <c r="AN290" s="71"/>
      <c r="AO290" s="71"/>
    </row>
    <row r="291" spans="3:41" customFormat="1" ht="15" customHeight="1" x14ac:dyDescent="0.4">
      <c r="C291" s="71"/>
      <c r="D291" s="71"/>
      <c r="E291" s="71"/>
      <c r="F291" s="71"/>
      <c r="G291" s="71"/>
      <c r="H291" s="71"/>
      <c r="I291" s="71"/>
      <c r="J291" s="71"/>
      <c r="K291" s="71"/>
      <c r="L291" s="71"/>
      <c r="M291" s="71"/>
      <c r="N291" s="71"/>
      <c r="O291" s="71"/>
      <c r="P291" s="175"/>
      <c r="Q291" s="71"/>
      <c r="R291" s="71"/>
      <c r="S291" s="71"/>
      <c r="T291" s="71"/>
      <c r="U291" s="71"/>
      <c r="V291" s="71"/>
      <c r="W291" s="71"/>
      <c r="X291" s="71"/>
      <c r="Y291" s="71"/>
      <c r="Z291" s="71"/>
      <c r="AB291" s="7"/>
      <c r="AC291" s="67"/>
      <c r="AF291" s="185"/>
      <c r="AK291" s="71"/>
      <c r="AL291" s="71"/>
      <c r="AM291" s="71"/>
      <c r="AN291" s="71"/>
      <c r="AO291" s="71"/>
    </row>
    <row r="292" spans="3:41" customFormat="1" ht="15" customHeight="1" x14ac:dyDescent="0.4">
      <c r="C292" s="71"/>
      <c r="D292" s="71"/>
      <c r="E292" s="71"/>
      <c r="F292" s="71"/>
      <c r="G292" s="83"/>
      <c r="H292" s="71"/>
      <c r="I292" s="71"/>
      <c r="J292" s="71"/>
      <c r="K292" s="71"/>
      <c r="L292" s="71"/>
      <c r="M292" s="71"/>
      <c r="N292" s="71"/>
      <c r="O292" s="71"/>
      <c r="P292" s="175"/>
      <c r="Q292" s="71"/>
      <c r="R292" s="71"/>
      <c r="S292" s="71"/>
      <c r="T292" s="71"/>
      <c r="U292" s="71"/>
      <c r="V292" s="71"/>
      <c r="W292" s="71"/>
      <c r="X292" s="71"/>
      <c r="Y292" s="71"/>
      <c r="Z292" s="71"/>
      <c r="AB292" s="7"/>
      <c r="AC292" s="67"/>
      <c r="AF292" s="185"/>
      <c r="AK292" s="71"/>
      <c r="AL292" s="71"/>
      <c r="AM292" s="71"/>
      <c r="AN292" s="71"/>
      <c r="AO292" s="71"/>
    </row>
    <row r="293" spans="3:41" customFormat="1" ht="15" customHeight="1" x14ac:dyDescent="0.4">
      <c r="C293" s="71"/>
      <c r="D293" s="71"/>
      <c r="E293" s="71"/>
      <c r="F293" s="71"/>
      <c r="G293" s="83"/>
      <c r="H293" s="71"/>
      <c r="I293" s="71"/>
      <c r="J293" s="71"/>
      <c r="K293" s="71"/>
      <c r="L293" s="71"/>
      <c r="M293" s="71"/>
      <c r="N293" s="71"/>
      <c r="O293" s="71"/>
      <c r="P293" s="175"/>
      <c r="Q293" s="71"/>
      <c r="R293" s="71"/>
      <c r="S293" s="71"/>
      <c r="T293" s="71"/>
      <c r="U293" s="71"/>
      <c r="V293" s="71"/>
      <c r="W293" s="71"/>
      <c r="X293" s="71"/>
      <c r="Y293" s="71"/>
      <c r="Z293" s="71"/>
      <c r="AB293" s="7"/>
      <c r="AC293" s="67"/>
      <c r="AF293" s="185"/>
      <c r="AK293" s="71"/>
      <c r="AL293" s="71"/>
      <c r="AM293" s="71"/>
      <c r="AN293" s="71"/>
      <c r="AO293" s="71"/>
    </row>
    <row r="294" spans="3:41" customFormat="1" ht="15" customHeight="1" x14ac:dyDescent="0.4">
      <c r="C294" s="71"/>
      <c r="D294" s="71"/>
      <c r="E294" s="71"/>
      <c r="F294" s="71"/>
      <c r="G294" s="71"/>
      <c r="H294" s="71"/>
      <c r="I294" s="71"/>
      <c r="J294" s="71"/>
      <c r="K294" s="71"/>
      <c r="L294" s="71"/>
      <c r="M294" s="71"/>
      <c r="N294" s="71"/>
      <c r="O294" s="71"/>
      <c r="P294" s="175"/>
      <c r="Q294" s="71"/>
      <c r="R294" s="71"/>
      <c r="S294" s="71"/>
      <c r="T294" s="71"/>
      <c r="U294" s="71"/>
      <c r="V294" s="71"/>
      <c r="W294" s="71"/>
      <c r="X294" s="71"/>
      <c r="Y294" s="71"/>
      <c r="Z294" s="71"/>
      <c r="AB294" s="7"/>
      <c r="AC294" s="67"/>
      <c r="AF294" s="185"/>
      <c r="AK294" s="71"/>
      <c r="AL294" s="71"/>
      <c r="AM294" s="71"/>
      <c r="AN294" s="71"/>
      <c r="AO294" s="71"/>
    </row>
    <row r="295" spans="3:41" customFormat="1" ht="15" customHeight="1" x14ac:dyDescent="0.4">
      <c r="C295" s="71"/>
      <c r="D295" s="71"/>
      <c r="E295" s="71"/>
      <c r="F295" s="71"/>
      <c r="G295" s="71"/>
      <c r="H295" s="71"/>
      <c r="I295" s="71"/>
      <c r="J295" s="71"/>
      <c r="K295" s="71"/>
      <c r="L295" s="71"/>
      <c r="M295" s="71"/>
      <c r="N295" s="71"/>
      <c r="O295" s="71"/>
      <c r="P295" s="175"/>
      <c r="Q295" s="71"/>
      <c r="R295" s="71"/>
      <c r="S295" s="71"/>
      <c r="T295" s="71"/>
      <c r="U295" s="71"/>
      <c r="V295" s="71"/>
      <c r="W295" s="71"/>
      <c r="X295" s="71"/>
      <c r="Y295" s="71"/>
      <c r="Z295" s="71"/>
      <c r="AB295" s="7"/>
      <c r="AC295" s="67"/>
      <c r="AF295" s="185"/>
      <c r="AK295" s="71"/>
      <c r="AL295" s="71"/>
      <c r="AM295" s="71"/>
      <c r="AN295" s="71"/>
      <c r="AO295" s="71"/>
    </row>
    <row r="296" spans="3:41" customFormat="1" ht="15" customHeight="1" x14ac:dyDescent="0.4">
      <c r="C296" s="71"/>
      <c r="D296" s="71"/>
      <c r="E296" s="71"/>
      <c r="F296" s="71"/>
      <c r="G296" s="71"/>
      <c r="H296" s="71"/>
      <c r="I296" s="71"/>
      <c r="J296" s="71"/>
      <c r="K296" s="71"/>
      <c r="L296" s="71"/>
      <c r="M296" s="71"/>
      <c r="N296" s="71"/>
      <c r="O296" s="71"/>
      <c r="P296" s="175"/>
      <c r="Q296" s="71"/>
      <c r="R296" s="71"/>
      <c r="S296" s="71"/>
      <c r="T296" s="71"/>
      <c r="U296" s="71"/>
      <c r="V296" s="71"/>
      <c r="W296" s="71"/>
      <c r="X296" s="71"/>
      <c r="Y296" s="71"/>
      <c r="Z296" s="71"/>
      <c r="AB296" s="7"/>
      <c r="AC296" s="67"/>
      <c r="AF296" s="185"/>
      <c r="AK296" s="71"/>
      <c r="AL296" s="71"/>
      <c r="AM296" s="71"/>
      <c r="AN296" s="71"/>
      <c r="AO296" s="71"/>
    </row>
    <row r="297" spans="3:41" customFormat="1" ht="15" customHeight="1" x14ac:dyDescent="0.4">
      <c r="C297" s="71"/>
      <c r="D297" s="71"/>
      <c r="E297" s="71"/>
      <c r="F297" s="71"/>
      <c r="G297" s="83"/>
      <c r="H297" s="71"/>
      <c r="I297" s="71"/>
      <c r="J297" s="71"/>
      <c r="K297" s="71"/>
      <c r="L297" s="71"/>
      <c r="M297" s="71"/>
      <c r="N297" s="71"/>
      <c r="O297" s="71"/>
      <c r="P297" s="175"/>
      <c r="Q297" s="71"/>
      <c r="R297" s="71"/>
      <c r="S297" s="71"/>
      <c r="T297" s="71"/>
      <c r="U297" s="71"/>
      <c r="V297" s="71"/>
      <c r="W297" s="71"/>
      <c r="X297" s="71"/>
      <c r="Y297" s="71"/>
      <c r="Z297" s="71"/>
      <c r="AB297" s="7"/>
      <c r="AC297" s="67"/>
      <c r="AF297" s="185"/>
      <c r="AK297" s="71"/>
      <c r="AL297" s="71"/>
      <c r="AM297" s="71"/>
      <c r="AN297" s="71"/>
      <c r="AO297" s="71"/>
    </row>
    <row r="298" spans="3:41" customFormat="1" ht="15" customHeight="1" x14ac:dyDescent="0.4">
      <c r="C298" s="71"/>
      <c r="D298" s="71"/>
      <c r="E298" s="71"/>
      <c r="F298" s="71"/>
      <c r="G298" s="83"/>
      <c r="H298" s="71"/>
      <c r="I298" s="71"/>
      <c r="J298" s="71"/>
      <c r="K298" s="71"/>
      <c r="L298" s="71"/>
      <c r="M298" s="71"/>
      <c r="N298" s="71"/>
      <c r="O298" s="71"/>
      <c r="P298" s="175"/>
      <c r="Q298" s="71"/>
      <c r="R298" s="71"/>
      <c r="S298" s="71"/>
      <c r="T298" s="71"/>
      <c r="U298" s="71"/>
      <c r="V298" s="71"/>
      <c r="W298" s="71"/>
      <c r="X298" s="71"/>
      <c r="Y298" s="71"/>
      <c r="Z298" s="71"/>
      <c r="AB298" s="7"/>
      <c r="AC298" s="67"/>
      <c r="AF298" s="185"/>
      <c r="AK298" s="71"/>
      <c r="AL298" s="71"/>
      <c r="AM298" s="71"/>
      <c r="AN298" s="71"/>
      <c r="AO298" s="71"/>
    </row>
    <row r="299" spans="3:41" customFormat="1" ht="15" customHeight="1" x14ac:dyDescent="0.4">
      <c r="C299" s="71"/>
      <c r="D299" s="71"/>
      <c r="E299" s="71"/>
      <c r="F299" s="71"/>
      <c r="G299" s="71"/>
      <c r="H299" s="71"/>
      <c r="I299" s="71"/>
      <c r="J299" s="71"/>
      <c r="K299" s="71"/>
      <c r="L299" s="71"/>
      <c r="M299" s="71"/>
      <c r="N299" s="71"/>
      <c r="O299" s="71"/>
      <c r="P299" s="175"/>
      <c r="Q299" s="71"/>
      <c r="R299" s="71"/>
      <c r="S299" s="71"/>
      <c r="T299" s="71"/>
      <c r="U299" s="71"/>
      <c r="V299" s="71"/>
      <c r="W299" s="71"/>
      <c r="X299" s="71"/>
      <c r="Y299" s="71"/>
      <c r="Z299" s="71"/>
      <c r="AB299" s="7"/>
      <c r="AC299" s="67"/>
      <c r="AF299" s="185"/>
      <c r="AK299" s="71"/>
      <c r="AL299" s="71"/>
      <c r="AM299" s="71"/>
      <c r="AN299" s="71"/>
      <c r="AO299" s="71"/>
    </row>
    <row r="300" spans="3:41" customFormat="1" ht="15" customHeight="1" x14ac:dyDescent="0.4">
      <c r="C300" s="71"/>
      <c r="D300" s="71"/>
      <c r="E300" s="71"/>
      <c r="F300" s="71"/>
      <c r="G300" s="71"/>
      <c r="H300" s="71"/>
      <c r="I300" s="71"/>
      <c r="J300" s="71"/>
      <c r="K300" s="71"/>
      <c r="L300" s="71"/>
      <c r="M300" s="71"/>
      <c r="N300" s="71"/>
      <c r="O300" s="71"/>
      <c r="P300" s="175"/>
      <c r="Q300" s="71"/>
      <c r="R300" s="71"/>
      <c r="S300" s="71"/>
      <c r="T300" s="71"/>
      <c r="U300" s="71"/>
      <c r="V300" s="71"/>
      <c r="W300" s="71"/>
      <c r="X300" s="71"/>
      <c r="Y300" s="71"/>
      <c r="Z300" s="71"/>
      <c r="AB300" s="7"/>
      <c r="AC300" s="67"/>
      <c r="AF300" s="185"/>
      <c r="AK300" s="71"/>
      <c r="AL300" s="71"/>
      <c r="AM300" s="71"/>
      <c r="AN300" s="71"/>
      <c r="AO300" s="71"/>
    </row>
    <row r="301" spans="3:41" customFormat="1" ht="15" customHeight="1" x14ac:dyDescent="0.4">
      <c r="C301" s="71"/>
      <c r="D301" s="71"/>
      <c r="E301" s="71"/>
      <c r="F301" s="71"/>
      <c r="G301" s="71"/>
      <c r="H301" s="71"/>
      <c r="I301" s="71"/>
      <c r="J301" s="71"/>
      <c r="K301" s="71"/>
      <c r="L301" s="71"/>
      <c r="M301" s="71"/>
      <c r="N301" s="71"/>
      <c r="O301" s="71"/>
      <c r="P301" s="175"/>
      <c r="Q301" s="71"/>
      <c r="R301" s="71"/>
      <c r="S301" s="71"/>
      <c r="T301" s="71"/>
      <c r="U301" s="71"/>
      <c r="V301" s="71"/>
      <c r="W301" s="71"/>
      <c r="X301" s="71"/>
      <c r="Y301" s="71"/>
      <c r="Z301" s="71"/>
      <c r="AB301" s="7"/>
      <c r="AC301" s="67"/>
      <c r="AF301" s="185"/>
      <c r="AK301" s="71"/>
      <c r="AL301" s="71"/>
      <c r="AM301" s="71"/>
      <c r="AN301" s="71"/>
      <c r="AO301" s="71"/>
    </row>
    <row r="302" spans="3:41" customFormat="1" ht="15" customHeight="1" x14ac:dyDescent="0.4">
      <c r="C302" s="71"/>
      <c r="D302" s="71"/>
      <c r="E302" s="71"/>
      <c r="F302" s="71"/>
      <c r="G302" s="71"/>
      <c r="H302" s="71"/>
      <c r="I302" s="71"/>
      <c r="J302" s="71"/>
      <c r="K302" s="71"/>
      <c r="L302" s="71"/>
      <c r="M302" s="71"/>
      <c r="N302" s="71"/>
      <c r="O302" s="71"/>
      <c r="P302" s="175"/>
      <c r="Q302" s="71"/>
      <c r="R302" s="71"/>
      <c r="S302" s="71"/>
      <c r="T302" s="71"/>
      <c r="U302" s="71"/>
      <c r="V302" s="71"/>
      <c r="W302" s="71"/>
      <c r="X302" s="71"/>
      <c r="Y302" s="71"/>
      <c r="Z302" s="71"/>
      <c r="AB302" s="7"/>
      <c r="AC302" s="67"/>
      <c r="AF302" s="185"/>
      <c r="AK302" s="71"/>
      <c r="AL302" s="71"/>
      <c r="AM302" s="71"/>
      <c r="AN302" s="71"/>
      <c r="AO302" s="71"/>
    </row>
    <row r="303" spans="3:41" customFormat="1" ht="15" customHeight="1" x14ac:dyDescent="0.4">
      <c r="C303" s="71"/>
      <c r="D303" s="71"/>
      <c r="E303" s="71"/>
      <c r="F303" s="71"/>
      <c r="G303" s="71"/>
      <c r="H303" s="71"/>
      <c r="I303" s="71"/>
      <c r="J303" s="71"/>
      <c r="K303" s="71"/>
      <c r="L303" s="71"/>
      <c r="M303" s="71"/>
      <c r="N303" s="71"/>
      <c r="O303" s="71"/>
      <c r="P303" s="175"/>
      <c r="Q303" s="71"/>
      <c r="R303" s="71"/>
      <c r="S303" s="71"/>
      <c r="T303" s="71"/>
      <c r="U303" s="71"/>
      <c r="V303" s="71"/>
      <c r="W303" s="71"/>
      <c r="X303" s="71"/>
      <c r="Y303" s="71"/>
      <c r="Z303" s="71"/>
      <c r="AB303" s="7"/>
      <c r="AC303" s="67"/>
      <c r="AF303" s="185"/>
      <c r="AK303" s="71"/>
      <c r="AL303" s="71"/>
      <c r="AM303" s="71"/>
      <c r="AN303" s="71"/>
      <c r="AO303" s="71"/>
    </row>
    <row r="304" spans="3:41" customFormat="1" ht="15" customHeight="1" x14ac:dyDescent="0.4">
      <c r="C304" s="71"/>
      <c r="D304" s="71"/>
      <c r="E304" s="71"/>
      <c r="F304" s="71"/>
      <c r="G304" s="71"/>
      <c r="H304" s="71"/>
      <c r="I304" s="71"/>
      <c r="J304" s="71"/>
      <c r="K304" s="71"/>
      <c r="L304" s="71"/>
      <c r="M304" s="71"/>
      <c r="N304" s="71"/>
      <c r="O304" s="71"/>
      <c r="P304" s="175"/>
      <c r="Q304" s="71"/>
      <c r="R304" s="71"/>
      <c r="S304" s="71"/>
      <c r="T304" s="71"/>
      <c r="U304" s="71"/>
      <c r="V304" s="71"/>
      <c r="W304" s="71"/>
      <c r="X304" s="71"/>
      <c r="Y304" s="71"/>
      <c r="Z304" s="71"/>
      <c r="AB304" s="7"/>
      <c r="AC304" s="67"/>
      <c r="AF304" s="185"/>
      <c r="AK304" s="71"/>
      <c r="AL304" s="71"/>
      <c r="AM304" s="71"/>
      <c r="AN304" s="71"/>
      <c r="AO304" s="71"/>
    </row>
    <row r="305" spans="3:41" customFormat="1" ht="15" customHeight="1" x14ac:dyDescent="0.4">
      <c r="C305" s="71"/>
      <c r="D305" s="71"/>
      <c r="E305" s="71"/>
      <c r="F305" s="71"/>
      <c r="G305" s="83"/>
      <c r="H305" s="83"/>
      <c r="I305" s="71"/>
      <c r="J305" s="71"/>
      <c r="K305" s="71"/>
      <c r="L305" s="71"/>
      <c r="M305" s="71"/>
      <c r="N305" s="71"/>
      <c r="O305" s="71"/>
      <c r="P305" s="175"/>
      <c r="Q305" s="71"/>
      <c r="R305" s="71"/>
      <c r="S305" s="71"/>
      <c r="T305" s="71"/>
      <c r="U305" s="71"/>
      <c r="V305" s="71"/>
      <c r="W305" s="71"/>
      <c r="X305" s="71"/>
      <c r="Y305" s="71"/>
      <c r="Z305" s="71"/>
      <c r="AB305" s="7"/>
      <c r="AC305" s="67"/>
      <c r="AF305" s="185"/>
      <c r="AK305" s="71"/>
      <c r="AL305" s="71"/>
      <c r="AM305" s="71"/>
      <c r="AN305" s="71"/>
      <c r="AO305" s="71"/>
    </row>
    <row r="306" spans="3:41" customFormat="1" ht="15" customHeight="1" x14ac:dyDescent="0.4">
      <c r="C306" s="71"/>
      <c r="D306" s="71"/>
      <c r="E306" s="71"/>
      <c r="F306" s="71"/>
      <c r="G306" s="83"/>
      <c r="H306" s="83"/>
      <c r="I306" s="71"/>
      <c r="J306" s="71"/>
      <c r="K306" s="71"/>
      <c r="L306" s="71"/>
      <c r="M306" s="71"/>
      <c r="N306" s="71"/>
      <c r="O306" s="71"/>
      <c r="P306" s="175"/>
      <c r="Q306" s="71"/>
      <c r="R306" s="71"/>
      <c r="S306" s="71"/>
      <c r="T306" s="71"/>
      <c r="U306" s="71"/>
      <c r="V306" s="71"/>
      <c r="W306" s="71"/>
      <c r="X306" s="71"/>
      <c r="Y306" s="71"/>
      <c r="Z306" s="71"/>
      <c r="AB306" s="7"/>
      <c r="AC306" s="67"/>
      <c r="AF306" s="185"/>
      <c r="AK306" s="71"/>
      <c r="AL306" s="71"/>
      <c r="AM306" s="71"/>
      <c r="AN306" s="71"/>
      <c r="AO306" s="71"/>
    </row>
    <row r="307" spans="3:41" customFormat="1" ht="15" customHeight="1" x14ac:dyDescent="0.4">
      <c r="C307" s="71"/>
      <c r="D307" s="71"/>
      <c r="E307" s="71"/>
      <c r="F307" s="71"/>
      <c r="G307" s="83"/>
      <c r="H307" s="83"/>
      <c r="I307" s="71"/>
      <c r="J307" s="71"/>
      <c r="K307" s="71"/>
      <c r="L307" s="71"/>
      <c r="M307" s="71"/>
      <c r="N307" s="71"/>
      <c r="O307" s="71"/>
      <c r="P307" s="175"/>
      <c r="Q307" s="71"/>
      <c r="R307" s="71"/>
      <c r="S307" s="71"/>
      <c r="T307" s="71"/>
      <c r="U307" s="71"/>
      <c r="V307" s="71"/>
      <c r="W307" s="71"/>
      <c r="X307" s="71"/>
      <c r="Y307" s="71"/>
      <c r="Z307" s="71"/>
      <c r="AB307" s="7"/>
      <c r="AC307" s="67"/>
      <c r="AF307" s="185"/>
      <c r="AK307" s="71"/>
      <c r="AL307" s="71"/>
      <c r="AM307" s="71"/>
      <c r="AN307" s="71"/>
      <c r="AO307" s="71"/>
    </row>
    <row r="308" spans="3:41" customFormat="1" ht="15" customHeight="1" x14ac:dyDescent="0.4">
      <c r="C308" s="71"/>
      <c r="D308" s="71"/>
      <c r="E308" s="71"/>
      <c r="F308" s="71"/>
      <c r="G308" s="71"/>
      <c r="H308" s="71"/>
      <c r="I308" s="71"/>
      <c r="J308" s="71"/>
      <c r="K308" s="71"/>
      <c r="L308" s="71"/>
      <c r="M308" s="71"/>
      <c r="N308" s="71"/>
      <c r="O308" s="71"/>
      <c r="P308" s="175"/>
      <c r="Q308" s="71"/>
      <c r="R308" s="71"/>
      <c r="S308" s="71"/>
      <c r="T308" s="71"/>
      <c r="U308" s="71"/>
      <c r="V308" s="71"/>
      <c r="W308" s="71"/>
      <c r="X308" s="71"/>
      <c r="Y308" s="71"/>
      <c r="Z308" s="71"/>
      <c r="AB308" s="7"/>
      <c r="AC308" s="67"/>
      <c r="AF308" s="185"/>
      <c r="AK308" s="71"/>
      <c r="AL308" s="71"/>
      <c r="AM308" s="71"/>
      <c r="AN308" s="71"/>
      <c r="AO308" s="71"/>
    </row>
    <row r="309" spans="3:41" customFormat="1" ht="15" customHeight="1" x14ac:dyDescent="0.4">
      <c r="C309" s="71"/>
      <c r="D309" s="71"/>
      <c r="E309" s="71"/>
      <c r="F309" s="71"/>
      <c r="G309" s="71"/>
      <c r="H309" s="71"/>
      <c r="I309" s="71"/>
      <c r="J309" s="71"/>
      <c r="K309" s="71"/>
      <c r="L309" s="71"/>
      <c r="M309" s="71"/>
      <c r="N309" s="71"/>
      <c r="O309" s="71"/>
      <c r="P309" s="175"/>
      <c r="Q309" s="71"/>
      <c r="R309" s="71"/>
      <c r="S309" s="71"/>
      <c r="T309" s="71"/>
      <c r="U309" s="71"/>
      <c r="V309" s="71"/>
      <c r="W309" s="71"/>
      <c r="X309" s="71"/>
      <c r="Y309" s="71"/>
      <c r="Z309" s="71"/>
      <c r="AB309" s="7"/>
      <c r="AC309" s="67"/>
      <c r="AF309" s="185"/>
      <c r="AK309" s="71"/>
      <c r="AL309" s="71"/>
      <c r="AM309" s="71"/>
      <c r="AN309" s="71"/>
      <c r="AO309" s="71"/>
    </row>
    <row r="310" spans="3:41" customFormat="1" ht="15" customHeight="1" x14ac:dyDescent="0.4">
      <c r="C310" s="71"/>
      <c r="D310" s="71"/>
      <c r="E310" s="71"/>
      <c r="F310" s="71"/>
      <c r="G310" s="71"/>
      <c r="H310" s="71"/>
      <c r="I310" s="71"/>
      <c r="J310" s="71"/>
      <c r="K310" s="71"/>
      <c r="L310" s="71"/>
      <c r="M310" s="71"/>
      <c r="N310" s="71"/>
      <c r="O310" s="71"/>
      <c r="P310" s="175"/>
      <c r="Q310" s="71"/>
      <c r="R310" s="71"/>
      <c r="S310" s="71"/>
      <c r="T310" s="71"/>
      <c r="U310" s="71"/>
      <c r="V310" s="71"/>
      <c r="W310" s="71"/>
      <c r="X310" s="71"/>
      <c r="Y310" s="71"/>
      <c r="Z310" s="71"/>
      <c r="AB310" s="7"/>
      <c r="AC310" s="67"/>
      <c r="AF310" s="185"/>
      <c r="AK310" s="71"/>
      <c r="AL310" s="71"/>
      <c r="AM310" s="71"/>
      <c r="AN310" s="71"/>
      <c r="AO310" s="71"/>
    </row>
    <row r="311" spans="3:41" customFormat="1" ht="15" customHeight="1" x14ac:dyDescent="0.4">
      <c r="C311" s="71"/>
      <c r="D311" s="71"/>
      <c r="E311" s="71"/>
      <c r="F311" s="71"/>
      <c r="G311" s="71"/>
      <c r="H311" s="71"/>
      <c r="I311" s="71"/>
      <c r="J311" s="71"/>
      <c r="K311" s="71"/>
      <c r="L311" s="71"/>
      <c r="M311" s="71"/>
      <c r="N311" s="71"/>
      <c r="O311" s="71"/>
      <c r="P311" s="175"/>
      <c r="Q311" s="71"/>
      <c r="R311" s="71"/>
      <c r="S311" s="71"/>
      <c r="T311" s="71"/>
      <c r="U311" s="71"/>
      <c r="V311" s="71"/>
      <c r="W311" s="71"/>
      <c r="X311" s="71"/>
      <c r="Y311" s="71"/>
      <c r="Z311" s="71"/>
      <c r="AB311" s="7"/>
      <c r="AC311" s="67"/>
      <c r="AF311" s="185"/>
      <c r="AK311" s="71"/>
      <c r="AL311" s="71"/>
      <c r="AM311" s="71"/>
      <c r="AN311" s="71"/>
      <c r="AO311" s="71"/>
    </row>
    <row r="312" spans="3:41" customFormat="1" ht="15" customHeight="1" x14ac:dyDescent="0.4">
      <c r="C312" s="71"/>
      <c r="D312" s="71"/>
      <c r="E312" s="71"/>
      <c r="F312" s="71"/>
      <c r="G312" s="71"/>
      <c r="H312" s="71"/>
      <c r="I312" s="71"/>
      <c r="J312" s="71"/>
      <c r="K312" s="71"/>
      <c r="L312" s="71"/>
      <c r="M312" s="71"/>
      <c r="N312" s="71"/>
      <c r="O312" s="71"/>
      <c r="P312" s="175"/>
      <c r="Q312" s="71"/>
      <c r="R312" s="71"/>
      <c r="S312" s="71"/>
      <c r="T312" s="71"/>
      <c r="U312" s="71"/>
      <c r="V312" s="71"/>
      <c r="W312" s="71"/>
      <c r="X312" s="71"/>
      <c r="Y312" s="71"/>
      <c r="Z312" s="71"/>
      <c r="AB312" s="7"/>
      <c r="AC312" s="67"/>
      <c r="AF312" s="185"/>
      <c r="AK312" s="71"/>
      <c r="AL312" s="71"/>
      <c r="AM312" s="71"/>
      <c r="AN312" s="71"/>
      <c r="AO312" s="71"/>
    </row>
    <row r="313" spans="3:41" customFormat="1" ht="15" customHeight="1" x14ac:dyDescent="0.4">
      <c r="C313" s="71"/>
      <c r="D313" s="71"/>
      <c r="E313" s="71"/>
      <c r="F313" s="71"/>
      <c r="G313" s="71"/>
      <c r="H313" s="71"/>
      <c r="I313" s="71"/>
      <c r="J313" s="71"/>
      <c r="K313" s="71"/>
      <c r="L313" s="71"/>
      <c r="M313" s="71"/>
      <c r="N313" s="71"/>
      <c r="O313" s="71"/>
      <c r="P313" s="175"/>
      <c r="Q313" s="71"/>
      <c r="R313" s="71"/>
      <c r="S313" s="71"/>
      <c r="T313" s="71"/>
      <c r="U313" s="71"/>
      <c r="V313" s="71"/>
      <c r="W313" s="71"/>
      <c r="X313" s="71"/>
      <c r="Y313" s="71"/>
      <c r="Z313" s="71"/>
      <c r="AB313" s="7"/>
      <c r="AC313" s="67"/>
      <c r="AF313" s="185"/>
      <c r="AK313" s="71"/>
      <c r="AL313" s="71"/>
      <c r="AM313" s="71"/>
      <c r="AN313" s="71"/>
      <c r="AO313" s="71"/>
    </row>
    <row r="314" spans="3:41" customFormat="1" ht="15" customHeight="1" x14ac:dyDescent="0.4">
      <c r="C314" s="71"/>
      <c r="D314" s="71"/>
      <c r="E314" s="71"/>
      <c r="F314" s="71"/>
      <c r="G314" s="71"/>
      <c r="H314" s="71"/>
      <c r="I314" s="71"/>
      <c r="J314" s="71"/>
      <c r="K314" s="71"/>
      <c r="L314" s="71"/>
      <c r="M314" s="71"/>
      <c r="N314" s="71"/>
      <c r="O314" s="71"/>
      <c r="P314" s="175"/>
      <c r="Q314" s="71"/>
      <c r="R314" s="71"/>
      <c r="S314" s="71"/>
      <c r="T314" s="71"/>
      <c r="U314" s="71"/>
      <c r="V314" s="71"/>
      <c r="W314" s="71"/>
      <c r="X314" s="71"/>
      <c r="Y314" s="71"/>
      <c r="Z314" s="71"/>
      <c r="AB314" s="7"/>
      <c r="AC314" s="67"/>
      <c r="AF314" s="185"/>
      <c r="AK314" s="71"/>
      <c r="AL314" s="71"/>
      <c r="AM314" s="71"/>
      <c r="AN314" s="71"/>
      <c r="AO314" s="71"/>
    </row>
    <row r="315" spans="3:41" customFormat="1" ht="15" customHeight="1" x14ac:dyDescent="0.4">
      <c r="C315" s="71"/>
      <c r="D315" s="71"/>
      <c r="E315" s="71"/>
      <c r="F315" s="71"/>
      <c r="G315" s="71"/>
      <c r="H315" s="71"/>
      <c r="I315" s="71"/>
      <c r="J315" s="71"/>
      <c r="K315" s="71"/>
      <c r="L315" s="71"/>
      <c r="M315" s="71"/>
      <c r="N315" s="71"/>
      <c r="O315" s="71"/>
      <c r="P315" s="175"/>
      <c r="Q315" s="71"/>
      <c r="R315" s="71"/>
      <c r="S315" s="71"/>
      <c r="T315" s="71"/>
      <c r="U315" s="71"/>
      <c r="V315" s="71"/>
      <c r="W315" s="71"/>
      <c r="X315" s="71"/>
      <c r="Y315" s="71"/>
      <c r="Z315" s="71"/>
      <c r="AB315" s="7"/>
      <c r="AC315" s="67"/>
      <c r="AF315" s="185"/>
      <c r="AK315" s="71"/>
      <c r="AL315" s="71"/>
      <c r="AM315" s="71"/>
      <c r="AN315" s="71"/>
      <c r="AO315" s="71"/>
    </row>
    <row r="316" spans="3:41" customFormat="1" ht="15" customHeight="1" x14ac:dyDescent="0.4">
      <c r="C316" s="71"/>
      <c r="D316" s="71"/>
      <c r="E316" s="71"/>
      <c r="F316" s="71"/>
      <c r="G316" s="71"/>
      <c r="H316" s="71"/>
      <c r="I316" s="71"/>
      <c r="J316" s="71"/>
      <c r="K316" s="71"/>
      <c r="L316" s="71"/>
      <c r="M316" s="71"/>
      <c r="N316" s="71"/>
      <c r="O316" s="71"/>
      <c r="P316" s="175"/>
      <c r="Q316" s="71"/>
      <c r="R316" s="71"/>
      <c r="S316" s="71"/>
      <c r="T316" s="71"/>
      <c r="U316" s="71"/>
      <c r="V316" s="71"/>
      <c r="W316" s="71"/>
      <c r="X316" s="71"/>
      <c r="Y316" s="71"/>
      <c r="Z316" s="71"/>
      <c r="AB316" s="7"/>
      <c r="AC316" s="67"/>
      <c r="AF316" s="185"/>
      <c r="AK316" s="71"/>
      <c r="AL316" s="71"/>
      <c r="AM316" s="71"/>
      <c r="AN316" s="71"/>
      <c r="AO316" s="71"/>
    </row>
    <row r="317" spans="3:41" customFormat="1" ht="15" customHeight="1" x14ac:dyDescent="0.4">
      <c r="C317" s="71"/>
      <c r="D317" s="71"/>
      <c r="E317" s="71"/>
      <c r="F317" s="71"/>
      <c r="G317" s="71"/>
      <c r="H317" s="71"/>
      <c r="I317" s="71"/>
      <c r="J317" s="71"/>
      <c r="K317" s="71"/>
      <c r="L317" s="71"/>
      <c r="M317" s="71"/>
      <c r="N317" s="71"/>
      <c r="O317" s="71"/>
      <c r="P317" s="175"/>
      <c r="Q317" s="71"/>
      <c r="R317" s="71"/>
      <c r="S317" s="71"/>
      <c r="T317" s="71"/>
      <c r="U317" s="71"/>
      <c r="V317" s="71"/>
      <c r="W317" s="71"/>
      <c r="X317" s="71"/>
      <c r="Y317" s="71"/>
      <c r="Z317" s="71"/>
      <c r="AB317" s="7"/>
      <c r="AC317" s="67"/>
      <c r="AF317" s="185"/>
      <c r="AK317" s="71"/>
      <c r="AL317" s="71"/>
      <c r="AM317" s="71"/>
      <c r="AN317" s="71"/>
      <c r="AO317" s="71"/>
    </row>
    <row r="318" spans="3:41" customFormat="1" ht="15" customHeight="1" x14ac:dyDescent="0.4">
      <c r="C318" s="71"/>
      <c r="D318" s="71"/>
      <c r="E318" s="71"/>
      <c r="F318" s="71"/>
      <c r="G318" s="71"/>
      <c r="H318" s="71"/>
      <c r="I318" s="71"/>
      <c r="J318" s="71"/>
      <c r="K318" s="71"/>
      <c r="L318" s="71"/>
      <c r="M318" s="71"/>
      <c r="N318" s="71"/>
      <c r="O318" s="71"/>
      <c r="P318" s="175"/>
      <c r="Q318" s="71"/>
      <c r="R318" s="71"/>
      <c r="S318" s="71"/>
      <c r="T318" s="71"/>
      <c r="U318" s="71"/>
      <c r="V318" s="71"/>
      <c r="W318" s="71"/>
      <c r="X318" s="71"/>
      <c r="Y318" s="71"/>
      <c r="Z318" s="71"/>
      <c r="AB318" s="7"/>
      <c r="AC318" s="67"/>
      <c r="AF318" s="185"/>
      <c r="AK318" s="71"/>
      <c r="AL318" s="71"/>
      <c r="AM318" s="71"/>
      <c r="AN318" s="71"/>
      <c r="AO318" s="71"/>
    </row>
    <row r="319" spans="3:41" customFormat="1" ht="15" customHeight="1" x14ac:dyDescent="0.4">
      <c r="C319" s="71"/>
      <c r="D319" s="71"/>
      <c r="E319" s="71"/>
      <c r="F319" s="71"/>
      <c r="G319" s="71"/>
      <c r="H319" s="71"/>
      <c r="I319" s="71"/>
      <c r="J319" s="71"/>
      <c r="K319" s="71"/>
      <c r="L319" s="71"/>
      <c r="M319" s="71"/>
      <c r="N319" s="71"/>
      <c r="O319" s="71"/>
      <c r="P319" s="175"/>
      <c r="Q319" s="71"/>
      <c r="R319" s="71"/>
      <c r="S319" s="71"/>
      <c r="T319" s="71"/>
      <c r="U319" s="71"/>
      <c r="V319" s="71"/>
      <c r="W319" s="71"/>
      <c r="X319" s="71"/>
      <c r="Y319" s="71"/>
      <c r="Z319" s="71"/>
      <c r="AB319" s="7"/>
      <c r="AC319" s="67"/>
      <c r="AF319" s="185"/>
      <c r="AK319" s="71"/>
      <c r="AL319" s="71"/>
      <c r="AM319" s="71"/>
      <c r="AN319" s="71"/>
      <c r="AO319" s="71"/>
    </row>
    <row r="320" spans="3:41" customFormat="1" ht="15" customHeight="1" x14ac:dyDescent="0.4">
      <c r="C320" s="71"/>
      <c r="D320" s="71"/>
      <c r="E320" s="71"/>
      <c r="F320" s="71"/>
      <c r="G320" s="71"/>
      <c r="H320" s="71"/>
      <c r="I320" s="71"/>
      <c r="J320" s="71"/>
      <c r="K320" s="71"/>
      <c r="L320" s="71"/>
      <c r="M320" s="71"/>
      <c r="N320" s="71"/>
      <c r="O320" s="71"/>
      <c r="P320" s="175"/>
      <c r="Q320" s="71"/>
      <c r="R320" s="71"/>
      <c r="S320" s="71"/>
      <c r="T320" s="71"/>
      <c r="U320" s="71"/>
      <c r="V320" s="71"/>
      <c r="W320" s="71"/>
      <c r="X320" s="71"/>
      <c r="Y320" s="71"/>
      <c r="Z320" s="71"/>
      <c r="AB320" s="7"/>
      <c r="AC320" s="67"/>
      <c r="AF320" s="185"/>
      <c r="AK320" s="71"/>
      <c r="AL320" s="71"/>
      <c r="AM320" s="71"/>
      <c r="AN320" s="71"/>
      <c r="AO320" s="71"/>
    </row>
    <row r="321" spans="3:41" customFormat="1" ht="15" customHeight="1" x14ac:dyDescent="0.4">
      <c r="C321" s="71"/>
      <c r="D321" s="71"/>
      <c r="E321" s="71"/>
      <c r="F321" s="71"/>
      <c r="G321" s="71"/>
      <c r="H321" s="71"/>
      <c r="I321" s="71"/>
      <c r="J321" s="71"/>
      <c r="K321" s="71"/>
      <c r="L321" s="71"/>
      <c r="M321" s="71"/>
      <c r="N321" s="71"/>
      <c r="O321" s="71"/>
      <c r="P321" s="175"/>
      <c r="Q321" s="71"/>
      <c r="R321" s="71"/>
      <c r="S321" s="71"/>
      <c r="T321" s="71"/>
      <c r="U321" s="71"/>
      <c r="V321" s="71"/>
      <c r="W321" s="71"/>
      <c r="X321" s="71"/>
      <c r="Y321" s="71"/>
      <c r="Z321" s="71"/>
      <c r="AB321" s="7"/>
      <c r="AC321" s="67"/>
      <c r="AF321" s="185"/>
      <c r="AK321" s="71"/>
      <c r="AL321" s="71"/>
      <c r="AM321" s="71"/>
      <c r="AN321" s="71"/>
      <c r="AO321" s="71"/>
    </row>
    <row r="322" spans="3:41" customFormat="1" ht="15" customHeight="1" x14ac:dyDescent="0.4">
      <c r="C322" s="71"/>
      <c r="D322" s="71"/>
      <c r="E322" s="71"/>
      <c r="F322" s="71"/>
      <c r="G322" s="71"/>
      <c r="H322" s="71"/>
      <c r="I322" s="71"/>
      <c r="J322" s="71"/>
      <c r="K322" s="71"/>
      <c r="L322" s="71"/>
      <c r="M322" s="71"/>
      <c r="N322" s="71"/>
      <c r="O322" s="71"/>
      <c r="P322" s="175"/>
      <c r="Q322" s="71"/>
      <c r="R322" s="71"/>
      <c r="S322" s="71"/>
      <c r="T322" s="71"/>
      <c r="U322" s="71"/>
      <c r="V322" s="71"/>
      <c r="W322" s="71"/>
      <c r="X322" s="71"/>
      <c r="Y322" s="71"/>
      <c r="Z322" s="71"/>
      <c r="AB322" s="7"/>
      <c r="AC322" s="67"/>
      <c r="AF322" s="185"/>
      <c r="AK322" s="71"/>
      <c r="AL322" s="71"/>
      <c r="AM322" s="71"/>
      <c r="AN322" s="71"/>
      <c r="AO322" s="71"/>
    </row>
    <row r="323" spans="3:41" customFormat="1" ht="15" customHeight="1" x14ac:dyDescent="0.4">
      <c r="C323" s="71"/>
      <c r="D323" s="71"/>
      <c r="E323" s="71"/>
      <c r="F323" s="71"/>
      <c r="G323" s="71"/>
      <c r="H323" s="71"/>
      <c r="I323" s="71"/>
      <c r="J323" s="71"/>
      <c r="K323" s="71"/>
      <c r="L323" s="71"/>
      <c r="M323" s="71"/>
      <c r="N323" s="71"/>
      <c r="O323" s="71"/>
      <c r="P323" s="175"/>
      <c r="Q323" s="71"/>
      <c r="R323" s="71"/>
      <c r="S323" s="71"/>
      <c r="T323" s="71"/>
      <c r="U323" s="71"/>
      <c r="V323" s="71"/>
      <c r="W323" s="71"/>
      <c r="X323" s="71"/>
      <c r="Y323" s="71"/>
      <c r="Z323" s="71"/>
      <c r="AB323" s="7"/>
      <c r="AC323" s="67"/>
      <c r="AF323" s="185"/>
      <c r="AK323" s="71"/>
      <c r="AL323" s="71"/>
      <c r="AM323" s="71"/>
      <c r="AN323" s="71"/>
      <c r="AO323" s="71"/>
    </row>
    <row r="324" spans="3:41" customFormat="1" ht="15" customHeight="1" x14ac:dyDescent="0.4">
      <c r="C324" s="71"/>
      <c r="D324" s="71"/>
      <c r="E324" s="71"/>
      <c r="F324" s="71"/>
      <c r="G324" s="71"/>
      <c r="H324" s="71"/>
      <c r="I324" s="71"/>
      <c r="J324" s="71"/>
      <c r="K324" s="71"/>
      <c r="L324" s="71"/>
      <c r="M324" s="71"/>
      <c r="N324" s="71"/>
      <c r="O324" s="71"/>
      <c r="P324" s="175"/>
      <c r="Q324" s="71"/>
      <c r="R324" s="71"/>
      <c r="S324" s="71"/>
      <c r="T324" s="71"/>
      <c r="U324" s="71"/>
      <c r="V324" s="71"/>
      <c r="W324" s="71"/>
      <c r="X324" s="71"/>
      <c r="Y324" s="71"/>
      <c r="Z324" s="71"/>
      <c r="AB324" s="7"/>
      <c r="AC324" s="67"/>
      <c r="AF324" s="185"/>
      <c r="AK324" s="71"/>
      <c r="AL324" s="71"/>
      <c r="AM324" s="71"/>
      <c r="AN324" s="71"/>
      <c r="AO324" s="71"/>
    </row>
    <row r="325" spans="3:41" customFormat="1" ht="15" customHeight="1" x14ac:dyDescent="0.4">
      <c r="C325" s="71"/>
      <c r="D325" s="71"/>
      <c r="E325" s="71"/>
      <c r="F325" s="71"/>
      <c r="G325" s="71"/>
      <c r="H325" s="71"/>
      <c r="I325" s="71"/>
      <c r="J325" s="71"/>
      <c r="K325" s="71"/>
      <c r="L325" s="71"/>
      <c r="M325" s="71"/>
      <c r="N325" s="71"/>
      <c r="O325" s="71"/>
      <c r="P325" s="175"/>
      <c r="Q325" s="71"/>
      <c r="R325" s="71"/>
      <c r="S325" s="71"/>
      <c r="T325" s="71"/>
      <c r="U325" s="71"/>
      <c r="V325" s="71"/>
      <c r="W325" s="71"/>
      <c r="X325" s="71"/>
      <c r="Y325" s="71"/>
      <c r="Z325" s="71"/>
      <c r="AB325" s="7"/>
      <c r="AC325" s="67"/>
      <c r="AF325" s="185"/>
      <c r="AK325" s="71"/>
      <c r="AL325" s="71"/>
      <c r="AM325" s="71"/>
      <c r="AN325" s="71"/>
      <c r="AO325" s="71"/>
    </row>
    <row r="326" spans="3:41" customFormat="1" ht="15" customHeight="1" x14ac:dyDescent="0.4">
      <c r="C326" s="71"/>
      <c r="D326" s="71"/>
      <c r="E326" s="71"/>
      <c r="F326" s="71"/>
      <c r="G326" s="71"/>
      <c r="H326" s="83"/>
      <c r="I326" s="71"/>
      <c r="J326" s="71"/>
      <c r="K326" s="71"/>
      <c r="L326" s="71"/>
      <c r="M326" s="71"/>
      <c r="N326" s="71"/>
      <c r="O326" s="71"/>
      <c r="P326" s="175"/>
      <c r="Q326" s="71"/>
      <c r="R326" s="71"/>
      <c r="S326" s="71"/>
      <c r="T326" s="71"/>
      <c r="U326" s="71"/>
      <c r="V326" s="71"/>
      <c r="W326" s="71"/>
      <c r="X326" s="71"/>
      <c r="Y326" s="71"/>
      <c r="Z326" s="71"/>
      <c r="AB326" s="7"/>
      <c r="AC326" s="67"/>
      <c r="AF326" s="185"/>
      <c r="AK326" s="71"/>
      <c r="AL326" s="71"/>
      <c r="AM326" s="71"/>
      <c r="AN326" s="71"/>
      <c r="AO326" s="71"/>
    </row>
    <row r="327" spans="3:41" customFormat="1" ht="15" customHeight="1" x14ac:dyDescent="0.4">
      <c r="C327" s="71"/>
      <c r="D327" s="71"/>
      <c r="E327" s="71"/>
      <c r="F327" s="71"/>
      <c r="G327" s="71"/>
      <c r="H327" s="83"/>
      <c r="I327" s="71"/>
      <c r="J327" s="71"/>
      <c r="K327" s="71"/>
      <c r="L327" s="71"/>
      <c r="M327" s="71"/>
      <c r="N327" s="71"/>
      <c r="O327" s="71"/>
      <c r="P327" s="175"/>
      <c r="Q327" s="71"/>
      <c r="R327" s="71"/>
      <c r="S327" s="71"/>
      <c r="T327" s="71"/>
      <c r="U327" s="71"/>
      <c r="V327" s="71"/>
      <c r="W327" s="71"/>
      <c r="X327" s="71"/>
      <c r="Y327" s="71"/>
      <c r="Z327" s="71"/>
      <c r="AB327" s="7"/>
      <c r="AC327" s="67"/>
      <c r="AF327" s="185"/>
      <c r="AK327" s="71"/>
      <c r="AL327" s="71"/>
      <c r="AM327" s="71"/>
      <c r="AN327" s="71"/>
      <c r="AO327" s="71"/>
    </row>
    <row r="328" spans="3:41" customFormat="1" ht="15" customHeight="1" x14ac:dyDescent="0.4">
      <c r="C328" s="71"/>
      <c r="D328" s="71"/>
      <c r="E328" s="71"/>
      <c r="F328" s="71"/>
      <c r="G328" s="71"/>
      <c r="H328" s="83"/>
      <c r="I328" s="71"/>
      <c r="J328" s="71"/>
      <c r="K328" s="71"/>
      <c r="L328" s="71"/>
      <c r="M328" s="71"/>
      <c r="N328" s="71"/>
      <c r="O328" s="71"/>
      <c r="P328" s="175"/>
      <c r="Q328" s="71"/>
      <c r="R328" s="71"/>
      <c r="S328" s="71"/>
      <c r="T328" s="71"/>
      <c r="U328" s="71"/>
      <c r="V328" s="71"/>
      <c r="W328" s="71"/>
      <c r="X328" s="71"/>
      <c r="Y328" s="71"/>
      <c r="Z328" s="71"/>
      <c r="AB328" s="7"/>
      <c r="AC328" s="67"/>
      <c r="AF328" s="185"/>
      <c r="AK328" s="71"/>
      <c r="AL328" s="71"/>
      <c r="AM328" s="71"/>
      <c r="AN328" s="71"/>
      <c r="AO328" s="71"/>
    </row>
    <row r="329" spans="3:41" customFormat="1" ht="15" customHeight="1" x14ac:dyDescent="0.4">
      <c r="C329" s="71"/>
      <c r="D329" s="71"/>
      <c r="E329" s="71"/>
      <c r="F329" s="71"/>
      <c r="G329" s="71"/>
      <c r="H329" s="71"/>
      <c r="I329" s="71"/>
      <c r="J329" s="71"/>
      <c r="K329" s="71"/>
      <c r="L329" s="71"/>
      <c r="M329" s="71"/>
      <c r="N329" s="71"/>
      <c r="O329" s="71"/>
      <c r="P329" s="175"/>
      <c r="Q329" s="71"/>
      <c r="R329" s="71"/>
      <c r="S329" s="71"/>
      <c r="T329" s="71"/>
      <c r="U329" s="71"/>
      <c r="V329" s="71"/>
      <c r="W329" s="71"/>
      <c r="X329" s="71"/>
      <c r="Y329" s="71"/>
      <c r="Z329" s="71"/>
      <c r="AB329" s="7"/>
      <c r="AC329" s="67"/>
      <c r="AF329" s="185"/>
      <c r="AK329" s="71"/>
      <c r="AL329" s="71"/>
      <c r="AM329" s="71"/>
      <c r="AN329" s="71"/>
      <c r="AO329" s="71"/>
    </row>
    <row r="330" spans="3:41" customFormat="1" ht="15" customHeight="1" x14ac:dyDescent="0.4">
      <c r="C330" s="71"/>
      <c r="D330" s="71"/>
      <c r="E330" s="71"/>
      <c r="F330" s="71"/>
      <c r="G330" s="71"/>
      <c r="H330" s="71"/>
      <c r="I330" s="71"/>
      <c r="J330" s="71"/>
      <c r="K330" s="71"/>
      <c r="L330" s="71"/>
      <c r="M330" s="71"/>
      <c r="N330" s="71"/>
      <c r="O330" s="71"/>
      <c r="P330" s="175"/>
      <c r="Q330" s="71"/>
      <c r="R330" s="71"/>
      <c r="S330" s="71"/>
      <c r="T330" s="71"/>
      <c r="U330" s="71"/>
      <c r="V330" s="71"/>
      <c r="W330" s="71"/>
      <c r="X330" s="71"/>
      <c r="Y330" s="71"/>
      <c r="Z330" s="71"/>
      <c r="AB330" s="7"/>
      <c r="AC330" s="67"/>
      <c r="AF330" s="185"/>
      <c r="AK330" s="71"/>
      <c r="AL330" s="71"/>
      <c r="AM330" s="71"/>
      <c r="AN330" s="71"/>
      <c r="AO330" s="71"/>
    </row>
    <row r="331" spans="3:41" customFormat="1" ht="15" customHeight="1" x14ac:dyDescent="0.4">
      <c r="C331" s="71"/>
      <c r="D331" s="71"/>
      <c r="E331" s="71"/>
      <c r="F331" s="71"/>
      <c r="G331" s="71"/>
      <c r="H331" s="71"/>
      <c r="I331" s="71"/>
      <c r="J331" s="71"/>
      <c r="K331" s="71"/>
      <c r="L331" s="71"/>
      <c r="M331" s="71"/>
      <c r="N331" s="71"/>
      <c r="O331" s="71"/>
      <c r="P331" s="175"/>
      <c r="Q331" s="71"/>
      <c r="R331" s="71"/>
      <c r="S331" s="71"/>
      <c r="T331" s="71"/>
      <c r="U331" s="71"/>
      <c r="V331" s="71"/>
      <c r="W331" s="71"/>
      <c r="X331" s="71"/>
      <c r="Y331" s="71"/>
      <c r="Z331" s="71"/>
      <c r="AB331" s="7"/>
      <c r="AC331" s="67"/>
      <c r="AF331" s="185"/>
      <c r="AK331" s="71"/>
      <c r="AL331" s="71"/>
      <c r="AM331" s="71"/>
      <c r="AN331" s="71"/>
      <c r="AO331" s="71"/>
    </row>
    <row r="332" spans="3:41" customFormat="1" ht="15" customHeight="1" x14ac:dyDescent="0.4">
      <c r="C332" s="71"/>
      <c r="D332" s="71"/>
      <c r="E332" s="71"/>
      <c r="F332" s="71"/>
      <c r="G332" s="71"/>
      <c r="H332" s="71"/>
      <c r="I332" s="71"/>
      <c r="J332" s="71"/>
      <c r="K332" s="71"/>
      <c r="L332" s="71"/>
      <c r="M332" s="71"/>
      <c r="N332" s="71"/>
      <c r="O332" s="71"/>
      <c r="P332" s="175"/>
      <c r="Q332" s="71"/>
      <c r="R332" s="71"/>
      <c r="S332" s="71"/>
      <c r="T332" s="71"/>
      <c r="U332" s="71"/>
      <c r="V332" s="71"/>
      <c r="W332" s="71"/>
      <c r="X332" s="71"/>
      <c r="Y332" s="71"/>
      <c r="Z332" s="71"/>
      <c r="AB332" s="7"/>
      <c r="AC332" s="67"/>
      <c r="AF332" s="185"/>
      <c r="AK332" s="71"/>
      <c r="AL332" s="71"/>
      <c r="AM332" s="71"/>
      <c r="AN332" s="71"/>
      <c r="AO332" s="71"/>
    </row>
    <row r="333" spans="3:41" customFormat="1" ht="15" customHeight="1" x14ac:dyDescent="0.4">
      <c r="C333" s="71"/>
      <c r="D333" s="71"/>
      <c r="E333" s="71"/>
      <c r="F333" s="71"/>
      <c r="G333" s="71"/>
      <c r="H333" s="83"/>
      <c r="I333" s="71"/>
      <c r="J333" s="71"/>
      <c r="K333" s="71"/>
      <c r="L333" s="71"/>
      <c r="M333" s="71"/>
      <c r="N333" s="71"/>
      <c r="O333" s="71"/>
      <c r="P333" s="175"/>
      <c r="Q333" s="71"/>
      <c r="R333" s="71"/>
      <c r="S333" s="71"/>
      <c r="T333" s="71"/>
      <c r="U333" s="71"/>
      <c r="V333" s="71"/>
      <c r="W333" s="71"/>
      <c r="X333" s="71"/>
      <c r="Y333" s="71"/>
      <c r="Z333" s="71"/>
      <c r="AB333" s="7"/>
      <c r="AC333" s="67"/>
      <c r="AF333" s="185"/>
      <c r="AK333" s="71"/>
      <c r="AL333" s="71"/>
      <c r="AM333" s="71"/>
      <c r="AN333" s="71"/>
      <c r="AO333" s="71"/>
    </row>
    <row r="334" spans="3:41" customFormat="1" ht="15" customHeight="1" x14ac:dyDescent="0.4">
      <c r="C334" s="71"/>
      <c r="D334" s="71"/>
      <c r="E334" s="71"/>
      <c r="F334" s="71"/>
      <c r="G334" s="71"/>
      <c r="H334" s="83"/>
      <c r="I334" s="71"/>
      <c r="J334" s="71"/>
      <c r="K334" s="71"/>
      <c r="L334" s="71"/>
      <c r="M334" s="71"/>
      <c r="N334" s="71"/>
      <c r="O334" s="71"/>
      <c r="P334" s="175"/>
      <c r="Q334" s="71"/>
      <c r="R334" s="71"/>
      <c r="S334" s="71"/>
      <c r="T334" s="71"/>
      <c r="U334" s="71"/>
      <c r="V334" s="71"/>
      <c r="W334" s="71"/>
      <c r="X334" s="71"/>
      <c r="Y334" s="71"/>
      <c r="Z334" s="71"/>
      <c r="AB334" s="7"/>
      <c r="AC334" s="67"/>
      <c r="AF334" s="185"/>
      <c r="AK334" s="71"/>
      <c r="AL334" s="71"/>
      <c r="AM334" s="71"/>
      <c r="AN334" s="71"/>
      <c r="AO334" s="71"/>
    </row>
    <row r="335" spans="3:41" customFormat="1" ht="15" customHeight="1" x14ac:dyDescent="0.4">
      <c r="C335" s="71"/>
      <c r="D335" s="71"/>
      <c r="E335" s="71"/>
      <c r="F335" s="71"/>
      <c r="G335" s="71"/>
      <c r="H335" s="83"/>
      <c r="I335" s="71"/>
      <c r="J335" s="71"/>
      <c r="K335" s="71"/>
      <c r="L335" s="71"/>
      <c r="M335" s="71"/>
      <c r="N335" s="71"/>
      <c r="O335" s="71"/>
      <c r="P335" s="175"/>
      <c r="Q335" s="71"/>
      <c r="R335" s="71"/>
      <c r="S335" s="71"/>
      <c r="T335" s="71"/>
      <c r="U335" s="71"/>
      <c r="V335" s="71"/>
      <c r="W335" s="71"/>
      <c r="X335" s="71"/>
      <c r="Y335" s="71"/>
      <c r="Z335" s="71"/>
      <c r="AB335" s="7"/>
      <c r="AC335" s="67"/>
      <c r="AF335" s="185"/>
      <c r="AK335" s="71"/>
      <c r="AL335" s="71"/>
      <c r="AM335" s="71"/>
      <c r="AN335" s="71"/>
      <c r="AO335" s="71"/>
    </row>
    <row r="336" spans="3:41" customFormat="1" ht="15" customHeight="1" x14ac:dyDescent="0.4">
      <c r="C336" s="71"/>
      <c r="D336" s="71"/>
      <c r="E336" s="71"/>
      <c r="F336" s="71"/>
      <c r="G336" s="71"/>
      <c r="H336" s="71"/>
      <c r="I336" s="71"/>
      <c r="J336" s="71"/>
      <c r="K336" s="71"/>
      <c r="L336" s="71"/>
      <c r="M336" s="71"/>
      <c r="N336" s="71"/>
      <c r="O336" s="71"/>
      <c r="P336" s="175"/>
      <c r="Q336" s="71"/>
      <c r="R336" s="71"/>
      <c r="S336" s="71"/>
      <c r="T336" s="71"/>
      <c r="U336" s="71"/>
      <c r="V336" s="71"/>
      <c r="W336" s="71"/>
      <c r="X336" s="71"/>
      <c r="Y336" s="71"/>
      <c r="Z336" s="71"/>
      <c r="AB336" s="7"/>
      <c r="AC336" s="67"/>
      <c r="AF336" s="185"/>
      <c r="AK336" s="71"/>
      <c r="AL336" s="71"/>
      <c r="AM336" s="71"/>
      <c r="AN336" s="71"/>
      <c r="AO336" s="71"/>
    </row>
    <row r="337" spans="3:41" customFormat="1" ht="15" customHeight="1" x14ac:dyDescent="0.4">
      <c r="C337" s="71"/>
      <c r="D337" s="71"/>
      <c r="E337" s="71"/>
      <c r="F337" s="71"/>
      <c r="G337" s="71"/>
      <c r="H337" s="71"/>
      <c r="I337" s="71"/>
      <c r="J337" s="71"/>
      <c r="K337" s="71"/>
      <c r="L337" s="71"/>
      <c r="M337" s="71"/>
      <c r="N337" s="71"/>
      <c r="O337" s="71"/>
      <c r="P337" s="175"/>
      <c r="Q337" s="71"/>
      <c r="R337" s="71"/>
      <c r="S337" s="71"/>
      <c r="T337" s="71"/>
      <c r="U337" s="71"/>
      <c r="V337" s="71"/>
      <c r="W337" s="71"/>
      <c r="X337" s="71"/>
      <c r="Y337" s="71"/>
      <c r="Z337" s="71"/>
      <c r="AB337" s="7"/>
      <c r="AC337" s="67"/>
      <c r="AF337" s="185"/>
      <c r="AK337" s="71"/>
      <c r="AL337" s="71"/>
      <c r="AM337" s="71"/>
      <c r="AN337" s="71"/>
      <c r="AO337" s="71"/>
    </row>
    <row r="338" spans="3:41" customFormat="1" ht="15" customHeight="1" x14ac:dyDescent="0.4">
      <c r="C338" s="71"/>
      <c r="D338" s="71"/>
      <c r="E338" s="71"/>
      <c r="F338" s="71"/>
      <c r="G338" s="71"/>
      <c r="H338" s="71"/>
      <c r="I338" s="71"/>
      <c r="J338" s="71"/>
      <c r="K338" s="71"/>
      <c r="L338" s="71"/>
      <c r="M338" s="71"/>
      <c r="N338" s="71"/>
      <c r="O338" s="71"/>
      <c r="P338" s="175"/>
      <c r="Q338" s="71"/>
      <c r="R338" s="71"/>
      <c r="S338" s="71"/>
      <c r="T338" s="71"/>
      <c r="U338" s="71"/>
      <c r="V338" s="71"/>
      <c r="W338" s="71"/>
      <c r="X338" s="71"/>
      <c r="Y338" s="71"/>
      <c r="Z338" s="71"/>
      <c r="AB338" s="7"/>
      <c r="AC338" s="67"/>
      <c r="AF338" s="185"/>
      <c r="AK338" s="71"/>
      <c r="AL338" s="71"/>
      <c r="AM338" s="71"/>
      <c r="AN338" s="71"/>
      <c r="AO338" s="71"/>
    </row>
    <row r="339" spans="3:41" ht="15" customHeight="1" x14ac:dyDescent="0.4">
      <c r="C339" s="119"/>
      <c r="D339" s="71"/>
      <c r="E339" s="71"/>
      <c r="F339" s="71"/>
      <c r="G339" s="71"/>
      <c r="H339" s="71"/>
      <c r="I339" s="71"/>
      <c r="J339" s="71"/>
      <c r="K339" s="71"/>
      <c r="L339" s="71"/>
      <c r="M339" s="71"/>
      <c r="N339" s="71"/>
      <c r="O339" s="71"/>
      <c r="P339" s="175"/>
      <c r="Q339" s="71"/>
      <c r="R339" s="71"/>
      <c r="S339" s="71"/>
      <c r="T339" s="71"/>
      <c r="U339" s="71"/>
      <c r="V339" s="71"/>
      <c r="W339" s="71"/>
      <c r="X339" s="71"/>
      <c r="Y339" s="71"/>
      <c r="Z339" s="71"/>
      <c r="AK339" s="71"/>
      <c r="AL339" s="71"/>
      <c r="AM339" s="71"/>
      <c r="AN339" s="71"/>
      <c r="AO339" s="71"/>
    </row>
    <row r="340" spans="3:41" ht="15" customHeight="1" x14ac:dyDescent="0.4">
      <c r="C340" s="119"/>
      <c r="D340" s="71"/>
      <c r="E340" s="71"/>
      <c r="F340" s="71"/>
      <c r="G340" s="71"/>
      <c r="H340" s="71"/>
      <c r="I340" s="71"/>
      <c r="J340" s="71"/>
      <c r="K340" s="71"/>
      <c r="L340" s="71"/>
      <c r="M340" s="71"/>
      <c r="N340" s="71"/>
      <c r="O340" s="71"/>
      <c r="P340" s="175"/>
      <c r="Q340" s="71"/>
      <c r="R340" s="71"/>
      <c r="S340" s="71"/>
      <c r="T340" s="71"/>
      <c r="U340" s="71"/>
      <c r="V340" s="71"/>
      <c r="W340" s="71"/>
      <c r="X340" s="71"/>
      <c r="Y340" s="71"/>
      <c r="Z340" s="71"/>
      <c r="AK340" s="71"/>
      <c r="AL340" s="71"/>
      <c r="AM340" s="71"/>
      <c r="AN340" s="71"/>
      <c r="AO340" s="71"/>
    </row>
    <row r="341" spans="3:41" ht="15" customHeight="1" x14ac:dyDescent="0.4">
      <c r="C341" s="119"/>
      <c r="D341" s="71"/>
      <c r="E341" s="71"/>
      <c r="F341" s="71"/>
      <c r="G341" s="71"/>
      <c r="H341" s="71"/>
      <c r="I341" s="71"/>
      <c r="J341" s="71"/>
      <c r="K341" s="71"/>
      <c r="L341" s="71"/>
      <c r="M341" s="71"/>
      <c r="N341" s="71"/>
      <c r="O341" s="71"/>
      <c r="P341" s="175"/>
      <c r="Q341" s="71"/>
      <c r="R341" s="71"/>
      <c r="S341" s="71"/>
      <c r="T341" s="71"/>
      <c r="U341" s="71"/>
      <c r="V341" s="71"/>
      <c r="W341" s="71"/>
      <c r="X341" s="71"/>
      <c r="Y341" s="71"/>
      <c r="Z341" s="71"/>
      <c r="AK341" s="71"/>
      <c r="AL341" s="71"/>
      <c r="AM341" s="71"/>
      <c r="AN341" s="71"/>
      <c r="AO341" s="71"/>
    </row>
    <row r="342" spans="3:41" ht="15" customHeight="1" x14ac:dyDescent="0.4">
      <c r="C342" s="119"/>
      <c r="D342" s="71"/>
      <c r="E342" s="71"/>
      <c r="F342" s="71"/>
      <c r="G342" s="71"/>
      <c r="H342" s="71"/>
      <c r="I342" s="71"/>
      <c r="J342" s="71"/>
      <c r="K342" s="71"/>
      <c r="L342" s="71"/>
      <c r="M342" s="71"/>
      <c r="N342" s="71"/>
      <c r="O342" s="71"/>
      <c r="P342" s="175"/>
      <c r="Q342" s="71"/>
      <c r="R342" s="71"/>
      <c r="S342" s="71"/>
      <c r="T342" s="71"/>
      <c r="U342" s="71"/>
      <c r="V342" s="71"/>
      <c r="W342" s="71"/>
      <c r="X342" s="71"/>
      <c r="Y342" s="71"/>
      <c r="Z342" s="71"/>
      <c r="AK342" s="71"/>
      <c r="AL342" s="71"/>
      <c r="AM342" s="71"/>
      <c r="AN342" s="71"/>
      <c r="AO342" s="71"/>
    </row>
    <row r="343" spans="3:41" ht="15" customHeight="1" x14ac:dyDescent="0.4">
      <c r="C343" s="119"/>
      <c r="D343" s="71"/>
      <c r="E343" s="71"/>
      <c r="F343" s="71"/>
      <c r="G343" s="71"/>
      <c r="H343" s="71"/>
      <c r="I343" s="71"/>
      <c r="J343" s="71"/>
      <c r="K343" s="71"/>
      <c r="L343" s="71"/>
      <c r="M343" s="71"/>
      <c r="N343" s="71"/>
      <c r="O343" s="71"/>
      <c r="P343" s="175"/>
      <c r="Q343" s="71"/>
      <c r="R343" s="71"/>
      <c r="S343" s="71"/>
      <c r="T343" s="71"/>
      <c r="U343" s="71"/>
      <c r="V343" s="71"/>
      <c r="W343" s="71"/>
      <c r="X343" s="71"/>
      <c r="Y343" s="71"/>
      <c r="Z343" s="71"/>
      <c r="AK343" s="71"/>
      <c r="AL343" s="71"/>
      <c r="AM343" s="71"/>
      <c r="AN343" s="71"/>
      <c r="AO343" s="71"/>
    </row>
    <row r="344" spans="3:41" ht="15" customHeight="1" x14ac:dyDescent="0.4">
      <c r="C344" s="119"/>
      <c r="D344" s="71"/>
      <c r="E344" s="71"/>
      <c r="F344" s="71"/>
      <c r="G344" s="71"/>
      <c r="H344" s="71"/>
      <c r="I344" s="71"/>
      <c r="J344" s="71"/>
      <c r="K344" s="71"/>
      <c r="L344" s="71"/>
      <c r="M344" s="71"/>
      <c r="N344" s="71"/>
      <c r="O344" s="71"/>
      <c r="P344" s="175"/>
      <c r="Q344" s="71"/>
      <c r="R344" s="71"/>
      <c r="S344" s="71"/>
      <c r="T344" s="71"/>
      <c r="U344" s="71"/>
      <c r="V344" s="71"/>
      <c r="W344" s="71"/>
      <c r="X344" s="71"/>
      <c r="Y344" s="71"/>
      <c r="Z344" s="71"/>
      <c r="AK344" s="71"/>
      <c r="AL344" s="71"/>
      <c r="AM344" s="71"/>
      <c r="AN344" s="71"/>
      <c r="AO344" s="71"/>
    </row>
    <row r="345" spans="3:41" ht="15" customHeight="1" x14ac:dyDescent="0.4">
      <c r="C345" s="119"/>
      <c r="D345" s="71"/>
      <c r="E345" s="71"/>
      <c r="F345" s="71"/>
      <c r="G345" s="71"/>
      <c r="H345" s="71"/>
      <c r="I345" s="71"/>
      <c r="J345" s="71"/>
      <c r="K345" s="71"/>
      <c r="L345" s="71"/>
      <c r="M345" s="71"/>
      <c r="N345" s="71"/>
      <c r="O345" s="71"/>
      <c r="P345" s="175"/>
      <c r="Q345" s="71"/>
      <c r="R345" s="71"/>
      <c r="S345" s="71"/>
      <c r="T345" s="71"/>
      <c r="U345" s="71"/>
      <c r="V345" s="71"/>
      <c r="W345" s="71"/>
      <c r="X345" s="71"/>
      <c r="Y345" s="71"/>
      <c r="Z345" s="71"/>
      <c r="AK345" s="71"/>
      <c r="AL345" s="71"/>
      <c r="AM345" s="71"/>
      <c r="AN345" s="71"/>
      <c r="AO345" s="71"/>
    </row>
    <row r="346" spans="3:41" ht="15" customHeight="1" x14ac:dyDescent="0.4">
      <c r="C346" s="119"/>
      <c r="D346" s="71"/>
      <c r="E346" s="71"/>
      <c r="F346" s="71"/>
      <c r="G346" s="71"/>
      <c r="H346" s="71"/>
      <c r="I346" s="71"/>
      <c r="J346" s="71"/>
      <c r="K346" s="71"/>
      <c r="L346" s="71"/>
      <c r="M346" s="71"/>
      <c r="N346" s="71"/>
      <c r="O346" s="71"/>
      <c r="P346" s="175"/>
      <c r="Q346" s="71"/>
      <c r="R346" s="71"/>
      <c r="S346" s="71"/>
      <c r="T346" s="71"/>
      <c r="U346" s="71"/>
      <c r="V346" s="71"/>
      <c r="W346" s="71"/>
      <c r="X346" s="71"/>
      <c r="Y346" s="71"/>
      <c r="Z346" s="71"/>
      <c r="AK346" s="71"/>
      <c r="AL346" s="71"/>
      <c r="AM346" s="71"/>
      <c r="AN346" s="71"/>
      <c r="AO346" s="71"/>
    </row>
    <row r="347" spans="3:41" ht="15" customHeight="1" x14ac:dyDescent="0.4">
      <c r="C347" s="119"/>
      <c r="D347" s="71"/>
      <c r="E347" s="71"/>
      <c r="F347" s="71"/>
      <c r="G347" s="71"/>
      <c r="H347" s="71"/>
      <c r="I347" s="71"/>
      <c r="J347" s="71"/>
      <c r="K347" s="71"/>
      <c r="L347" s="71"/>
      <c r="M347" s="71"/>
      <c r="N347" s="71"/>
      <c r="O347" s="71"/>
      <c r="P347" s="175"/>
      <c r="Q347" s="71"/>
      <c r="R347" s="71"/>
      <c r="S347" s="71"/>
      <c r="T347" s="71"/>
      <c r="U347" s="71"/>
      <c r="V347" s="71"/>
      <c r="W347" s="71"/>
      <c r="X347" s="71"/>
      <c r="Y347" s="71"/>
      <c r="Z347" s="71"/>
      <c r="AK347" s="71"/>
      <c r="AL347" s="71"/>
      <c r="AM347" s="71"/>
      <c r="AN347" s="71"/>
      <c r="AO347" s="71"/>
    </row>
    <row r="348" spans="3:41" ht="15" customHeight="1" x14ac:dyDescent="0.4">
      <c r="C348" s="119"/>
      <c r="D348" s="71"/>
      <c r="E348" s="71"/>
      <c r="F348" s="71"/>
      <c r="G348" s="71"/>
      <c r="H348" s="71"/>
      <c r="I348" s="71"/>
      <c r="J348" s="71"/>
      <c r="K348" s="71"/>
      <c r="L348" s="71"/>
      <c r="M348" s="71"/>
      <c r="N348" s="71"/>
      <c r="O348" s="71"/>
      <c r="P348" s="175"/>
      <c r="Q348" s="71"/>
      <c r="R348" s="71"/>
      <c r="S348" s="71"/>
      <c r="T348" s="71"/>
      <c r="U348" s="71"/>
      <c r="V348" s="71"/>
      <c r="W348" s="71"/>
      <c r="X348" s="71"/>
      <c r="Y348" s="71"/>
      <c r="Z348" s="71"/>
      <c r="AK348" s="71"/>
      <c r="AL348" s="71"/>
      <c r="AM348" s="71"/>
      <c r="AN348" s="71"/>
      <c r="AO348" s="71"/>
    </row>
    <row r="349" spans="3:41" ht="15" customHeight="1" x14ac:dyDescent="0.45">
      <c r="C349" s="119"/>
      <c r="D349" s="71"/>
      <c r="E349" s="71"/>
      <c r="F349" s="71"/>
      <c r="G349" s="71"/>
      <c r="H349" s="71"/>
      <c r="I349" s="71"/>
      <c r="J349" s="71"/>
      <c r="K349" s="71"/>
      <c r="L349" s="71"/>
      <c r="M349" s="123"/>
      <c r="N349" s="71"/>
      <c r="O349" s="71"/>
      <c r="P349" s="175"/>
      <c r="Q349" s="71"/>
      <c r="R349" s="71"/>
      <c r="S349" s="71"/>
      <c r="T349" s="71"/>
      <c r="U349" s="71"/>
      <c r="V349" s="71"/>
      <c r="W349" s="71"/>
      <c r="X349" s="71"/>
      <c r="Y349" s="71"/>
      <c r="Z349" s="71"/>
      <c r="AK349" s="71"/>
      <c r="AL349" s="71"/>
      <c r="AM349" s="71"/>
      <c r="AN349" s="71"/>
      <c r="AO349" s="71"/>
    </row>
    <row r="350" spans="3:41" ht="15" customHeight="1" x14ac:dyDescent="0.45">
      <c r="C350" s="119"/>
      <c r="D350" s="71"/>
      <c r="E350" s="71"/>
      <c r="F350" s="71"/>
      <c r="G350" s="71"/>
      <c r="H350" s="71"/>
      <c r="I350" s="71"/>
      <c r="J350" s="71"/>
      <c r="K350" s="71"/>
      <c r="L350" s="71"/>
      <c r="M350" s="123"/>
      <c r="N350" s="71"/>
      <c r="O350" s="71"/>
      <c r="P350" s="175"/>
      <c r="Q350" s="71"/>
      <c r="R350" s="71"/>
      <c r="S350" s="71"/>
      <c r="T350" s="71"/>
      <c r="U350" s="71"/>
      <c r="V350" s="71"/>
      <c r="W350" s="71"/>
      <c r="X350" s="71"/>
      <c r="Y350" s="71"/>
      <c r="Z350" s="71"/>
      <c r="AK350" s="71"/>
      <c r="AL350" s="71"/>
      <c r="AM350" s="71"/>
      <c r="AN350" s="71"/>
      <c r="AO350" s="71"/>
    </row>
    <row r="351" spans="3:41" ht="15" customHeight="1" x14ac:dyDescent="0.5">
      <c r="C351" s="119"/>
      <c r="D351" s="71"/>
      <c r="E351" s="71"/>
      <c r="F351" s="71"/>
      <c r="G351" s="71"/>
      <c r="H351" s="71"/>
      <c r="I351" s="71"/>
      <c r="J351" s="71"/>
      <c r="K351" s="71"/>
      <c r="L351" s="71"/>
      <c r="M351" s="125"/>
      <c r="N351" s="71"/>
      <c r="O351" s="71"/>
      <c r="P351" s="175"/>
      <c r="Q351" s="71"/>
      <c r="R351" s="71"/>
      <c r="S351" s="71"/>
      <c r="T351" s="71"/>
      <c r="U351" s="71"/>
      <c r="V351" s="71"/>
      <c r="W351" s="71"/>
      <c r="X351" s="71"/>
      <c r="Y351" s="71"/>
      <c r="Z351" s="71"/>
      <c r="AK351" s="71"/>
      <c r="AL351" s="71"/>
      <c r="AM351" s="71"/>
      <c r="AN351" s="71"/>
      <c r="AO351" s="71"/>
    </row>
    <row r="352" spans="3:41" ht="15" customHeight="1" x14ac:dyDescent="0.45">
      <c r="C352" s="119"/>
      <c r="D352" s="71"/>
      <c r="E352" s="71"/>
      <c r="F352" s="71"/>
      <c r="G352" s="71"/>
      <c r="H352" s="71"/>
      <c r="I352" s="71"/>
      <c r="J352" s="71"/>
      <c r="K352" s="118"/>
      <c r="L352" s="71"/>
      <c r="M352" s="123"/>
      <c r="N352" s="71"/>
      <c r="O352" s="71"/>
      <c r="P352" s="175"/>
      <c r="Q352" s="71"/>
      <c r="R352" s="71"/>
      <c r="S352" s="71"/>
      <c r="T352" s="71"/>
      <c r="U352" s="71"/>
      <c r="V352" s="71"/>
      <c r="W352" s="71"/>
      <c r="X352" s="71"/>
      <c r="Y352" s="71"/>
      <c r="Z352" s="71"/>
      <c r="AK352" s="71"/>
      <c r="AL352" s="71"/>
      <c r="AM352" s="71"/>
      <c r="AN352" s="71"/>
      <c r="AO352" s="71"/>
    </row>
    <row r="353" spans="3:41" ht="15" customHeight="1" x14ac:dyDescent="0.45">
      <c r="C353" s="119"/>
      <c r="D353" s="71"/>
      <c r="E353" s="71"/>
      <c r="F353" s="71"/>
      <c r="G353" s="71"/>
      <c r="H353" s="71"/>
      <c r="I353" s="71"/>
      <c r="J353" s="71"/>
      <c r="K353" s="118"/>
      <c r="L353" s="71"/>
      <c r="M353" s="123"/>
      <c r="N353" s="71"/>
      <c r="O353" s="71"/>
      <c r="P353" s="175"/>
      <c r="Q353" s="71"/>
      <c r="R353" s="71"/>
      <c r="S353" s="71"/>
      <c r="T353" s="71"/>
      <c r="U353" s="71"/>
      <c r="V353" s="71"/>
      <c r="W353" s="71"/>
      <c r="X353" s="71"/>
      <c r="Y353" s="71"/>
      <c r="Z353" s="71"/>
      <c r="AK353" s="71"/>
      <c r="AL353" s="71"/>
      <c r="AM353" s="71"/>
      <c r="AN353" s="71"/>
      <c r="AO353" s="71"/>
    </row>
    <row r="354" spans="3:41" ht="15" customHeight="1" x14ac:dyDescent="0.45">
      <c r="C354" s="119"/>
      <c r="D354" s="71"/>
      <c r="E354" s="71"/>
      <c r="F354" s="71"/>
      <c r="G354" s="71"/>
      <c r="H354" s="71"/>
      <c r="I354" s="71"/>
      <c r="J354" s="71"/>
      <c r="K354" s="118"/>
      <c r="L354" s="71"/>
      <c r="M354" s="123"/>
      <c r="N354" s="71"/>
      <c r="O354" s="71"/>
      <c r="P354" s="175"/>
      <c r="Q354" s="71"/>
      <c r="R354" s="71"/>
      <c r="S354" s="71"/>
      <c r="T354" s="71"/>
      <c r="U354" s="71"/>
      <c r="V354" s="71"/>
      <c r="W354" s="71"/>
      <c r="X354" s="71"/>
      <c r="Y354" s="71"/>
      <c r="Z354" s="71"/>
      <c r="AK354" s="71"/>
      <c r="AL354" s="71"/>
      <c r="AM354" s="71"/>
      <c r="AN354" s="71"/>
      <c r="AO354" s="71"/>
    </row>
    <row r="355" spans="3:41" ht="15" customHeight="1" x14ac:dyDescent="0.5">
      <c r="C355" s="119"/>
      <c r="D355" s="71"/>
      <c r="E355" s="71"/>
      <c r="F355" s="71"/>
      <c r="G355" s="71"/>
      <c r="H355" s="71"/>
      <c r="I355" s="71"/>
      <c r="J355" s="71"/>
      <c r="K355" s="118"/>
      <c r="L355" s="71"/>
      <c r="M355" s="125"/>
      <c r="N355" s="71"/>
      <c r="O355" s="71"/>
      <c r="P355" s="175"/>
      <c r="Q355" s="71"/>
      <c r="R355" s="71"/>
      <c r="S355" s="71"/>
      <c r="T355" s="71"/>
      <c r="U355" s="71"/>
      <c r="V355" s="71"/>
      <c r="W355" s="71"/>
      <c r="X355" s="71"/>
      <c r="Y355" s="71"/>
      <c r="Z355" s="71"/>
      <c r="AK355" s="71"/>
      <c r="AL355" s="71"/>
      <c r="AM355" s="71"/>
      <c r="AN355" s="71"/>
      <c r="AO355" s="71"/>
    </row>
    <row r="356" spans="3:41" ht="15" customHeight="1" x14ac:dyDescent="0.5">
      <c r="C356" s="119"/>
      <c r="D356" s="71"/>
      <c r="E356" s="71"/>
      <c r="F356" s="71"/>
      <c r="G356" s="71"/>
      <c r="H356" s="71"/>
      <c r="I356" s="71"/>
      <c r="J356" s="71"/>
      <c r="K356" s="118"/>
      <c r="L356" s="71"/>
      <c r="M356" s="125"/>
      <c r="N356" s="71"/>
      <c r="O356" s="71"/>
      <c r="P356" s="175"/>
      <c r="Q356" s="71"/>
      <c r="R356" s="71"/>
      <c r="S356" s="71"/>
      <c r="T356" s="71"/>
      <c r="U356" s="71"/>
      <c r="V356" s="71"/>
      <c r="W356" s="71"/>
      <c r="X356" s="71"/>
      <c r="Y356" s="71"/>
      <c r="Z356" s="71"/>
      <c r="AK356" s="71"/>
      <c r="AL356" s="71"/>
      <c r="AM356" s="71"/>
      <c r="AN356" s="71"/>
      <c r="AO356" s="71"/>
    </row>
    <row r="357" spans="3:41" ht="15" customHeight="1" x14ac:dyDescent="0.5">
      <c r="C357" s="119"/>
      <c r="D357" s="71"/>
      <c r="E357" s="71"/>
      <c r="F357" s="71"/>
      <c r="G357" s="71"/>
      <c r="H357" s="71"/>
      <c r="I357" s="71"/>
      <c r="J357" s="71"/>
      <c r="K357" s="118"/>
      <c r="L357" s="71"/>
      <c r="M357" s="125"/>
      <c r="N357" s="71"/>
      <c r="O357" s="71"/>
      <c r="P357" s="175"/>
      <c r="Q357" s="71"/>
      <c r="R357" s="71"/>
      <c r="S357" s="71"/>
      <c r="T357" s="71"/>
      <c r="U357" s="71"/>
      <c r="V357" s="71"/>
      <c r="W357" s="71"/>
      <c r="X357" s="71"/>
      <c r="Y357" s="71"/>
      <c r="Z357" s="71"/>
      <c r="AK357" s="71"/>
      <c r="AL357" s="71"/>
      <c r="AM357" s="71"/>
      <c r="AN357" s="71"/>
      <c r="AO357" s="71"/>
    </row>
    <row r="358" spans="3:41" ht="15" customHeight="1" x14ac:dyDescent="0.5">
      <c r="C358" s="119"/>
      <c r="D358" s="71"/>
      <c r="E358" s="71"/>
      <c r="F358" s="71"/>
      <c r="G358" s="71"/>
      <c r="H358" s="71"/>
      <c r="I358" s="71"/>
      <c r="J358" s="71"/>
      <c r="K358" s="118"/>
      <c r="L358" s="71"/>
      <c r="M358" s="125"/>
      <c r="N358" s="71"/>
      <c r="O358" s="71"/>
      <c r="P358" s="175"/>
      <c r="Q358" s="71"/>
      <c r="R358" s="71"/>
      <c r="S358" s="71"/>
      <c r="T358" s="71"/>
      <c r="U358" s="71"/>
      <c r="V358" s="71"/>
      <c r="W358" s="71"/>
      <c r="X358" s="71"/>
      <c r="Y358" s="71"/>
      <c r="Z358" s="71"/>
      <c r="AK358" s="71"/>
      <c r="AL358" s="71"/>
      <c r="AM358" s="71"/>
      <c r="AN358" s="71"/>
      <c r="AO358" s="71"/>
    </row>
    <row r="359" spans="3:41" ht="15" customHeight="1" x14ac:dyDescent="0.4">
      <c r="C359" s="119"/>
      <c r="D359" s="71"/>
      <c r="E359" s="71"/>
      <c r="F359" s="71"/>
      <c r="G359" s="71"/>
      <c r="H359" s="71"/>
      <c r="I359" s="71"/>
      <c r="J359" s="71"/>
      <c r="K359" s="71"/>
      <c r="L359" s="71"/>
      <c r="M359" s="71"/>
      <c r="N359" s="71"/>
      <c r="O359" s="71"/>
      <c r="P359" s="175"/>
      <c r="Q359" s="71"/>
      <c r="R359" s="71"/>
      <c r="S359" s="71"/>
      <c r="T359" s="71"/>
      <c r="U359" s="71"/>
      <c r="V359" s="71"/>
      <c r="W359" s="71"/>
      <c r="X359" s="71"/>
      <c r="Y359" s="71"/>
      <c r="Z359" s="71"/>
      <c r="AK359" s="71"/>
      <c r="AL359" s="71"/>
      <c r="AM359" s="71"/>
      <c r="AN359" s="71"/>
      <c r="AO359" s="71"/>
    </row>
    <row r="360" spans="3:41" ht="15" customHeight="1" x14ac:dyDescent="0.4">
      <c r="C360" s="119"/>
      <c r="D360" s="71"/>
      <c r="E360" s="71"/>
      <c r="F360" s="71"/>
      <c r="G360" s="71"/>
      <c r="H360" s="71"/>
      <c r="I360" s="71"/>
      <c r="J360" s="71"/>
      <c r="K360" s="71"/>
      <c r="L360" s="71"/>
      <c r="M360" s="71"/>
      <c r="N360" s="71"/>
      <c r="O360" s="71"/>
      <c r="P360" s="175"/>
      <c r="Q360" s="71"/>
      <c r="R360" s="71"/>
      <c r="S360" s="71"/>
      <c r="T360" s="71"/>
      <c r="U360" s="71"/>
      <c r="V360" s="71"/>
      <c r="W360" s="71"/>
      <c r="X360" s="71"/>
      <c r="Y360" s="71"/>
      <c r="Z360" s="71"/>
      <c r="AK360" s="71"/>
      <c r="AL360" s="71"/>
      <c r="AM360" s="71"/>
      <c r="AN360" s="71"/>
      <c r="AO360" s="71"/>
    </row>
    <row r="361" spans="3:41" ht="15" customHeight="1" x14ac:dyDescent="0.4">
      <c r="C361" s="119"/>
      <c r="D361" s="71"/>
      <c r="E361" s="71"/>
      <c r="F361" s="71"/>
      <c r="G361" s="71"/>
      <c r="H361" s="71"/>
      <c r="I361" s="71"/>
      <c r="J361" s="71"/>
      <c r="K361" s="71"/>
      <c r="L361" s="71"/>
      <c r="M361" s="71"/>
      <c r="N361" s="71"/>
      <c r="O361" s="71"/>
      <c r="P361" s="175"/>
      <c r="Q361" s="71"/>
      <c r="R361" s="71"/>
      <c r="S361" s="71"/>
      <c r="T361" s="71"/>
      <c r="U361" s="71"/>
      <c r="V361" s="71"/>
      <c r="W361" s="71"/>
      <c r="X361" s="71"/>
      <c r="Y361" s="71"/>
      <c r="Z361" s="71"/>
      <c r="AK361" s="71"/>
      <c r="AL361" s="71"/>
      <c r="AM361" s="71"/>
      <c r="AN361" s="71"/>
      <c r="AO361" s="71"/>
    </row>
    <row r="362" spans="3:41" ht="15" customHeight="1" x14ac:dyDescent="0.4">
      <c r="C362" s="119"/>
      <c r="D362" s="71"/>
      <c r="E362" s="71"/>
      <c r="F362" s="71"/>
      <c r="G362" s="71"/>
      <c r="H362" s="71"/>
      <c r="I362" s="71"/>
      <c r="J362" s="71"/>
      <c r="K362" s="71"/>
      <c r="L362" s="71"/>
      <c r="M362" s="71"/>
      <c r="N362" s="71"/>
      <c r="O362" s="71"/>
      <c r="P362" s="175"/>
      <c r="Q362" s="71"/>
      <c r="R362" s="71"/>
      <c r="S362" s="71"/>
      <c r="T362" s="71"/>
      <c r="U362" s="71"/>
      <c r="V362" s="71"/>
      <c r="W362" s="71"/>
      <c r="X362" s="71"/>
      <c r="Y362" s="71"/>
      <c r="Z362" s="71"/>
      <c r="AK362" s="71"/>
      <c r="AL362" s="71"/>
      <c r="AM362" s="71"/>
      <c r="AN362" s="71"/>
      <c r="AO362" s="71"/>
    </row>
    <row r="363" spans="3:41" ht="15" customHeight="1" x14ac:dyDescent="0.45">
      <c r="C363" s="119"/>
      <c r="D363" s="71"/>
      <c r="E363" s="71"/>
      <c r="F363" s="71"/>
      <c r="G363" s="71"/>
      <c r="H363" s="71"/>
      <c r="I363" s="71"/>
      <c r="J363" s="71"/>
      <c r="K363" s="71"/>
      <c r="L363" s="71"/>
      <c r="M363" s="123"/>
      <c r="N363" s="71"/>
      <c r="O363" s="71"/>
      <c r="P363" s="175"/>
      <c r="Q363" s="71"/>
      <c r="R363" s="71"/>
      <c r="S363" s="71"/>
      <c r="T363" s="71"/>
      <c r="U363" s="71"/>
      <c r="V363" s="71"/>
      <c r="W363" s="71"/>
      <c r="X363" s="71"/>
      <c r="Y363" s="71"/>
      <c r="Z363" s="71"/>
      <c r="AK363" s="71"/>
      <c r="AL363" s="71"/>
      <c r="AM363" s="71"/>
      <c r="AN363" s="71"/>
      <c r="AO363" s="71"/>
    </row>
    <row r="364" spans="3:41" ht="15" customHeight="1" x14ac:dyDescent="0.4">
      <c r="C364" s="119"/>
      <c r="D364" s="71"/>
      <c r="E364" s="71"/>
      <c r="F364" s="71"/>
      <c r="G364" s="71"/>
      <c r="H364" s="71"/>
      <c r="I364" s="71"/>
      <c r="J364" s="71"/>
      <c r="K364" s="71"/>
      <c r="L364" s="71"/>
      <c r="M364" s="71"/>
      <c r="N364" s="71"/>
      <c r="O364" s="71"/>
      <c r="P364" s="175"/>
      <c r="Q364" s="71"/>
      <c r="R364" s="71"/>
      <c r="S364" s="71"/>
      <c r="T364" s="71"/>
      <c r="U364" s="71"/>
      <c r="V364" s="71"/>
      <c r="W364" s="71"/>
      <c r="X364" s="71"/>
      <c r="Y364" s="71"/>
      <c r="Z364" s="71"/>
      <c r="AK364" s="71"/>
      <c r="AL364" s="71"/>
      <c r="AM364" s="71"/>
      <c r="AN364" s="71"/>
      <c r="AO364" s="71"/>
    </row>
    <row r="365" spans="3:41" ht="15" customHeight="1" x14ac:dyDescent="0.4">
      <c r="C365" s="119"/>
      <c r="D365" s="71"/>
      <c r="E365" s="71"/>
      <c r="F365" s="71"/>
      <c r="G365" s="71"/>
      <c r="H365" s="71"/>
      <c r="I365" s="71"/>
      <c r="J365" s="71"/>
      <c r="K365" s="71"/>
      <c r="L365" s="71"/>
      <c r="M365" s="71"/>
      <c r="N365" s="71"/>
      <c r="O365" s="71"/>
      <c r="P365" s="175"/>
      <c r="Q365" s="71"/>
      <c r="R365" s="71"/>
      <c r="S365" s="71"/>
      <c r="T365" s="71"/>
      <c r="U365" s="71"/>
      <c r="V365" s="71"/>
      <c r="W365" s="71"/>
      <c r="X365" s="71"/>
      <c r="Y365" s="71"/>
      <c r="Z365" s="71"/>
      <c r="AK365" s="71"/>
      <c r="AL365" s="71"/>
      <c r="AM365" s="71"/>
      <c r="AN365" s="71"/>
      <c r="AO365" s="71"/>
    </row>
    <row r="366" spans="3:41" ht="15" customHeight="1" x14ac:dyDescent="0.4">
      <c r="C366" s="119"/>
      <c r="D366" s="71"/>
      <c r="E366" s="71"/>
      <c r="F366" s="71"/>
      <c r="G366" s="71"/>
      <c r="H366" s="71"/>
      <c r="I366" s="71"/>
      <c r="J366" s="71"/>
      <c r="K366" s="83"/>
      <c r="L366" s="71"/>
      <c r="M366" s="71"/>
      <c r="N366" s="71"/>
      <c r="O366" s="71"/>
      <c r="P366" s="175"/>
      <c r="Q366" s="71"/>
      <c r="R366" s="71"/>
      <c r="S366" s="71"/>
      <c r="T366" s="71"/>
      <c r="U366" s="71"/>
      <c r="V366" s="71"/>
      <c r="W366" s="71"/>
      <c r="X366" s="71"/>
      <c r="Y366" s="71"/>
      <c r="Z366" s="71"/>
      <c r="AK366" s="71"/>
      <c r="AL366" s="71"/>
      <c r="AM366" s="71"/>
      <c r="AN366" s="71"/>
      <c r="AO366" s="71"/>
    </row>
    <row r="367" spans="3:41" ht="15" customHeight="1" x14ac:dyDescent="0.4">
      <c r="C367" s="119"/>
      <c r="D367" s="71"/>
      <c r="E367" s="71"/>
      <c r="F367" s="71"/>
      <c r="G367" s="71"/>
      <c r="H367" s="71"/>
      <c r="I367" s="71"/>
      <c r="J367" s="71"/>
      <c r="K367" s="71"/>
      <c r="L367" s="71"/>
      <c r="M367" s="71"/>
      <c r="N367" s="71"/>
      <c r="O367" s="71"/>
      <c r="P367" s="175"/>
      <c r="Q367" s="71"/>
      <c r="R367" s="71"/>
      <c r="S367" s="71"/>
      <c r="T367" s="71"/>
      <c r="U367" s="71"/>
      <c r="V367" s="71"/>
      <c r="W367" s="71"/>
      <c r="X367" s="71"/>
      <c r="Y367" s="71"/>
      <c r="Z367" s="71"/>
      <c r="AK367" s="71"/>
      <c r="AL367" s="71"/>
      <c r="AM367" s="71"/>
      <c r="AN367" s="71"/>
      <c r="AO367" s="71"/>
    </row>
    <row r="368" spans="3:41" ht="15" customHeight="1" x14ac:dyDescent="0.4">
      <c r="C368" s="119"/>
      <c r="D368" s="71"/>
      <c r="E368" s="71"/>
      <c r="F368" s="71"/>
      <c r="G368" s="71"/>
      <c r="H368" s="71"/>
      <c r="I368" s="71"/>
      <c r="J368" s="71"/>
      <c r="K368" s="71"/>
      <c r="L368" s="71"/>
      <c r="M368" s="71"/>
      <c r="N368" s="71"/>
      <c r="O368" s="71"/>
      <c r="P368" s="175"/>
      <c r="Q368" s="71"/>
      <c r="R368" s="71"/>
      <c r="S368" s="71"/>
      <c r="T368" s="71"/>
      <c r="U368" s="71"/>
      <c r="V368" s="71"/>
      <c r="W368" s="71"/>
      <c r="X368" s="71"/>
      <c r="Y368" s="71"/>
      <c r="Z368" s="71"/>
      <c r="AK368" s="71"/>
      <c r="AL368" s="71"/>
      <c r="AM368" s="71"/>
      <c r="AN368" s="71"/>
      <c r="AO368" s="71"/>
    </row>
    <row r="369" spans="3:41" ht="15" customHeight="1" x14ac:dyDescent="0.4">
      <c r="C369" s="119"/>
      <c r="D369" s="71"/>
      <c r="E369" s="71"/>
      <c r="F369" s="71"/>
      <c r="G369" s="71"/>
      <c r="H369" s="71"/>
      <c r="I369" s="71"/>
      <c r="J369" s="71"/>
      <c r="K369" s="71"/>
      <c r="L369" s="71"/>
      <c r="M369" s="71"/>
      <c r="N369" s="71"/>
      <c r="O369" s="71"/>
      <c r="P369" s="175"/>
      <c r="Q369" s="71"/>
      <c r="R369" s="71"/>
      <c r="S369" s="71"/>
      <c r="T369" s="71"/>
      <c r="U369" s="71"/>
      <c r="V369" s="71"/>
      <c r="W369" s="71"/>
      <c r="X369" s="71"/>
      <c r="Y369" s="71"/>
      <c r="Z369" s="71"/>
      <c r="AK369" s="71"/>
      <c r="AL369" s="71"/>
      <c r="AM369" s="71"/>
      <c r="AN369" s="71"/>
      <c r="AO369" s="71"/>
    </row>
    <row r="370" spans="3:41" ht="15" customHeight="1" x14ac:dyDescent="0.4">
      <c r="C370" s="119"/>
      <c r="D370" s="71"/>
      <c r="E370" s="71"/>
      <c r="F370" s="71"/>
      <c r="G370" s="71"/>
      <c r="H370" s="71"/>
      <c r="I370" s="71"/>
      <c r="J370" s="71"/>
      <c r="K370" s="71"/>
      <c r="L370" s="71"/>
      <c r="M370" s="71"/>
      <c r="N370" s="71"/>
      <c r="O370" s="71"/>
      <c r="P370" s="175"/>
      <c r="Q370" s="71"/>
      <c r="R370" s="71"/>
      <c r="S370" s="71"/>
      <c r="T370" s="71"/>
      <c r="U370" s="71"/>
      <c r="V370" s="71"/>
      <c r="W370" s="71"/>
      <c r="X370" s="71"/>
      <c r="Y370" s="71"/>
      <c r="Z370" s="71"/>
      <c r="AK370" s="71"/>
      <c r="AL370" s="71"/>
      <c r="AM370" s="71"/>
      <c r="AN370" s="71"/>
      <c r="AO370" s="71"/>
    </row>
    <row r="371" spans="3:41" ht="15" customHeight="1" x14ac:dyDescent="0.4">
      <c r="C371" s="119"/>
      <c r="D371" s="71"/>
      <c r="E371" s="71"/>
      <c r="F371" s="71"/>
      <c r="G371" s="71"/>
      <c r="H371" s="71"/>
      <c r="I371" s="71"/>
      <c r="J371" s="71"/>
      <c r="K371" s="71"/>
      <c r="L371" s="71"/>
      <c r="M371" s="71"/>
      <c r="N371" s="71"/>
      <c r="O371" s="71"/>
      <c r="P371" s="175"/>
      <c r="Q371" s="71"/>
      <c r="R371" s="71"/>
      <c r="S371" s="71"/>
      <c r="T371" s="71"/>
      <c r="U371" s="71"/>
      <c r="V371" s="71"/>
      <c r="W371" s="71"/>
      <c r="X371" s="71"/>
      <c r="Y371" s="71"/>
      <c r="Z371" s="71"/>
      <c r="AK371" s="71"/>
      <c r="AL371" s="71"/>
      <c r="AM371" s="71"/>
      <c r="AN371" s="71"/>
      <c r="AO371" s="71"/>
    </row>
    <row r="372" spans="3:41" ht="15" customHeight="1" x14ac:dyDescent="0.4">
      <c r="C372" s="119"/>
      <c r="D372" s="71"/>
      <c r="E372" s="71"/>
      <c r="F372" s="71"/>
      <c r="G372" s="71"/>
      <c r="H372" s="71"/>
      <c r="I372" s="71"/>
      <c r="J372" s="71"/>
      <c r="K372" s="71"/>
      <c r="L372" s="71"/>
      <c r="M372" s="71"/>
      <c r="N372" s="71"/>
      <c r="O372" s="71"/>
      <c r="P372" s="175"/>
      <c r="Q372" s="71"/>
      <c r="R372" s="71"/>
      <c r="S372" s="71"/>
      <c r="T372" s="71"/>
      <c r="U372" s="71"/>
      <c r="V372" s="71"/>
      <c r="W372" s="71"/>
      <c r="X372" s="71"/>
      <c r="Y372" s="71"/>
      <c r="Z372" s="71"/>
      <c r="AK372" s="71"/>
      <c r="AL372" s="71"/>
      <c r="AM372" s="71"/>
      <c r="AN372" s="71"/>
      <c r="AO372" s="71"/>
    </row>
    <row r="373" spans="3:41" ht="15" customHeight="1" x14ac:dyDescent="0.4">
      <c r="C373" s="119"/>
      <c r="D373" s="71"/>
      <c r="E373" s="71"/>
      <c r="F373" s="71"/>
      <c r="G373" s="71"/>
      <c r="H373" s="71"/>
      <c r="I373" s="71"/>
      <c r="J373" s="71"/>
      <c r="K373" s="71"/>
      <c r="L373" s="71"/>
      <c r="M373" s="71"/>
      <c r="N373" s="71"/>
      <c r="O373" s="71"/>
      <c r="P373" s="175"/>
      <c r="Q373" s="71"/>
      <c r="R373" s="71"/>
      <c r="S373" s="71"/>
      <c r="T373" s="71"/>
      <c r="U373" s="71"/>
      <c r="V373" s="71"/>
      <c r="W373" s="71"/>
      <c r="X373" s="71"/>
      <c r="Y373" s="71"/>
      <c r="Z373" s="71"/>
      <c r="AK373" s="71"/>
      <c r="AL373" s="71"/>
      <c r="AM373" s="71"/>
      <c r="AN373" s="71"/>
      <c r="AO373" s="71"/>
    </row>
    <row r="374" spans="3:41" ht="15" customHeight="1" x14ac:dyDescent="0.4">
      <c r="C374" s="119"/>
      <c r="D374" s="71"/>
      <c r="E374" s="71"/>
      <c r="F374" s="71"/>
      <c r="G374" s="71"/>
      <c r="H374" s="71"/>
      <c r="I374" s="71"/>
      <c r="J374" s="71"/>
      <c r="K374" s="71"/>
      <c r="L374" s="71"/>
      <c r="M374" s="71"/>
      <c r="N374" s="71"/>
      <c r="O374" s="71"/>
      <c r="P374" s="175"/>
      <c r="Q374" s="71"/>
      <c r="R374" s="71"/>
      <c r="S374" s="71"/>
      <c r="T374" s="71"/>
      <c r="U374" s="71"/>
      <c r="V374" s="71"/>
      <c r="W374" s="71"/>
      <c r="X374" s="71"/>
      <c r="Y374" s="71"/>
      <c r="Z374" s="71"/>
      <c r="AK374" s="71"/>
      <c r="AL374" s="71"/>
      <c r="AM374" s="71"/>
      <c r="AN374" s="71"/>
      <c r="AO374" s="71"/>
    </row>
    <row r="375" spans="3:41" ht="15" customHeight="1" x14ac:dyDescent="0.4">
      <c r="C375" s="119"/>
      <c r="D375" s="71"/>
      <c r="E375" s="71"/>
      <c r="F375" s="71"/>
      <c r="G375" s="71"/>
      <c r="H375" s="71"/>
      <c r="I375" s="71"/>
      <c r="J375" s="71"/>
      <c r="K375" s="71"/>
      <c r="L375" s="71"/>
      <c r="M375" s="71"/>
      <c r="N375" s="71"/>
      <c r="O375" s="71"/>
      <c r="P375" s="175"/>
      <c r="Q375" s="71"/>
      <c r="R375" s="71"/>
      <c r="S375" s="71"/>
      <c r="T375" s="71"/>
      <c r="U375" s="71"/>
      <c r="V375" s="71"/>
      <c r="W375" s="71"/>
      <c r="X375" s="71"/>
      <c r="Y375" s="71"/>
      <c r="Z375" s="71"/>
      <c r="AK375" s="71"/>
      <c r="AL375" s="71"/>
      <c r="AM375" s="71"/>
      <c r="AN375" s="71"/>
      <c r="AO375" s="71"/>
    </row>
    <row r="376" spans="3:41" ht="15" customHeight="1" x14ac:dyDescent="0.4">
      <c r="C376" s="119"/>
      <c r="D376" s="71"/>
      <c r="E376" s="71"/>
      <c r="F376" s="71"/>
      <c r="G376" s="71"/>
      <c r="H376" s="71"/>
      <c r="I376" s="71"/>
      <c r="J376" s="71"/>
      <c r="K376" s="71"/>
      <c r="L376" s="71"/>
      <c r="M376" s="71"/>
      <c r="N376" s="71"/>
      <c r="O376" s="71"/>
      <c r="P376" s="175"/>
      <c r="Q376" s="71"/>
      <c r="R376" s="71"/>
      <c r="S376" s="71"/>
      <c r="T376" s="71"/>
      <c r="U376" s="71"/>
      <c r="V376" s="71"/>
      <c r="W376" s="71"/>
      <c r="X376" s="71"/>
      <c r="Y376" s="71"/>
      <c r="Z376" s="71"/>
      <c r="AK376" s="71"/>
      <c r="AL376" s="71"/>
      <c r="AM376" s="71"/>
      <c r="AN376" s="71"/>
      <c r="AO376" s="71"/>
    </row>
    <row r="377" spans="3:41" ht="15" customHeight="1" x14ac:dyDescent="0.4">
      <c r="C377" s="119"/>
      <c r="D377" s="71"/>
      <c r="E377" s="71"/>
      <c r="F377" s="71"/>
      <c r="G377" s="71"/>
      <c r="H377" s="71"/>
      <c r="I377" s="71"/>
      <c r="J377" s="71"/>
      <c r="K377" s="83"/>
      <c r="L377" s="83"/>
      <c r="M377" s="71"/>
      <c r="N377" s="71"/>
      <c r="O377" s="71"/>
      <c r="P377" s="175"/>
      <c r="Q377" s="71"/>
      <c r="R377" s="71"/>
      <c r="S377" s="71"/>
      <c r="T377" s="71"/>
      <c r="U377" s="71"/>
      <c r="V377" s="71"/>
      <c r="W377" s="71"/>
      <c r="X377" s="71"/>
      <c r="Y377" s="71"/>
      <c r="Z377" s="71"/>
      <c r="AK377" s="71"/>
      <c r="AL377" s="71"/>
      <c r="AM377" s="71"/>
      <c r="AN377" s="71"/>
      <c r="AO377" s="71"/>
    </row>
    <row r="378" spans="3:41" ht="15" customHeight="1" x14ac:dyDescent="0.4">
      <c r="C378" s="119"/>
      <c r="D378" s="71"/>
      <c r="E378" s="71"/>
      <c r="F378" s="71"/>
      <c r="G378" s="71"/>
      <c r="H378" s="71"/>
      <c r="I378" s="71"/>
      <c r="J378" s="71"/>
      <c r="K378" s="83"/>
      <c r="L378" s="83"/>
      <c r="M378" s="71"/>
      <c r="N378" s="71"/>
      <c r="O378" s="71"/>
      <c r="P378" s="175"/>
      <c r="Q378" s="71"/>
      <c r="R378" s="71"/>
      <c r="S378" s="71"/>
      <c r="T378" s="71"/>
      <c r="U378" s="71"/>
      <c r="V378" s="71"/>
      <c r="W378" s="71"/>
      <c r="X378" s="71"/>
      <c r="Y378" s="71"/>
      <c r="Z378" s="71"/>
      <c r="AK378" s="71"/>
      <c r="AL378" s="71"/>
      <c r="AM378" s="71"/>
      <c r="AN378" s="71"/>
      <c r="AO378" s="71"/>
    </row>
    <row r="379" spans="3:41" ht="15" customHeight="1" x14ac:dyDescent="0.4">
      <c r="C379" s="119"/>
      <c r="D379" s="71"/>
      <c r="E379" s="71"/>
      <c r="F379" s="71"/>
      <c r="G379" s="71"/>
      <c r="H379" s="71"/>
      <c r="I379" s="71"/>
      <c r="J379" s="71"/>
      <c r="K379" s="83"/>
      <c r="L379" s="83"/>
      <c r="M379" s="71"/>
      <c r="N379" s="71"/>
      <c r="O379" s="71"/>
      <c r="P379" s="175"/>
      <c r="Q379" s="71"/>
      <c r="R379" s="71"/>
      <c r="S379" s="71"/>
      <c r="T379" s="71"/>
      <c r="U379" s="71"/>
      <c r="V379" s="71"/>
      <c r="W379" s="71"/>
      <c r="X379" s="71"/>
      <c r="Y379" s="71"/>
      <c r="Z379" s="71"/>
      <c r="AK379" s="71"/>
      <c r="AL379" s="71"/>
      <c r="AM379" s="71"/>
      <c r="AN379" s="71"/>
      <c r="AO379" s="71"/>
    </row>
    <row r="380" spans="3:41" ht="15" customHeight="1" x14ac:dyDescent="0.4">
      <c r="C380" s="119"/>
      <c r="D380" s="71"/>
      <c r="E380" s="71"/>
      <c r="F380" s="71"/>
      <c r="G380" s="71"/>
      <c r="H380" s="71"/>
      <c r="I380" s="71"/>
      <c r="J380" s="71"/>
      <c r="K380" s="83"/>
      <c r="L380" s="83"/>
      <c r="M380" s="71"/>
      <c r="N380" s="71"/>
      <c r="O380" s="71"/>
      <c r="P380" s="175"/>
      <c r="Q380" s="71"/>
      <c r="R380" s="71"/>
      <c r="S380" s="71"/>
      <c r="T380" s="71"/>
      <c r="U380" s="71"/>
      <c r="V380" s="71"/>
      <c r="W380" s="71"/>
      <c r="X380" s="71"/>
      <c r="Y380" s="71"/>
      <c r="Z380" s="71"/>
      <c r="AK380" s="71"/>
      <c r="AL380" s="71"/>
      <c r="AM380" s="71"/>
      <c r="AN380" s="71"/>
      <c r="AO380" s="71"/>
    </row>
    <row r="381" spans="3:41" ht="15" customHeight="1" x14ac:dyDescent="0.4">
      <c r="C381" s="119"/>
      <c r="D381" s="71"/>
      <c r="E381" s="71"/>
      <c r="F381" s="71"/>
      <c r="G381" s="71"/>
      <c r="H381" s="71"/>
      <c r="I381" s="71"/>
      <c r="J381" s="71"/>
      <c r="K381" s="83"/>
      <c r="L381" s="83"/>
      <c r="M381" s="71"/>
      <c r="N381" s="71"/>
      <c r="O381" s="71"/>
      <c r="P381" s="175"/>
      <c r="Q381" s="71"/>
      <c r="R381" s="71"/>
      <c r="S381" s="71"/>
      <c r="T381" s="71"/>
      <c r="U381" s="71"/>
      <c r="V381" s="71"/>
      <c r="W381" s="71"/>
      <c r="X381" s="71"/>
      <c r="Y381" s="71"/>
      <c r="Z381" s="71"/>
      <c r="AK381" s="71"/>
      <c r="AL381" s="71"/>
      <c r="AM381" s="71"/>
      <c r="AN381" s="71"/>
      <c r="AO381" s="71"/>
    </row>
    <row r="382" spans="3:41" ht="15" customHeight="1" x14ac:dyDescent="0.4">
      <c r="C382" s="119"/>
      <c r="D382" s="71"/>
      <c r="E382" s="71"/>
      <c r="F382" s="71"/>
      <c r="G382" s="71"/>
      <c r="H382" s="71"/>
      <c r="I382" s="71"/>
      <c r="J382" s="71"/>
      <c r="K382" s="83"/>
      <c r="L382" s="83"/>
      <c r="M382" s="71"/>
      <c r="N382" s="71"/>
      <c r="O382" s="71"/>
      <c r="P382" s="175"/>
      <c r="Q382" s="71"/>
      <c r="R382" s="71"/>
      <c r="S382" s="71"/>
      <c r="T382" s="71"/>
      <c r="U382" s="71"/>
      <c r="V382" s="71"/>
      <c r="W382" s="71"/>
      <c r="X382" s="71"/>
      <c r="Y382" s="71"/>
      <c r="Z382" s="71"/>
      <c r="AK382" s="71"/>
      <c r="AL382" s="71"/>
      <c r="AM382" s="71"/>
      <c r="AN382" s="71"/>
      <c r="AO382" s="71"/>
    </row>
    <row r="383" spans="3:41" ht="15" customHeight="1" x14ac:dyDescent="0.4">
      <c r="C383" s="119"/>
      <c r="D383" s="71"/>
      <c r="E383" s="71"/>
      <c r="F383" s="71"/>
      <c r="G383" s="71"/>
      <c r="H383" s="71"/>
      <c r="I383" s="71"/>
      <c r="J383" s="71"/>
      <c r="K383" s="83"/>
      <c r="L383" s="83"/>
      <c r="M383" s="71"/>
      <c r="N383" s="71"/>
      <c r="O383" s="71"/>
      <c r="P383" s="175"/>
      <c r="Q383" s="71"/>
      <c r="R383" s="71"/>
      <c r="S383" s="71"/>
      <c r="T383" s="71"/>
      <c r="U383" s="71"/>
      <c r="V383" s="71"/>
      <c r="W383" s="71"/>
      <c r="X383" s="71"/>
      <c r="Y383" s="71"/>
      <c r="Z383" s="71"/>
      <c r="AK383" s="71"/>
      <c r="AL383" s="71"/>
      <c r="AM383" s="71"/>
      <c r="AN383" s="71"/>
      <c r="AO383" s="71"/>
    </row>
    <row r="384" spans="3:41" ht="15" customHeight="1" x14ac:dyDescent="0.4">
      <c r="C384" s="119"/>
      <c r="D384" s="71"/>
      <c r="E384" s="71"/>
      <c r="F384" s="71"/>
      <c r="G384" s="71"/>
      <c r="H384" s="71"/>
      <c r="I384" s="71"/>
      <c r="J384" s="71"/>
      <c r="K384" s="71"/>
      <c r="L384" s="83"/>
      <c r="M384" s="71"/>
      <c r="N384" s="71"/>
      <c r="O384" s="71"/>
      <c r="P384" s="175"/>
      <c r="Q384" s="71"/>
      <c r="R384" s="71"/>
      <c r="S384" s="71"/>
      <c r="T384" s="71"/>
      <c r="U384" s="71"/>
      <c r="V384" s="71"/>
      <c r="W384" s="71"/>
      <c r="X384" s="71"/>
      <c r="Y384" s="71"/>
      <c r="Z384" s="71"/>
      <c r="AK384" s="71"/>
      <c r="AL384" s="71"/>
      <c r="AM384" s="71"/>
      <c r="AN384" s="71"/>
      <c r="AO384" s="71"/>
    </row>
    <row r="385" spans="3:41" ht="15" customHeight="1" x14ac:dyDescent="0.4">
      <c r="C385" s="119"/>
      <c r="D385" s="71"/>
      <c r="E385" s="71"/>
      <c r="F385" s="71"/>
      <c r="G385" s="71"/>
      <c r="H385" s="71"/>
      <c r="I385" s="71"/>
      <c r="J385" s="71"/>
      <c r="K385" s="83"/>
      <c r="L385" s="83"/>
      <c r="M385" s="71"/>
      <c r="N385" s="71"/>
      <c r="O385" s="71"/>
      <c r="P385" s="175"/>
      <c r="Q385" s="71"/>
      <c r="R385" s="71"/>
      <c r="S385" s="71"/>
      <c r="T385" s="71"/>
      <c r="U385" s="71"/>
      <c r="V385" s="71"/>
      <c r="W385" s="71"/>
      <c r="X385" s="71"/>
      <c r="Y385" s="71"/>
      <c r="Z385" s="71"/>
      <c r="AK385" s="71"/>
      <c r="AL385" s="71"/>
      <c r="AM385" s="71"/>
      <c r="AN385" s="71"/>
      <c r="AO385" s="71"/>
    </row>
    <row r="386" spans="3:41" ht="15" customHeight="1" x14ac:dyDescent="0.4">
      <c r="C386" s="119"/>
      <c r="D386" s="71"/>
      <c r="E386" s="71"/>
      <c r="F386" s="71"/>
      <c r="G386" s="71"/>
      <c r="H386" s="71"/>
      <c r="I386" s="71"/>
      <c r="J386" s="71"/>
      <c r="K386" s="84"/>
      <c r="L386" s="83"/>
      <c r="M386" s="71"/>
      <c r="N386" s="71"/>
      <c r="O386" s="71"/>
      <c r="P386" s="175"/>
      <c r="Q386" s="71"/>
      <c r="R386" s="71"/>
      <c r="S386" s="71"/>
      <c r="T386" s="71"/>
      <c r="U386" s="71"/>
      <c r="V386" s="71"/>
      <c r="W386" s="71"/>
      <c r="X386" s="71"/>
      <c r="Y386" s="71"/>
      <c r="Z386" s="71"/>
      <c r="AK386" s="71"/>
      <c r="AL386" s="71"/>
      <c r="AM386" s="71"/>
      <c r="AN386" s="71"/>
      <c r="AO386" s="71"/>
    </row>
    <row r="387" spans="3:41" ht="15" customHeight="1" x14ac:dyDescent="0.4">
      <c r="C387" s="119"/>
      <c r="D387" s="71"/>
      <c r="E387" s="71"/>
      <c r="F387" s="71"/>
      <c r="G387" s="71"/>
      <c r="H387" s="71"/>
      <c r="I387" s="71"/>
      <c r="J387" s="71"/>
      <c r="K387" s="83"/>
      <c r="L387" s="83"/>
      <c r="M387" s="71"/>
      <c r="N387" s="71"/>
      <c r="O387" s="71"/>
      <c r="P387" s="175"/>
      <c r="Q387" s="71"/>
      <c r="R387" s="71"/>
      <c r="S387" s="71"/>
      <c r="T387" s="71"/>
      <c r="U387" s="71"/>
      <c r="V387" s="71"/>
      <c r="W387" s="71"/>
      <c r="X387" s="71"/>
      <c r="Y387" s="71"/>
      <c r="Z387" s="71"/>
      <c r="AK387" s="71"/>
      <c r="AL387" s="71"/>
      <c r="AM387" s="71"/>
      <c r="AN387" s="71"/>
      <c r="AO387" s="71"/>
    </row>
    <row r="388" spans="3:41" ht="15" customHeight="1" x14ac:dyDescent="0.4">
      <c r="C388" s="119"/>
      <c r="D388" s="71"/>
      <c r="E388" s="71"/>
      <c r="F388" s="71"/>
      <c r="G388" s="71"/>
      <c r="H388" s="71"/>
      <c r="I388" s="71"/>
      <c r="J388" s="71"/>
      <c r="K388" s="83"/>
      <c r="L388" s="83"/>
      <c r="M388" s="71"/>
      <c r="N388" s="71"/>
      <c r="O388" s="71"/>
      <c r="P388" s="175"/>
      <c r="Q388" s="71"/>
      <c r="R388" s="71"/>
      <c r="S388" s="71"/>
      <c r="T388" s="71"/>
      <c r="U388" s="71"/>
      <c r="V388" s="71"/>
      <c r="W388" s="71"/>
      <c r="X388" s="71"/>
      <c r="Y388" s="71"/>
      <c r="Z388" s="71"/>
      <c r="AK388" s="71"/>
      <c r="AL388" s="71"/>
      <c r="AM388" s="71"/>
      <c r="AN388" s="71"/>
      <c r="AO388" s="71"/>
    </row>
    <row r="389" spans="3:41" ht="15" customHeight="1" x14ac:dyDescent="0.4">
      <c r="C389" s="119"/>
      <c r="D389" s="71"/>
      <c r="E389" s="71"/>
      <c r="F389" s="71"/>
      <c r="G389" s="71"/>
      <c r="H389" s="71"/>
      <c r="I389" s="71"/>
      <c r="J389" s="71"/>
      <c r="K389" s="83"/>
      <c r="L389" s="71"/>
      <c r="M389" s="71"/>
      <c r="N389" s="71"/>
      <c r="O389" s="71"/>
      <c r="P389" s="175"/>
      <c r="Q389" s="71"/>
      <c r="R389" s="71"/>
      <c r="S389" s="71"/>
      <c r="T389" s="71"/>
      <c r="U389" s="71"/>
      <c r="V389" s="71"/>
      <c r="W389" s="71"/>
      <c r="X389" s="71"/>
      <c r="Y389" s="71"/>
      <c r="Z389" s="71"/>
      <c r="AK389" s="71"/>
      <c r="AL389" s="71"/>
      <c r="AM389" s="71"/>
      <c r="AN389" s="71"/>
      <c r="AO389" s="71"/>
    </row>
    <row r="390" spans="3:41" ht="15" customHeight="1" x14ac:dyDescent="0.4">
      <c r="C390" s="119"/>
      <c r="D390" s="71"/>
      <c r="E390" s="71"/>
      <c r="F390" s="71"/>
      <c r="G390" s="71"/>
      <c r="H390" s="71"/>
      <c r="I390" s="71"/>
      <c r="J390" s="71"/>
      <c r="K390" s="83"/>
      <c r="L390" s="71"/>
      <c r="M390" s="71"/>
      <c r="N390" s="71"/>
      <c r="O390" s="71"/>
      <c r="P390" s="175"/>
      <c r="Q390" s="71"/>
      <c r="R390" s="71"/>
      <c r="S390" s="71"/>
      <c r="T390" s="71"/>
      <c r="U390" s="71"/>
      <c r="V390" s="71"/>
      <c r="W390" s="71"/>
      <c r="X390" s="71"/>
      <c r="Y390" s="71"/>
      <c r="Z390" s="71"/>
      <c r="AK390" s="71"/>
      <c r="AL390" s="71"/>
      <c r="AM390" s="71"/>
      <c r="AN390" s="71"/>
      <c r="AO390" s="71"/>
    </row>
    <row r="391" spans="3:41" ht="15" customHeight="1" x14ac:dyDescent="0.4">
      <c r="C391" s="119"/>
      <c r="D391" s="71"/>
      <c r="E391" s="71"/>
      <c r="F391" s="71"/>
      <c r="G391" s="71"/>
      <c r="H391" s="71"/>
      <c r="I391" s="71"/>
      <c r="J391" s="71"/>
      <c r="K391" s="83"/>
      <c r="L391" s="71"/>
      <c r="M391" s="71"/>
      <c r="N391" s="71"/>
      <c r="O391" s="71"/>
      <c r="P391" s="175"/>
      <c r="Q391" s="71"/>
      <c r="R391" s="71"/>
      <c r="S391" s="71"/>
      <c r="T391" s="71"/>
      <c r="U391" s="71"/>
      <c r="V391" s="71"/>
      <c r="W391" s="71"/>
      <c r="X391" s="71"/>
      <c r="Y391" s="71"/>
      <c r="Z391" s="71"/>
      <c r="AK391" s="71"/>
      <c r="AL391" s="71"/>
      <c r="AM391" s="71"/>
      <c r="AN391" s="71"/>
      <c r="AO391" s="71"/>
    </row>
    <row r="392" spans="3:41" ht="15" customHeight="1" x14ac:dyDescent="0.4">
      <c r="C392" s="119"/>
      <c r="D392" s="71"/>
      <c r="E392" s="71"/>
      <c r="F392" s="71"/>
      <c r="G392" s="71"/>
      <c r="H392" s="71"/>
      <c r="I392" s="71"/>
      <c r="J392" s="71"/>
      <c r="K392" s="71"/>
      <c r="L392" s="71"/>
      <c r="M392" s="71"/>
      <c r="N392" s="71"/>
      <c r="O392" s="71"/>
      <c r="P392" s="175"/>
      <c r="Q392" s="71"/>
      <c r="R392" s="71"/>
      <c r="S392" s="71"/>
      <c r="T392" s="71"/>
      <c r="U392" s="71"/>
      <c r="V392" s="71"/>
      <c r="W392" s="71"/>
      <c r="X392" s="71"/>
      <c r="Y392" s="71"/>
      <c r="Z392" s="71"/>
      <c r="AK392" s="71"/>
      <c r="AL392" s="71"/>
      <c r="AM392" s="71"/>
      <c r="AN392" s="71"/>
      <c r="AO392" s="71"/>
    </row>
    <row r="393" spans="3:41" ht="15" customHeight="1" x14ac:dyDescent="0.4">
      <c r="C393" s="119"/>
      <c r="D393" s="71"/>
      <c r="E393" s="71"/>
      <c r="F393" s="71"/>
      <c r="G393" s="71"/>
      <c r="H393" s="71"/>
      <c r="I393" s="71"/>
      <c r="J393" s="71"/>
      <c r="K393" s="71"/>
      <c r="L393" s="71"/>
      <c r="M393" s="71"/>
      <c r="N393" s="71"/>
      <c r="O393" s="71"/>
      <c r="P393" s="175"/>
      <c r="Q393" s="71"/>
      <c r="R393" s="71"/>
      <c r="S393" s="71"/>
      <c r="T393" s="71"/>
      <c r="U393" s="71"/>
      <c r="V393" s="71"/>
      <c r="W393" s="71"/>
      <c r="X393" s="71"/>
      <c r="Y393" s="71"/>
      <c r="Z393" s="71"/>
      <c r="AK393" s="71"/>
      <c r="AL393" s="71"/>
      <c r="AM393" s="71"/>
      <c r="AN393" s="71"/>
      <c r="AO393" s="71"/>
    </row>
    <row r="394" spans="3:41" ht="15" customHeight="1" x14ac:dyDescent="0.4">
      <c r="C394" s="119"/>
      <c r="D394" s="71"/>
      <c r="E394" s="71"/>
      <c r="F394" s="71"/>
      <c r="G394" s="71"/>
      <c r="H394" s="71"/>
      <c r="I394" s="71"/>
      <c r="J394" s="71"/>
      <c r="K394" s="71"/>
      <c r="L394" s="71"/>
      <c r="M394" s="71"/>
      <c r="N394" s="71"/>
      <c r="O394" s="71"/>
      <c r="P394" s="175"/>
      <c r="Q394" s="71"/>
      <c r="R394" s="71"/>
      <c r="S394" s="71"/>
      <c r="T394" s="71"/>
      <c r="U394" s="71"/>
      <c r="V394" s="71"/>
      <c r="W394" s="71"/>
      <c r="X394" s="71"/>
      <c r="Y394" s="71"/>
      <c r="Z394" s="71"/>
      <c r="AK394" s="71"/>
      <c r="AL394" s="71"/>
      <c r="AM394" s="71"/>
      <c r="AN394" s="71"/>
      <c r="AO394" s="71"/>
    </row>
    <row r="395" spans="3:41" ht="15" customHeight="1" x14ac:dyDescent="0.4">
      <c r="C395" s="119"/>
      <c r="D395" s="71"/>
      <c r="E395" s="71"/>
      <c r="F395" s="71"/>
      <c r="G395" s="71"/>
      <c r="H395" s="71"/>
      <c r="I395" s="71"/>
      <c r="J395" s="71"/>
      <c r="K395" s="71"/>
      <c r="L395" s="71"/>
      <c r="M395" s="71"/>
      <c r="N395" s="71"/>
      <c r="O395" s="71"/>
      <c r="P395" s="175"/>
      <c r="Q395" s="71"/>
      <c r="R395" s="71"/>
      <c r="S395" s="71"/>
      <c r="T395" s="71"/>
      <c r="U395" s="71"/>
      <c r="V395" s="71"/>
      <c r="W395" s="71"/>
      <c r="X395" s="71"/>
      <c r="Y395" s="71"/>
      <c r="Z395" s="71"/>
      <c r="AK395" s="71"/>
      <c r="AL395" s="71"/>
      <c r="AM395" s="71"/>
      <c r="AN395" s="71"/>
      <c r="AO395" s="71"/>
    </row>
    <row r="396" spans="3:41" ht="15" customHeight="1" x14ac:dyDescent="0.4">
      <c r="C396" s="119"/>
      <c r="D396" s="71"/>
      <c r="E396" s="71"/>
      <c r="F396" s="71"/>
      <c r="G396" s="71"/>
      <c r="H396" s="71"/>
      <c r="I396" s="71"/>
      <c r="J396" s="71"/>
      <c r="K396" s="83"/>
      <c r="L396" s="71"/>
      <c r="M396" s="71"/>
      <c r="N396" s="71"/>
      <c r="O396" s="71"/>
      <c r="P396" s="175"/>
      <c r="Q396" s="71"/>
      <c r="R396" s="71"/>
      <c r="S396" s="71"/>
      <c r="T396" s="71"/>
      <c r="U396" s="71"/>
      <c r="V396" s="71"/>
      <c r="W396" s="71"/>
      <c r="X396" s="71"/>
      <c r="Y396" s="71"/>
      <c r="Z396" s="71"/>
      <c r="AK396" s="71"/>
      <c r="AL396" s="71"/>
      <c r="AM396" s="71"/>
      <c r="AN396" s="71"/>
      <c r="AO396" s="71"/>
    </row>
    <row r="397" spans="3:41" ht="15" customHeight="1" x14ac:dyDescent="0.4">
      <c r="C397" s="119"/>
      <c r="D397" s="71"/>
      <c r="E397" s="71"/>
      <c r="F397" s="71"/>
      <c r="G397" s="71"/>
      <c r="H397" s="71"/>
      <c r="I397" s="71"/>
      <c r="J397" s="71"/>
      <c r="K397" s="83"/>
      <c r="L397" s="71"/>
      <c r="M397" s="71"/>
      <c r="N397" s="71"/>
      <c r="O397" s="71"/>
      <c r="P397" s="175"/>
      <c r="Q397" s="71"/>
      <c r="R397" s="71"/>
      <c r="S397" s="71"/>
      <c r="T397" s="71"/>
      <c r="U397" s="71"/>
      <c r="V397" s="71"/>
      <c r="W397" s="71"/>
      <c r="X397" s="71"/>
      <c r="Y397" s="71"/>
      <c r="Z397" s="71"/>
      <c r="AK397" s="71"/>
      <c r="AL397" s="71"/>
      <c r="AM397" s="71"/>
      <c r="AN397" s="71"/>
      <c r="AO397" s="71"/>
    </row>
    <row r="398" spans="3:41" ht="15" customHeight="1" x14ac:dyDescent="0.4">
      <c r="C398" s="119"/>
      <c r="D398" s="71"/>
      <c r="E398" s="71"/>
      <c r="F398" s="71"/>
      <c r="G398" s="71"/>
      <c r="H398" s="71"/>
      <c r="I398" s="71"/>
      <c r="J398" s="71"/>
      <c r="K398" s="71"/>
      <c r="L398" s="71"/>
      <c r="M398" s="71"/>
      <c r="N398" s="71"/>
      <c r="O398" s="71"/>
      <c r="P398" s="175"/>
      <c r="Q398" s="71"/>
      <c r="R398" s="71"/>
      <c r="S398" s="71"/>
      <c r="T398" s="71"/>
      <c r="U398" s="71"/>
      <c r="V398" s="71"/>
      <c r="W398" s="71"/>
      <c r="X398" s="71"/>
      <c r="Y398" s="71"/>
      <c r="Z398" s="71"/>
      <c r="AK398" s="71"/>
      <c r="AL398" s="71"/>
      <c r="AM398" s="71"/>
      <c r="AN398" s="71"/>
      <c r="AO398" s="71"/>
    </row>
    <row r="399" spans="3:41" ht="15" customHeight="1" x14ac:dyDescent="0.4">
      <c r="C399" s="119"/>
      <c r="D399" s="71"/>
      <c r="E399" s="71"/>
      <c r="F399" s="71"/>
      <c r="G399" s="71"/>
      <c r="H399" s="71"/>
      <c r="I399" s="71"/>
      <c r="J399" s="71"/>
      <c r="K399" s="71"/>
      <c r="L399" s="71"/>
      <c r="M399" s="71"/>
      <c r="N399" s="71"/>
      <c r="O399" s="71"/>
      <c r="P399" s="175"/>
      <c r="Q399" s="71"/>
      <c r="R399" s="71"/>
      <c r="S399" s="71"/>
      <c r="T399" s="71"/>
      <c r="U399" s="71"/>
      <c r="V399" s="71"/>
      <c r="W399" s="71"/>
      <c r="X399" s="71"/>
      <c r="Y399" s="71"/>
      <c r="Z399" s="71"/>
      <c r="AK399" s="71"/>
      <c r="AL399" s="71"/>
      <c r="AM399" s="71"/>
      <c r="AN399" s="71"/>
      <c r="AO399" s="71"/>
    </row>
    <row r="400" spans="3:41" ht="15" customHeight="1" x14ac:dyDescent="0.4">
      <c r="C400" s="119"/>
      <c r="D400" s="71"/>
      <c r="E400" s="71"/>
      <c r="F400" s="71"/>
      <c r="G400" s="71"/>
      <c r="H400" s="71"/>
      <c r="I400" s="71"/>
      <c r="J400" s="71"/>
      <c r="K400" s="71"/>
      <c r="L400" s="71"/>
      <c r="M400" s="71"/>
      <c r="N400" s="71"/>
      <c r="O400" s="71"/>
      <c r="P400" s="175"/>
      <c r="Q400" s="71"/>
      <c r="R400" s="71"/>
      <c r="S400" s="71"/>
      <c r="T400" s="71"/>
      <c r="U400" s="71"/>
      <c r="V400" s="71"/>
      <c r="W400" s="71"/>
      <c r="X400" s="71"/>
      <c r="Y400" s="71"/>
      <c r="Z400" s="71"/>
      <c r="AK400" s="71"/>
      <c r="AL400" s="71"/>
      <c r="AM400" s="71"/>
      <c r="AN400" s="71"/>
      <c r="AO400" s="71"/>
    </row>
    <row r="401" spans="3:41" ht="15" customHeight="1" x14ac:dyDescent="0.4">
      <c r="C401" s="119"/>
      <c r="D401" s="71"/>
      <c r="E401" s="71"/>
      <c r="F401" s="71"/>
      <c r="G401" s="71"/>
      <c r="H401" s="71"/>
      <c r="I401" s="71"/>
      <c r="J401" s="71"/>
      <c r="K401" s="71"/>
      <c r="L401" s="71"/>
      <c r="M401" s="71"/>
      <c r="N401" s="71"/>
      <c r="O401" s="71"/>
      <c r="P401" s="175"/>
      <c r="Q401" s="71"/>
      <c r="R401" s="71"/>
      <c r="S401" s="71"/>
      <c r="T401" s="71"/>
      <c r="U401" s="71"/>
      <c r="V401" s="71"/>
      <c r="W401" s="71"/>
      <c r="X401" s="71"/>
      <c r="Y401" s="71"/>
      <c r="Z401" s="71"/>
      <c r="AK401" s="71"/>
      <c r="AL401" s="71"/>
      <c r="AM401" s="71"/>
      <c r="AN401" s="71"/>
      <c r="AO401" s="71"/>
    </row>
    <row r="402" spans="3:41" ht="15" customHeight="1" x14ac:dyDescent="0.4">
      <c r="C402" s="119"/>
      <c r="D402" s="71"/>
      <c r="E402" s="71"/>
      <c r="F402" s="71"/>
      <c r="G402" s="71"/>
      <c r="H402" s="71"/>
      <c r="I402" s="71"/>
      <c r="J402" s="71"/>
      <c r="K402" s="71"/>
      <c r="L402" s="71"/>
      <c r="M402" s="71"/>
      <c r="N402" s="71"/>
      <c r="O402" s="71"/>
      <c r="P402" s="175"/>
      <c r="Q402" s="71"/>
      <c r="R402" s="71"/>
      <c r="S402" s="71"/>
      <c r="T402" s="71"/>
      <c r="U402" s="71"/>
      <c r="V402" s="71"/>
      <c r="W402" s="71"/>
      <c r="X402" s="71"/>
      <c r="Y402" s="71"/>
      <c r="Z402" s="71"/>
      <c r="AK402" s="71"/>
      <c r="AL402" s="71"/>
      <c r="AM402" s="71"/>
      <c r="AN402" s="71"/>
      <c r="AO402" s="71"/>
    </row>
    <row r="403" spans="3:41" ht="15" customHeight="1" x14ac:dyDescent="0.4">
      <c r="C403" s="119"/>
      <c r="D403" s="71"/>
      <c r="E403" s="71"/>
      <c r="F403" s="71"/>
      <c r="G403" s="71"/>
      <c r="H403" s="71"/>
      <c r="I403" s="71"/>
      <c r="J403" s="71"/>
      <c r="K403" s="71"/>
      <c r="L403" s="71"/>
      <c r="M403" s="71"/>
      <c r="N403" s="71"/>
      <c r="O403" s="71"/>
      <c r="P403" s="175"/>
      <c r="Q403" s="71"/>
      <c r="R403" s="71"/>
      <c r="S403" s="71"/>
      <c r="T403" s="71"/>
      <c r="U403" s="71"/>
      <c r="V403" s="71"/>
      <c r="W403" s="71"/>
      <c r="X403" s="71"/>
      <c r="Y403" s="71"/>
      <c r="Z403" s="71"/>
      <c r="AK403" s="71"/>
      <c r="AL403" s="71"/>
      <c r="AM403" s="71"/>
      <c r="AN403" s="71"/>
      <c r="AO403" s="71"/>
    </row>
    <row r="404" spans="3:41" ht="15" customHeight="1" x14ac:dyDescent="0.4">
      <c r="C404" s="119"/>
      <c r="D404" s="71"/>
      <c r="E404" s="71"/>
      <c r="F404" s="71"/>
      <c r="G404" s="71"/>
      <c r="H404" s="71"/>
      <c r="I404" s="71"/>
      <c r="J404" s="71"/>
      <c r="K404" s="71"/>
      <c r="L404" s="71"/>
      <c r="M404" s="71"/>
      <c r="N404" s="71"/>
      <c r="O404" s="71"/>
      <c r="P404" s="175"/>
      <c r="Q404" s="71"/>
      <c r="R404" s="71"/>
      <c r="S404" s="71"/>
      <c r="T404" s="71"/>
      <c r="U404" s="71"/>
      <c r="V404" s="71"/>
      <c r="W404" s="71"/>
      <c r="X404" s="71"/>
      <c r="Y404" s="71"/>
      <c r="Z404" s="71"/>
      <c r="AK404" s="71"/>
      <c r="AL404" s="71"/>
      <c r="AM404" s="71"/>
      <c r="AN404" s="71"/>
      <c r="AO404" s="71"/>
    </row>
    <row r="405" spans="3:41" ht="15" customHeight="1" x14ac:dyDescent="0.4">
      <c r="C405" s="119"/>
      <c r="D405" s="71"/>
      <c r="E405" s="71"/>
      <c r="F405" s="71"/>
      <c r="G405" s="71"/>
      <c r="H405" s="71"/>
      <c r="I405" s="71"/>
      <c r="J405" s="71"/>
      <c r="K405" s="71"/>
      <c r="L405" s="71"/>
      <c r="M405" s="71"/>
      <c r="N405" s="71"/>
      <c r="O405" s="71"/>
      <c r="P405" s="175"/>
      <c r="Q405" s="71"/>
      <c r="R405" s="71"/>
      <c r="S405" s="71"/>
      <c r="T405" s="71"/>
      <c r="U405" s="71"/>
      <c r="V405" s="71"/>
      <c r="W405" s="71"/>
      <c r="X405" s="71"/>
      <c r="Y405" s="71"/>
      <c r="Z405" s="71"/>
      <c r="AK405" s="71"/>
      <c r="AL405" s="71"/>
      <c r="AM405" s="71"/>
      <c r="AN405" s="71"/>
      <c r="AO405" s="71"/>
    </row>
    <row r="406" spans="3:41" ht="15" customHeight="1" x14ac:dyDescent="0.4">
      <c r="C406" s="119"/>
      <c r="D406" s="71"/>
      <c r="E406" s="71"/>
      <c r="F406" s="71"/>
      <c r="G406" s="71"/>
      <c r="H406" s="71"/>
      <c r="I406" s="71"/>
      <c r="J406" s="71"/>
      <c r="K406" s="71"/>
      <c r="L406" s="71"/>
      <c r="M406" s="71"/>
      <c r="N406" s="71"/>
      <c r="O406" s="71"/>
      <c r="P406" s="175"/>
      <c r="Q406" s="71"/>
      <c r="R406" s="71"/>
      <c r="S406" s="71"/>
      <c r="T406" s="71"/>
      <c r="U406" s="71"/>
      <c r="V406" s="71"/>
      <c r="W406" s="71"/>
      <c r="X406" s="71"/>
      <c r="Y406" s="71"/>
      <c r="Z406" s="71"/>
      <c r="AK406" s="71"/>
      <c r="AL406" s="71"/>
      <c r="AM406" s="71"/>
      <c r="AN406" s="71"/>
      <c r="AO406" s="71"/>
    </row>
    <row r="407" spans="3:41" ht="15" customHeight="1" x14ac:dyDescent="0.4">
      <c r="C407" s="119"/>
      <c r="D407" s="71"/>
      <c r="E407" s="71"/>
      <c r="F407" s="71"/>
      <c r="G407" s="71"/>
      <c r="H407" s="71"/>
      <c r="I407" s="71"/>
      <c r="J407" s="71"/>
      <c r="K407" s="71"/>
      <c r="L407" s="71"/>
      <c r="M407" s="71"/>
      <c r="N407" s="71"/>
      <c r="O407" s="71"/>
      <c r="P407" s="175"/>
      <c r="Q407" s="71"/>
      <c r="R407" s="71"/>
      <c r="S407" s="71"/>
      <c r="T407" s="71"/>
      <c r="U407" s="71"/>
      <c r="V407" s="71"/>
      <c r="W407" s="71"/>
      <c r="X407" s="71"/>
      <c r="Y407" s="71"/>
      <c r="Z407" s="71"/>
      <c r="AK407" s="71"/>
      <c r="AL407" s="71"/>
      <c r="AM407" s="71"/>
      <c r="AN407" s="71"/>
      <c r="AO407" s="71"/>
    </row>
    <row r="408" spans="3:41" ht="15" customHeight="1" x14ac:dyDescent="0.4">
      <c r="C408" s="119"/>
      <c r="D408" s="71"/>
      <c r="E408" s="71"/>
      <c r="F408" s="71"/>
      <c r="G408" s="71"/>
      <c r="H408" s="71"/>
      <c r="I408" s="71"/>
      <c r="J408" s="71"/>
      <c r="K408" s="71"/>
      <c r="L408" s="71"/>
      <c r="M408" s="83"/>
      <c r="N408" s="71"/>
      <c r="O408" s="71"/>
      <c r="P408" s="175"/>
      <c r="Q408" s="71"/>
      <c r="R408" s="71"/>
      <c r="S408" s="71"/>
      <c r="T408" s="71"/>
      <c r="U408" s="71"/>
      <c r="V408" s="71"/>
      <c r="W408" s="71"/>
      <c r="X408" s="71"/>
      <c r="Y408" s="71"/>
      <c r="Z408" s="71"/>
      <c r="AK408" s="71"/>
      <c r="AL408" s="71"/>
      <c r="AM408" s="71"/>
      <c r="AN408" s="71"/>
      <c r="AO408" s="71"/>
    </row>
    <row r="409" spans="3:41" ht="15" customHeight="1" x14ac:dyDescent="0.4">
      <c r="C409" s="119"/>
      <c r="D409" s="71"/>
      <c r="E409" s="71"/>
      <c r="F409" s="71"/>
      <c r="G409" s="71"/>
      <c r="H409" s="71"/>
      <c r="I409" s="71"/>
      <c r="J409" s="71"/>
      <c r="K409" s="71"/>
      <c r="L409" s="71"/>
      <c r="M409" s="83"/>
      <c r="N409" s="71"/>
      <c r="O409" s="71"/>
      <c r="P409" s="175"/>
      <c r="Q409" s="71"/>
      <c r="R409" s="71"/>
      <c r="S409" s="71"/>
      <c r="T409" s="71"/>
      <c r="U409" s="71"/>
      <c r="V409" s="71"/>
      <c r="W409" s="71"/>
      <c r="X409" s="71"/>
      <c r="Y409" s="71"/>
      <c r="Z409" s="71"/>
      <c r="AK409" s="71"/>
      <c r="AL409" s="71"/>
      <c r="AM409" s="71"/>
      <c r="AN409" s="71"/>
      <c r="AO409" s="71"/>
    </row>
    <row r="410" spans="3:41" ht="15" customHeight="1" x14ac:dyDescent="0.4">
      <c r="C410" s="119"/>
      <c r="D410" s="71"/>
      <c r="E410" s="71"/>
      <c r="F410" s="71"/>
      <c r="G410" s="71"/>
      <c r="H410" s="71"/>
      <c r="I410" s="71"/>
      <c r="J410" s="71"/>
      <c r="K410" s="71"/>
      <c r="L410" s="71"/>
      <c r="M410" s="83"/>
      <c r="N410" s="71"/>
      <c r="O410" s="71"/>
      <c r="P410" s="175"/>
      <c r="Q410" s="71"/>
      <c r="R410" s="71"/>
      <c r="S410" s="71"/>
      <c r="T410" s="71"/>
      <c r="U410" s="71"/>
      <c r="V410" s="71"/>
      <c r="W410" s="71"/>
      <c r="X410" s="71"/>
      <c r="Y410" s="71"/>
      <c r="Z410" s="71"/>
      <c r="AK410" s="71"/>
      <c r="AL410" s="71"/>
      <c r="AM410" s="71"/>
      <c r="AN410" s="71"/>
      <c r="AO410" s="71"/>
    </row>
    <row r="411" spans="3:41" ht="15" customHeight="1" x14ac:dyDescent="0.4">
      <c r="C411" s="119"/>
      <c r="D411" s="71"/>
      <c r="E411" s="71"/>
      <c r="F411" s="71"/>
      <c r="G411" s="71"/>
      <c r="H411" s="71"/>
      <c r="I411" s="71"/>
      <c r="J411" s="71"/>
      <c r="K411" s="71"/>
      <c r="L411" s="71"/>
      <c r="M411" s="71"/>
      <c r="N411" s="83"/>
      <c r="O411" s="71"/>
      <c r="P411" s="175"/>
      <c r="Q411" s="71"/>
      <c r="R411" s="71"/>
      <c r="S411" s="71"/>
      <c r="T411" s="71"/>
      <c r="U411" s="71"/>
      <c r="V411" s="71"/>
      <c r="W411" s="71"/>
      <c r="X411" s="71"/>
      <c r="Y411" s="71"/>
      <c r="Z411" s="71"/>
      <c r="AK411" s="71"/>
      <c r="AL411" s="71"/>
      <c r="AM411" s="71"/>
      <c r="AN411" s="71"/>
      <c r="AO411" s="71"/>
    </row>
    <row r="412" spans="3:41" ht="15" customHeight="1" x14ac:dyDescent="0.4">
      <c r="C412" s="119"/>
      <c r="D412" s="71"/>
      <c r="E412" s="71"/>
      <c r="F412" s="71"/>
      <c r="G412" s="71"/>
      <c r="H412" s="71"/>
      <c r="I412" s="71"/>
      <c r="J412" s="71"/>
      <c r="K412" s="71"/>
      <c r="L412" s="71"/>
      <c r="M412" s="83"/>
      <c r="N412" s="71"/>
      <c r="O412" s="71"/>
      <c r="P412" s="175"/>
      <c r="Q412" s="71"/>
      <c r="R412" s="71"/>
      <c r="S412" s="71"/>
      <c r="T412" s="71"/>
      <c r="U412" s="71"/>
      <c r="V412" s="71"/>
      <c r="W412" s="71"/>
      <c r="X412" s="71"/>
      <c r="Y412" s="71"/>
      <c r="Z412" s="71"/>
      <c r="AK412" s="71"/>
      <c r="AL412" s="71"/>
      <c r="AM412" s="71"/>
      <c r="AN412" s="71"/>
      <c r="AO412" s="71"/>
    </row>
    <row r="413" spans="3:41" ht="15" customHeight="1" x14ac:dyDescent="0.4">
      <c r="C413" s="119"/>
      <c r="D413" s="71"/>
      <c r="E413" s="71"/>
      <c r="F413" s="71"/>
      <c r="G413" s="71"/>
      <c r="H413" s="71"/>
      <c r="I413" s="71"/>
      <c r="J413" s="71"/>
      <c r="K413" s="71"/>
      <c r="L413" s="71"/>
      <c r="M413" s="71"/>
      <c r="N413" s="71"/>
      <c r="O413" s="71"/>
      <c r="P413" s="175"/>
      <c r="Q413" s="71"/>
      <c r="R413" s="71"/>
      <c r="S413" s="71"/>
      <c r="T413" s="71"/>
      <c r="U413" s="71"/>
      <c r="V413" s="71"/>
      <c r="W413" s="71"/>
      <c r="X413" s="71"/>
      <c r="Y413" s="71"/>
      <c r="Z413" s="71"/>
      <c r="AK413" s="71"/>
      <c r="AL413" s="71"/>
      <c r="AM413" s="71"/>
      <c r="AN413" s="71"/>
      <c r="AO413" s="71"/>
    </row>
    <row r="414" spans="3:41" ht="15" customHeight="1" x14ac:dyDescent="0.4">
      <c r="C414" s="119"/>
      <c r="D414" s="71"/>
      <c r="E414" s="71"/>
      <c r="F414" s="71"/>
      <c r="G414" s="71"/>
      <c r="H414" s="71"/>
      <c r="I414" s="71"/>
      <c r="J414" s="71"/>
      <c r="K414" s="71"/>
      <c r="L414" s="71"/>
      <c r="M414" s="71"/>
      <c r="N414" s="71"/>
      <c r="O414" s="71"/>
      <c r="P414" s="175"/>
      <c r="Q414" s="71"/>
      <c r="R414" s="71"/>
      <c r="S414" s="71"/>
      <c r="T414" s="71"/>
      <c r="U414" s="71"/>
      <c r="V414" s="71"/>
      <c r="W414" s="71"/>
      <c r="X414" s="71"/>
      <c r="Y414" s="71"/>
      <c r="Z414" s="71"/>
      <c r="AK414" s="71"/>
      <c r="AL414" s="71"/>
      <c r="AM414" s="71"/>
      <c r="AN414" s="71"/>
      <c r="AO414" s="71"/>
    </row>
    <row r="415" spans="3:41" ht="15" customHeight="1" x14ac:dyDescent="0.4">
      <c r="C415" s="119"/>
      <c r="D415" s="71"/>
      <c r="E415" s="71"/>
      <c r="F415" s="71"/>
      <c r="G415" s="71"/>
      <c r="H415" s="71"/>
      <c r="I415" s="71"/>
      <c r="J415" s="71"/>
      <c r="K415" s="71"/>
      <c r="L415" s="71"/>
      <c r="M415" s="71"/>
      <c r="N415" s="71"/>
      <c r="O415" s="71"/>
      <c r="P415" s="175"/>
      <c r="Q415" s="71"/>
      <c r="R415" s="71"/>
      <c r="S415" s="71"/>
      <c r="T415" s="71"/>
      <c r="U415" s="71"/>
      <c r="V415" s="71"/>
      <c r="W415" s="71"/>
      <c r="X415" s="71"/>
      <c r="Y415" s="71"/>
      <c r="Z415" s="71"/>
      <c r="AK415" s="71"/>
      <c r="AL415" s="71"/>
      <c r="AM415" s="71"/>
      <c r="AN415" s="71"/>
      <c r="AO415" s="71"/>
    </row>
    <row r="416" spans="3:41" ht="15" customHeight="1" x14ac:dyDescent="0.4">
      <c r="C416" s="119"/>
      <c r="D416" s="71"/>
      <c r="E416" s="71"/>
      <c r="F416" s="71"/>
      <c r="G416" s="71"/>
      <c r="H416" s="71"/>
      <c r="I416" s="71"/>
      <c r="J416" s="71"/>
      <c r="K416" s="71"/>
      <c r="L416" s="71"/>
      <c r="M416" s="71"/>
      <c r="N416" s="71"/>
      <c r="O416" s="71"/>
      <c r="P416" s="175"/>
      <c r="Q416" s="71"/>
      <c r="R416" s="71"/>
      <c r="S416" s="71"/>
      <c r="T416" s="71"/>
      <c r="U416" s="71"/>
      <c r="V416" s="71"/>
      <c r="W416" s="71"/>
      <c r="X416" s="71"/>
      <c r="Y416" s="71"/>
      <c r="Z416" s="71"/>
      <c r="AK416" s="71"/>
      <c r="AL416" s="71"/>
      <c r="AM416" s="71"/>
      <c r="AN416" s="71"/>
      <c r="AO416" s="71"/>
    </row>
    <row r="417" spans="3:41" ht="15" customHeight="1" x14ac:dyDescent="0.4">
      <c r="C417" s="119"/>
      <c r="D417" s="71"/>
      <c r="E417" s="71"/>
      <c r="F417" s="71"/>
      <c r="G417" s="71"/>
      <c r="H417" s="71"/>
      <c r="I417" s="71"/>
      <c r="J417" s="71"/>
      <c r="K417" s="71"/>
      <c r="L417" s="71"/>
      <c r="M417" s="71"/>
      <c r="N417" s="71"/>
      <c r="O417" s="71"/>
      <c r="P417" s="175"/>
      <c r="Q417" s="71"/>
      <c r="R417" s="71"/>
      <c r="S417" s="71"/>
      <c r="T417" s="71"/>
      <c r="U417" s="71"/>
      <c r="V417" s="71"/>
      <c r="W417" s="71"/>
      <c r="X417" s="71"/>
      <c r="Y417" s="71"/>
      <c r="Z417" s="71"/>
      <c r="AK417" s="71"/>
      <c r="AL417" s="71"/>
      <c r="AM417" s="71"/>
      <c r="AN417" s="71"/>
      <c r="AO417" s="71"/>
    </row>
    <row r="418" spans="3:41" ht="15" customHeight="1" x14ac:dyDescent="0.4">
      <c r="C418" s="119"/>
      <c r="D418" s="71"/>
      <c r="E418" s="71"/>
      <c r="F418" s="71"/>
      <c r="G418" s="71"/>
      <c r="H418" s="71"/>
      <c r="I418" s="71"/>
      <c r="J418" s="71"/>
      <c r="K418" s="83"/>
      <c r="L418" s="71"/>
      <c r="M418" s="71"/>
      <c r="N418" s="71"/>
      <c r="O418" s="71"/>
      <c r="P418" s="175"/>
      <c r="Q418" s="71"/>
      <c r="R418" s="71"/>
      <c r="S418" s="71"/>
      <c r="T418" s="71"/>
      <c r="U418" s="71"/>
      <c r="V418" s="71"/>
      <c r="W418" s="71"/>
      <c r="X418" s="71"/>
      <c r="Y418" s="71"/>
      <c r="Z418" s="71"/>
      <c r="AK418" s="71"/>
      <c r="AL418" s="71"/>
      <c r="AM418" s="71"/>
      <c r="AN418" s="71"/>
      <c r="AO418" s="71"/>
    </row>
    <row r="419" spans="3:41" ht="15" customHeight="1" x14ac:dyDescent="0.4">
      <c r="C419" s="119"/>
      <c r="D419" s="71"/>
      <c r="E419" s="71"/>
      <c r="F419" s="71"/>
      <c r="G419" s="71"/>
      <c r="H419" s="71"/>
      <c r="I419" s="71"/>
      <c r="J419" s="71"/>
      <c r="K419" s="71"/>
      <c r="L419" s="71"/>
      <c r="M419" s="71"/>
      <c r="N419" s="71"/>
      <c r="O419" s="71"/>
      <c r="P419" s="175"/>
      <c r="Q419" s="71"/>
      <c r="R419" s="71"/>
      <c r="S419" s="71"/>
      <c r="T419" s="71"/>
      <c r="U419" s="71"/>
      <c r="V419" s="71"/>
      <c r="W419" s="71"/>
      <c r="X419" s="71"/>
      <c r="Y419" s="71"/>
      <c r="Z419" s="71"/>
      <c r="AK419" s="71"/>
      <c r="AL419" s="71"/>
      <c r="AM419" s="71"/>
      <c r="AN419" s="71"/>
      <c r="AO419" s="71"/>
    </row>
    <row r="420" spans="3:41" ht="15" customHeight="1" x14ac:dyDescent="0.4">
      <c r="C420" s="119"/>
      <c r="D420" s="71"/>
      <c r="E420" s="71"/>
      <c r="F420" s="71"/>
      <c r="G420" s="71"/>
      <c r="H420" s="71"/>
      <c r="I420" s="71"/>
      <c r="J420" s="71"/>
      <c r="K420" s="71"/>
      <c r="L420" s="71"/>
      <c r="M420" s="83"/>
      <c r="N420" s="83"/>
      <c r="O420" s="71"/>
      <c r="P420" s="175"/>
      <c r="Q420" s="71"/>
      <c r="R420" s="71"/>
      <c r="S420" s="71"/>
      <c r="T420" s="71"/>
      <c r="U420" s="71"/>
      <c r="V420" s="71"/>
      <c r="W420" s="71"/>
      <c r="X420" s="71"/>
      <c r="Y420" s="71"/>
      <c r="Z420" s="71"/>
      <c r="AK420" s="71"/>
      <c r="AL420" s="71"/>
      <c r="AM420" s="71"/>
      <c r="AN420" s="71"/>
      <c r="AO420" s="71"/>
    </row>
    <row r="421" spans="3:41" ht="15" customHeight="1" x14ac:dyDescent="0.4">
      <c r="C421" s="119"/>
      <c r="D421" s="71"/>
      <c r="E421" s="71"/>
      <c r="F421" s="71"/>
      <c r="G421" s="71"/>
      <c r="H421" s="71"/>
      <c r="I421" s="71"/>
      <c r="J421" s="71"/>
      <c r="K421" s="71"/>
      <c r="L421" s="71"/>
      <c r="M421" s="83"/>
      <c r="N421" s="83"/>
      <c r="O421" s="71"/>
      <c r="P421" s="175"/>
      <c r="Q421" s="71"/>
      <c r="R421" s="71"/>
      <c r="S421" s="71"/>
      <c r="T421" s="71"/>
      <c r="U421" s="71"/>
      <c r="V421" s="71"/>
      <c r="W421" s="71"/>
      <c r="X421" s="71"/>
      <c r="Y421" s="71"/>
      <c r="Z421" s="71"/>
      <c r="AK421" s="71"/>
      <c r="AL421" s="71"/>
      <c r="AM421" s="71"/>
      <c r="AN421" s="71"/>
      <c r="AO421" s="71"/>
    </row>
    <row r="422" spans="3:41" ht="15" customHeight="1" x14ac:dyDescent="0.4">
      <c r="C422" s="119"/>
      <c r="D422" s="71"/>
      <c r="E422" s="71"/>
      <c r="F422" s="71"/>
      <c r="G422" s="71"/>
      <c r="H422" s="71"/>
      <c r="I422" s="71"/>
      <c r="J422" s="71"/>
      <c r="K422" s="71"/>
      <c r="L422" s="71"/>
      <c r="M422" s="83"/>
      <c r="N422" s="83"/>
      <c r="O422" s="71"/>
      <c r="P422" s="175"/>
      <c r="Q422" s="71"/>
      <c r="R422" s="71"/>
      <c r="S422" s="71"/>
      <c r="T422" s="71"/>
      <c r="U422" s="71"/>
      <c r="V422" s="71"/>
      <c r="W422" s="71"/>
      <c r="X422" s="71"/>
      <c r="Y422" s="71"/>
      <c r="Z422" s="71"/>
      <c r="AK422" s="71"/>
      <c r="AL422" s="71"/>
      <c r="AM422" s="71"/>
      <c r="AN422" s="71"/>
      <c r="AO422" s="71"/>
    </row>
    <row r="423" spans="3:41" ht="15" customHeight="1" x14ac:dyDescent="0.4">
      <c r="C423" s="119"/>
      <c r="D423" s="71"/>
      <c r="E423" s="71"/>
      <c r="F423" s="71"/>
      <c r="G423" s="71"/>
      <c r="H423" s="71"/>
      <c r="I423" s="71"/>
      <c r="J423" s="71"/>
      <c r="K423" s="71"/>
      <c r="L423" s="71"/>
      <c r="M423" s="83"/>
      <c r="N423" s="83"/>
      <c r="O423" s="71"/>
      <c r="P423" s="175"/>
      <c r="Q423" s="71"/>
      <c r="R423" s="71"/>
      <c r="S423" s="71"/>
      <c r="T423" s="71"/>
      <c r="U423" s="71"/>
      <c r="V423" s="71"/>
      <c r="W423" s="71"/>
      <c r="X423" s="71"/>
      <c r="Y423" s="71"/>
      <c r="Z423" s="71"/>
      <c r="AK423" s="71"/>
      <c r="AL423" s="71"/>
      <c r="AM423" s="71"/>
      <c r="AN423" s="71"/>
      <c r="AO423" s="71"/>
    </row>
    <row r="424" spans="3:41" ht="15" customHeight="1" x14ac:dyDescent="0.4">
      <c r="C424" s="119"/>
      <c r="D424" s="71"/>
      <c r="E424" s="71"/>
      <c r="F424" s="71"/>
      <c r="G424" s="71"/>
      <c r="H424" s="71"/>
      <c r="I424" s="71"/>
      <c r="J424" s="71"/>
      <c r="K424" s="71"/>
      <c r="L424" s="71"/>
      <c r="M424" s="71"/>
      <c r="N424" s="71"/>
      <c r="O424" s="71"/>
      <c r="P424" s="175"/>
      <c r="Q424" s="71"/>
      <c r="R424" s="71"/>
      <c r="S424" s="71"/>
      <c r="T424" s="71"/>
      <c r="U424" s="71"/>
      <c r="V424" s="71"/>
      <c r="W424" s="71"/>
      <c r="X424" s="71"/>
      <c r="Y424" s="71"/>
      <c r="Z424" s="71"/>
      <c r="AK424" s="71"/>
      <c r="AL424" s="71"/>
      <c r="AM424" s="71"/>
      <c r="AN424" s="71"/>
      <c r="AO424" s="71"/>
    </row>
    <row r="425" spans="3:41" ht="15" customHeight="1" x14ac:dyDescent="0.4">
      <c r="C425" s="119"/>
      <c r="D425" s="71"/>
      <c r="E425" s="71"/>
      <c r="F425" s="71"/>
      <c r="G425" s="71"/>
      <c r="H425" s="71"/>
      <c r="I425" s="71"/>
      <c r="J425" s="71"/>
      <c r="K425" s="71"/>
      <c r="L425" s="71"/>
      <c r="M425" s="71"/>
      <c r="N425" s="71"/>
      <c r="O425" s="71"/>
      <c r="P425" s="175"/>
      <c r="Q425" s="71"/>
      <c r="R425" s="71"/>
      <c r="S425" s="71"/>
      <c r="T425" s="71"/>
      <c r="U425" s="71"/>
      <c r="V425" s="71"/>
      <c r="W425" s="71"/>
      <c r="X425" s="71"/>
      <c r="Y425" s="71"/>
      <c r="Z425" s="71"/>
      <c r="AK425" s="71"/>
      <c r="AL425" s="71"/>
      <c r="AM425" s="71"/>
      <c r="AN425" s="71"/>
      <c r="AO425" s="71"/>
    </row>
    <row r="426" spans="3:41" ht="15" customHeight="1" x14ac:dyDescent="0.4">
      <c r="C426" s="119"/>
      <c r="D426" s="71"/>
      <c r="E426" s="71"/>
      <c r="F426" s="71"/>
      <c r="G426" s="71"/>
      <c r="H426" s="71"/>
      <c r="I426" s="71"/>
      <c r="J426" s="71"/>
      <c r="K426" s="71"/>
      <c r="L426" s="71"/>
      <c r="M426" s="71"/>
      <c r="N426" s="71"/>
      <c r="O426" s="71"/>
      <c r="P426" s="175"/>
      <c r="Q426" s="71"/>
      <c r="R426" s="71"/>
      <c r="S426" s="71"/>
      <c r="T426" s="71"/>
      <c r="U426" s="71"/>
      <c r="V426" s="71"/>
      <c r="W426" s="71"/>
      <c r="X426" s="71"/>
      <c r="Y426" s="71"/>
      <c r="Z426" s="71"/>
      <c r="AK426" s="71"/>
      <c r="AL426" s="71"/>
      <c r="AM426" s="71"/>
      <c r="AN426" s="71"/>
      <c r="AO426" s="71"/>
    </row>
    <row r="427" spans="3:41" ht="15" customHeight="1" x14ac:dyDescent="0.4">
      <c r="C427" s="119"/>
      <c r="D427" s="71"/>
      <c r="E427" s="71"/>
      <c r="F427" s="71"/>
      <c r="G427" s="71"/>
      <c r="H427" s="71"/>
      <c r="I427" s="71"/>
      <c r="J427" s="71"/>
      <c r="K427" s="71"/>
      <c r="L427" s="71"/>
      <c r="M427" s="71"/>
      <c r="N427" s="71"/>
      <c r="O427" s="71"/>
      <c r="P427" s="175"/>
      <c r="Q427" s="71"/>
      <c r="R427" s="71"/>
      <c r="S427" s="71"/>
      <c r="T427" s="71"/>
      <c r="U427" s="71"/>
      <c r="V427" s="71"/>
      <c r="W427" s="71"/>
      <c r="X427" s="71"/>
      <c r="Y427" s="71"/>
      <c r="Z427" s="71"/>
      <c r="AK427" s="71"/>
      <c r="AL427" s="71"/>
      <c r="AM427" s="71"/>
      <c r="AN427" s="71"/>
      <c r="AO427" s="71"/>
    </row>
    <row r="428" spans="3:41" ht="15" customHeight="1" x14ac:dyDescent="0.4">
      <c r="C428" s="119"/>
      <c r="D428" s="71"/>
      <c r="E428" s="71"/>
      <c r="F428" s="71"/>
      <c r="G428" s="71"/>
      <c r="H428" s="71"/>
      <c r="I428" s="71"/>
      <c r="J428" s="71"/>
      <c r="K428" s="83"/>
      <c r="L428" s="71"/>
      <c r="M428" s="71"/>
      <c r="N428" s="71"/>
      <c r="O428" s="71"/>
      <c r="P428" s="175"/>
      <c r="Q428" s="71"/>
      <c r="R428" s="71"/>
      <c r="S428" s="71"/>
      <c r="T428" s="71"/>
      <c r="U428" s="71"/>
      <c r="V428" s="71"/>
      <c r="W428" s="71"/>
      <c r="X428" s="71"/>
      <c r="Y428" s="71"/>
      <c r="Z428" s="71"/>
      <c r="AK428" s="71"/>
      <c r="AL428" s="71"/>
      <c r="AM428" s="71"/>
      <c r="AN428" s="71"/>
      <c r="AO428" s="71"/>
    </row>
    <row r="429" spans="3:41" ht="15" customHeight="1" x14ac:dyDescent="0.4">
      <c r="C429" s="119"/>
      <c r="D429" s="71"/>
      <c r="E429" s="71"/>
      <c r="F429" s="71"/>
      <c r="G429" s="71"/>
      <c r="H429" s="71"/>
      <c r="I429" s="71"/>
      <c r="J429" s="71"/>
      <c r="K429" s="71"/>
      <c r="L429" s="71"/>
      <c r="M429" s="83"/>
      <c r="N429" s="71"/>
      <c r="O429" s="71"/>
      <c r="P429" s="175"/>
      <c r="Q429" s="71"/>
      <c r="R429" s="71"/>
      <c r="S429" s="71"/>
      <c r="T429" s="71"/>
      <c r="U429" s="71"/>
      <c r="V429" s="71"/>
      <c r="W429" s="71"/>
      <c r="X429" s="71"/>
      <c r="Y429" s="71"/>
      <c r="Z429" s="71"/>
      <c r="AK429" s="71"/>
      <c r="AL429" s="71"/>
      <c r="AM429" s="71"/>
      <c r="AN429" s="71"/>
      <c r="AO429" s="71"/>
    </row>
    <row r="430" spans="3:41" ht="15" customHeight="1" x14ac:dyDescent="0.4">
      <c r="C430" s="119"/>
      <c r="D430" s="71"/>
      <c r="E430" s="71"/>
      <c r="F430" s="71"/>
      <c r="G430" s="71"/>
      <c r="H430" s="71"/>
      <c r="I430" s="71"/>
      <c r="J430" s="71"/>
      <c r="K430" s="71"/>
      <c r="L430" s="71"/>
      <c r="M430" s="84"/>
      <c r="N430" s="71"/>
      <c r="O430" s="71"/>
      <c r="P430" s="175"/>
      <c r="Q430" s="71"/>
      <c r="R430" s="71"/>
      <c r="S430" s="71"/>
      <c r="T430" s="71"/>
      <c r="U430" s="71"/>
      <c r="V430" s="71"/>
      <c r="W430" s="71"/>
      <c r="X430" s="71"/>
      <c r="Y430" s="71"/>
      <c r="Z430" s="71"/>
      <c r="AK430" s="71"/>
      <c r="AL430" s="71"/>
      <c r="AM430" s="71"/>
      <c r="AN430" s="71"/>
      <c r="AO430" s="71"/>
    </row>
    <row r="431" spans="3:41" ht="15" customHeight="1" x14ac:dyDescent="0.4">
      <c r="C431" s="119"/>
      <c r="D431" s="71"/>
      <c r="E431" s="71"/>
      <c r="F431" s="71"/>
      <c r="G431" s="71"/>
      <c r="H431" s="71"/>
      <c r="I431" s="71"/>
      <c r="J431" s="71"/>
      <c r="K431" s="71"/>
      <c r="L431" s="71"/>
      <c r="M431" s="83"/>
      <c r="N431" s="71"/>
      <c r="O431" s="71"/>
      <c r="P431" s="175"/>
      <c r="Q431" s="71"/>
      <c r="R431" s="71"/>
      <c r="S431" s="71"/>
      <c r="T431" s="71"/>
      <c r="U431" s="71"/>
      <c r="V431" s="71"/>
      <c r="W431" s="71"/>
      <c r="X431" s="71"/>
      <c r="Y431" s="71"/>
      <c r="Z431" s="71"/>
      <c r="AK431" s="71"/>
      <c r="AL431" s="71"/>
      <c r="AM431" s="71"/>
      <c r="AN431" s="71"/>
      <c r="AO431" s="71"/>
    </row>
    <row r="432" spans="3:41" ht="15" customHeight="1" x14ac:dyDescent="0.4">
      <c r="C432" s="119"/>
      <c r="D432" s="71"/>
      <c r="E432" s="71"/>
      <c r="F432" s="71"/>
      <c r="G432" s="71"/>
      <c r="H432" s="71"/>
      <c r="I432" s="71"/>
      <c r="J432" s="71"/>
      <c r="K432" s="71"/>
      <c r="L432" s="71"/>
      <c r="M432" s="83"/>
      <c r="N432" s="71"/>
      <c r="O432" s="71"/>
      <c r="P432" s="175"/>
      <c r="Q432" s="71"/>
      <c r="R432" s="71"/>
      <c r="S432" s="71"/>
      <c r="T432" s="71"/>
      <c r="U432" s="71"/>
      <c r="V432" s="71"/>
      <c r="W432" s="71"/>
      <c r="X432" s="71"/>
      <c r="Y432" s="71"/>
      <c r="Z432" s="71"/>
      <c r="AK432" s="71"/>
      <c r="AL432" s="71"/>
      <c r="AM432" s="71"/>
      <c r="AN432" s="71"/>
      <c r="AO432" s="71"/>
    </row>
    <row r="433" spans="3:41" ht="15" customHeight="1" x14ac:dyDescent="0.4">
      <c r="C433" s="119"/>
      <c r="D433" s="71"/>
      <c r="E433" s="71"/>
      <c r="F433" s="71"/>
      <c r="G433" s="71"/>
      <c r="H433" s="71"/>
      <c r="I433" s="71"/>
      <c r="J433" s="71"/>
      <c r="K433" s="71"/>
      <c r="L433" s="71"/>
      <c r="M433" s="71"/>
      <c r="N433" s="71"/>
      <c r="O433" s="71"/>
      <c r="P433" s="175"/>
      <c r="Q433" s="71"/>
      <c r="R433" s="71"/>
      <c r="S433" s="71"/>
      <c r="T433" s="71"/>
      <c r="U433" s="71"/>
      <c r="V433" s="71"/>
      <c r="W433" s="71"/>
      <c r="X433" s="71"/>
      <c r="Y433" s="71"/>
      <c r="Z433" s="71"/>
      <c r="AK433" s="71"/>
      <c r="AL433" s="71"/>
      <c r="AM433" s="71"/>
      <c r="AN433" s="71"/>
      <c r="AO433" s="71"/>
    </row>
    <row r="434" spans="3:41" ht="15" customHeight="1" x14ac:dyDescent="0.4">
      <c r="C434" s="119"/>
      <c r="D434" s="71"/>
      <c r="E434" s="71"/>
      <c r="F434" s="71"/>
      <c r="G434" s="71"/>
      <c r="H434" s="71"/>
      <c r="I434" s="71"/>
      <c r="J434" s="71"/>
      <c r="K434" s="71"/>
      <c r="L434" s="71"/>
      <c r="M434" s="83"/>
      <c r="N434" s="71"/>
      <c r="O434" s="71"/>
      <c r="P434" s="175"/>
      <c r="Q434" s="71"/>
      <c r="R434" s="71"/>
      <c r="S434" s="71"/>
      <c r="T434" s="71"/>
      <c r="U434" s="71"/>
      <c r="V434" s="71"/>
      <c r="W434" s="71"/>
      <c r="X434" s="71"/>
      <c r="Y434" s="71"/>
      <c r="Z434" s="71"/>
      <c r="AK434" s="71"/>
      <c r="AL434" s="71"/>
      <c r="AM434" s="71"/>
      <c r="AN434" s="71"/>
      <c r="AO434" s="71"/>
    </row>
    <row r="435" spans="3:41" ht="15" customHeight="1" x14ac:dyDescent="0.4">
      <c r="C435" s="119"/>
      <c r="D435" s="71"/>
      <c r="E435" s="71"/>
      <c r="F435" s="71"/>
      <c r="G435" s="71"/>
      <c r="H435" s="71"/>
      <c r="I435" s="71"/>
      <c r="J435" s="71"/>
      <c r="K435" s="71"/>
      <c r="L435" s="71"/>
      <c r="M435" s="83"/>
      <c r="N435" s="71"/>
      <c r="O435" s="71"/>
      <c r="P435" s="175"/>
      <c r="Q435" s="71"/>
      <c r="R435" s="71"/>
      <c r="S435" s="71"/>
      <c r="T435" s="71"/>
      <c r="U435" s="71"/>
      <c r="V435" s="71"/>
      <c r="W435" s="71"/>
      <c r="X435" s="71"/>
      <c r="Y435" s="71"/>
      <c r="Z435" s="71"/>
      <c r="AK435" s="71"/>
      <c r="AL435" s="71"/>
      <c r="AM435" s="71"/>
      <c r="AN435" s="71"/>
      <c r="AO435" s="71"/>
    </row>
    <row r="436" spans="3:41" ht="15" customHeight="1" x14ac:dyDescent="0.4">
      <c r="C436" s="119"/>
      <c r="D436" s="71"/>
      <c r="E436" s="71"/>
      <c r="F436" s="71"/>
      <c r="G436" s="71"/>
      <c r="H436" s="71"/>
      <c r="I436" s="71"/>
      <c r="J436" s="71"/>
      <c r="K436" s="71"/>
      <c r="L436" s="71"/>
      <c r="M436" s="83"/>
      <c r="N436" s="71"/>
      <c r="O436" s="71"/>
      <c r="P436" s="175"/>
      <c r="Q436" s="71"/>
      <c r="R436" s="71"/>
      <c r="S436" s="71"/>
      <c r="T436" s="71"/>
      <c r="U436" s="71"/>
      <c r="V436" s="71"/>
      <c r="W436" s="71"/>
      <c r="X436" s="71"/>
      <c r="Y436" s="71"/>
      <c r="Z436" s="71"/>
      <c r="AK436" s="71"/>
      <c r="AL436" s="71"/>
      <c r="AM436" s="71"/>
      <c r="AN436" s="71"/>
      <c r="AO436" s="71"/>
    </row>
    <row r="437" spans="3:41" ht="15" customHeight="1" x14ac:dyDescent="0.4">
      <c r="C437" s="119"/>
      <c r="D437" s="71"/>
      <c r="E437" s="71"/>
      <c r="F437" s="71"/>
      <c r="G437" s="71"/>
      <c r="H437" s="71"/>
      <c r="I437" s="71"/>
      <c r="J437" s="71"/>
      <c r="K437" s="71"/>
      <c r="L437" s="71"/>
      <c r="M437" s="83"/>
      <c r="N437" s="71"/>
      <c r="O437" s="71"/>
      <c r="P437" s="175"/>
      <c r="Q437" s="71"/>
      <c r="R437" s="71"/>
      <c r="S437" s="71"/>
      <c r="T437" s="71"/>
      <c r="U437" s="71"/>
      <c r="V437" s="71"/>
      <c r="W437" s="71"/>
      <c r="X437" s="71"/>
      <c r="Y437" s="71"/>
      <c r="Z437" s="71"/>
      <c r="AK437" s="71"/>
      <c r="AL437" s="71"/>
      <c r="AM437" s="71"/>
      <c r="AN437" s="71"/>
      <c r="AO437" s="71"/>
    </row>
    <row r="438" spans="3:41" ht="15" customHeight="1" x14ac:dyDescent="0.4">
      <c r="C438" s="119"/>
      <c r="D438" s="71"/>
      <c r="E438" s="71"/>
      <c r="F438" s="71"/>
      <c r="G438" s="71"/>
      <c r="H438" s="71"/>
      <c r="I438" s="71"/>
      <c r="J438" s="71"/>
      <c r="K438" s="71"/>
      <c r="L438" s="71"/>
      <c r="M438" s="71"/>
      <c r="N438" s="71"/>
      <c r="O438" s="71"/>
      <c r="P438" s="175"/>
      <c r="Q438" s="71"/>
      <c r="R438" s="71"/>
      <c r="S438" s="71"/>
      <c r="T438" s="71"/>
      <c r="U438" s="71"/>
      <c r="V438" s="71"/>
      <c r="W438" s="71"/>
      <c r="X438" s="71"/>
      <c r="Y438" s="71"/>
      <c r="Z438" s="71"/>
      <c r="AK438" s="71"/>
      <c r="AL438" s="71"/>
      <c r="AM438" s="71"/>
      <c r="AN438" s="71"/>
      <c r="AO438" s="71"/>
    </row>
    <row r="439" spans="3:41" ht="15" customHeight="1" x14ac:dyDescent="0.4">
      <c r="C439" s="119"/>
      <c r="D439" s="71"/>
      <c r="E439" s="71"/>
      <c r="F439" s="71"/>
      <c r="G439" s="71"/>
      <c r="H439" s="71"/>
      <c r="I439" s="71"/>
      <c r="J439" s="71"/>
      <c r="K439" s="71"/>
      <c r="L439" s="71"/>
      <c r="M439" s="71"/>
      <c r="N439" s="71"/>
      <c r="O439" s="71"/>
      <c r="P439" s="175"/>
      <c r="Q439" s="71"/>
      <c r="R439" s="71"/>
      <c r="S439" s="71"/>
      <c r="T439" s="71"/>
      <c r="U439" s="71"/>
      <c r="V439" s="71"/>
      <c r="W439" s="71"/>
      <c r="X439" s="71"/>
      <c r="Y439" s="71"/>
      <c r="Z439" s="71"/>
      <c r="AK439" s="71"/>
      <c r="AL439" s="71"/>
      <c r="AM439" s="71"/>
      <c r="AN439" s="71"/>
      <c r="AO439" s="71"/>
    </row>
    <row r="440" spans="3:41" ht="15" customHeight="1" x14ac:dyDescent="0.4">
      <c r="C440" s="119"/>
      <c r="D440" s="71"/>
      <c r="E440" s="71"/>
      <c r="F440" s="71"/>
      <c r="G440" s="71"/>
      <c r="H440" s="71"/>
      <c r="I440" s="71"/>
      <c r="J440" s="71"/>
      <c r="K440" s="71"/>
      <c r="L440" s="71"/>
      <c r="M440" s="71"/>
      <c r="N440" s="71"/>
      <c r="O440" s="71"/>
      <c r="P440" s="175"/>
      <c r="Q440" s="71"/>
      <c r="R440" s="71"/>
      <c r="S440" s="71"/>
      <c r="T440" s="71"/>
      <c r="U440" s="71"/>
      <c r="V440" s="71"/>
      <c r="W440" s="71"/>
      <c r="X440" s="71"/>
      <c r="Y440" s="71"/>
      <c r="Z440" s="71"/>
      <c r="AK440" s="71"/>
      <c r="AL440" s="71"/>
      <c r="AM440" s="71"/>
      <c r="AN440" s="71"/>
      <c r="AO440" s="71"/>
    </row>
    <row r="441" spans="3:41" ht="15" customHeight="1" x14ac:dyDescent="0.4">
      <c r="C441" s="119"/>
      <c r="D441" s="71"/>
      <c r="E441" s="71"/>
      <c r="F441" s="71"/>
      <c r="G441" s="71"/>
      <c r="H441" s="71"/>
      <c r="I441" s="71"/>
      <c r="J441" s="71"/>
      <c r="K441" s="71"/>
      <c r="L441" s="71"/>
      <c r="M441" s="71"/>
      <c r="N441" s="71"/>
      <c r="O441" s="71"/>
      <c r="P441" s="175"/>
      <c r="Q441" s="71"/>
      <c r="R441" s="71"/>
      <c r="S441" s="71"/>
      <c r="T441" s="71"/>
      <c r="U441" s="71"/>
      <c r="V441" s="71"/>
      <c r="W441" s="71"/>
      <c r="X441" s="71"/>
      <c r="Y441" s="71"/>
      <c r="Z441" s="71"/>
      <c r="AK441" s="71"/>
      <c r="AL441" s="71"/>
      <c r="AM441" s="71"/>
      <c r="AN441" s="71"/>
      <c r="AO441" s="71"/>
    </row>
    <row r="442" spans="3:41" ht="15" customHeight="1" x14ac:dyDescent="0.4">
      <c r="C442" s="119"/>
      <c r="D442" s="71"/>
      <c r="E442" s="71"/>
      <c r="F442" s="71"/>
      <c r="G442" s="71"/>
      <c r="H442" s="71"/>
      <c r="I442" s="71"/>
      <c r="J442" s="71"/>
      <c r="K442" s="71"/>
      <c r="L442" s="71"/>
      <c r="M442" s="71"/>
      <c r="N442" s="71"/>
      <c r="O442" s="71"/>
      <c r="P442" s="175"/>
      <c r="Q442" s="71"/>
      <c r="R442" s="83"/>
      <c r="S442" s="83"/>
      <c r="T442" s="71"/>
      <c r="U442" s="71"/>
      <c r="V442" s="71"/>
      <c r="W442" s="71"/>
      <c r="X442" s="71"/>
      <c r="Y442" s="71"/>
      <c r="Z442" s="71"/>
      <c r="AK442" s="71"/>
      <c r="AL442" s="71"/>
      <c r="AM442" s="71"/>
      <c r="AN442" s="71"/>
      <c r="AO442" s="71"/>
    </row>
    <row r="443" spans="3:41" ht="15" customHeight="1" x14ac:dyDescent="0.4">
      <c r="C443" s="119"/>
      <c r="D443" s="71"/>
      <c r="E443" s="71"/>
      <c r="F443" s="71"/>
      <c r="G443" s="71"/>
      <c r="H443" s="71"/>
      <c r="I443" s="71"/>
      <c r="J443" s="71"/>
      <c r="K443" s="71"/>
      <c r="L443" s="71"/>
      <c r="M443" s="71"/>
      <c r="N443" s="71"/>
      <c r="O443" s="71"/>
      <c r="P443" s="175"/>
      <c r="Q443" s="71"/>
      <c r="R443" s="83"/>
      <c r="S443" s="83"/>
      <c r="T443" s="71"/>
      <c r="U443" s="71"/>
      <c r="V443" s="71"/>
      <c r="W443" s="71"/>
      <c r="X443" s="71"/>
      <c r="Y443" s="71"/>
      <c r="Z443" s="71"/>
      <c r="AK443" s="71"/>
      <c r="AL443" s="71"/>
      <c r="AM443" s="71"/>
      <c r="AN443" s="71"/>
      <c r="AO443" s="71"/>
    </row>
    <row r="444" spans="3:41" ht="15" customHeight="1" x14ac:dyDescent="0.4">
      <c r="C444" s="119"/>
      <c r="D444" s="71"/>
      <c r="E444" s="71"/>
      <c r="F444" s="71"/>
      <c r="G444" s="71"/>
      <c r="H444" s="71"/>
      <c r="I444" s="71"/>
      <c r="J444" s="71"/>
      <c r="K444" s="71"/>
      <c r="L444" s="71"/>
      <c r="M444" s="71"/>
      <c r="N444" s="71"/>
      <c r="O444" s="71"/>
      <c r="P444" s="175"/>
      <c r="Q444" s="71"/>
      <c r="R444" s="71"/>
      <c r="S444" s="71"/>
      <c r="T444" s="71"/>
      <c r="U444" s="71"/>
      <c r="V444" s="71"/>
      <c r="W444" s="71"/>
      <c r="X444" s="71"/>
      <c r="Y444" s="71"/>
      <c r="Z444" s="71"/>
      <c r="AK444" s="71"/>
      <c r="AL444" s="71"/>
      <c r="AM444" s="71"/>
      <c r="AN444" s="71"/>
      <c r="AO444" s="71"/>
    </row>
    <row r="445" spans="3:41" ht="15" customHeight="1" x14ac:dyDescent="0.4">
      <c r="C445" s="119"/>
      <c r="D445" s="71"/>
      <c r="E445" s="71"/>
      <c r="F445" s="71"/>
      <c r="G445" s="71"/>
      <c r="H445" s="71"/>
      <c r="I445" s="71"/>
      <c r="J445" s="71"/>
      <c r="K445" s="71"/>
      <c r="L445" s="83"/>
      <c r="M445" s="83"/>
      <c r="N445" s="83"/>
      <c r="O445" s="71"/>
      <c r="P445" s="175"/>
      <c r="Q445" s="71"/>
      <c r="R445" s="71"/>
      <c r="S445" s="71"/>
      <c r="T445" s="71"/>
      <c r="U445" s="71"/>
      <c r="V445" s="71"/>
      <c r="W445" s="71"/>
      <c r="X445" s="71"/>
      <c r="Y445" s="71"/>
      <c r="Z445" s="71"/>
      <c r="AK445" s="71"/>
      <c r="AL445" s="71"/>
      <c r="AM445" s="71"/>
      <c r="AN445" s="71"/>
      <c r="AO445" s="71"/>
    </row>
    <row r="446" spans="3:41" ht="15" customHeight="1" x14ac:dyDescent="0.4">
      <c r="C446" s="119"/>
      <c r="D446" s="71"/>
      <c r="E446" s="71"/>
      <c r="F446" s="71"/>
      <c r="G446" s="71"/>
      <c r="H446" s="71"/>
      <c r="I446" s="71"/>
      <c r="J446" s="71"/>
      <c r="K446" s="71"/>
      <c r="L446" s="83"/>
      <c r="M446" s="83"/>
      <c r="N446" s="83"/>
      <c r="O446" s="71"/>
      <c r="P446" s="175"/>
      <c r="Q446" s="71"/>
      <c r="R446" s="71"/>
      <c r="S446" s="71"/>
      <c r="T446" s="71"/>
      <c r="U446" s="71"/>
      <c r="V446" s="71"/>
      <c r="W446" s="71"/>
      <c r="X446" s="71"/>
      <c r="Y446" s="71"/>
      <c r="Z446" s="71"/>
      <c r="AK446" s="71"/>
      <c r="AL446" s="71"/>
      <c r="AM446" s="71"/>
      <c r="AN446" s="71"/>
      <c r="AO446" s="71"/>
    </row>
    <row r="447" spans="3:41" ht="15" customHeight="1" x14ac:dyDescent="0.4">
      <c r="C447" s="119"/>
      <c r="D447" s="71"/>
      <c r="E447" s="71"/>
      <c r="F447" s="71"/>
      <c r="G447" s="71"/>
      <c r="H447" s="71"/>
      <c r="I447" s="71"/>
      <c r="J447" s="71"/>
      <c r="K447" s="71"/>
      <c r="L447" s="71"/>
      <c r="M447" s="71"/>
      <c r="N447" s="71"/>
      <c r="O447" s="71"/>
      <c r="P447" s="175"/>
      <c r="Q447" s="71"/>
      <c r="R447" s="83"/>
      <c r="S447" s="83"/>
      <c r="T447" s="71"/>
      <c r="U447" s="71"/>
      <c r="V447" s="71"/>
      <c r="W447" s="71"/>
      <c r="X447" s="71"/>
      <c r="Y447" s="71"/>
      <c r="Z447" s="71"/>
      <c r="AK447" s="71"/>
      <c r="AL447" s="71"/>
      <c r="AM447" s="71"/>
      <c r="AN447" s="71"/>
      <c r="AO447" s="71"/>
    </row>
    <row r="448" spans="3:41" ht="15" customHeight="1" x14ac:dyDescent="0.4">
      <c r="C448" s="119"/>
      <c r="D448" s="71"/>
      <c r="E448" s="71"/>
      <c r="F448" s="71"/>
      <c r="G448" s="71"/>
      <c r="H448" s="71"/>
      <c r="I448" s="71"/>
      <c r="J448" s="71"/>
      <c r="K448" s="71"/>
      <c r="L448" s="71"/>
      <c r="M448" s="71"/>
      <c r="N448" s="71"/>
      <c r="O448" s="71"/>
      <c r="P448" s="175"/>
      <c r="Q448" s="71"/>
      <c r="R448" s="83"/>
      <c r="S448" s="83"/>
      <c r="T448" s="71"/>
      <c r="U448" s="71"/>
      <c r="V448" s="71"/>
      <c r="W448" s="71"/>
      <c r="X448" s="71"/>
      <c r="Y448" s="71"/>
      <c r="Z448" s="71"/>
      <c r="AK448" s="71"/>
      <c r="AL448" s="71"/>
      <c r="AM448" s="71"/>
      <c r="AN448" s="71"/>
      <c r="AO448" s="71"/>
    </row>
    <row r="449" spans="3:41" ht="15" customHeight="1" x14ac:dyDescent="0.4">
      <c r="C449" s="119"/>
      <c r="D449" s="71"/>
      <c r="E449" s="71"/>
      <c r="F449" s="71"/>
      <c r="G449" s="71"/>
      <c r="H449" s="71"/>
      <c r="I449" s="71"/>
      <c r="J449" s="71"/>
      <c r="K449" s="71"/>
      <c r="L449" s="71"/>
      <c r="M449" s="71"/>
      <c r="N449" s="71"/>
      <c r="O449" s="71"/>
      <c r="P449" s="175"/>
      <c r="Q449" s="71"/>
      <c r="R449" s="71"/>
      <c r="S449" s="71"/>
      <c r="T449" s="71"/>
      <c r="U449" s="71"/>
      <c r="V449" s="71"/>
      <c r="W449" s="71"/>
      <c r="X449" s="71"/>
      <c r="Y449" s="71"/>
      <c r="Z449" s="71"/>
      <c r="AK449" s="71"/>
      <c r="AL449" s="71"/>
      <c r="AM449" s="71"/>
      <c r="AN449" s="71"/>
      <c r="AO449" s="71"/>
    </row>
    <row r="450" spans="3:41" ht="15" customHeight="1" x14ac:dyDescent="0.4">
      <c r="C450" s="119"/>
      <c r="D450" s="71"/>
      <c r="E450" s="71"/>
      <c r="F450" s="71"/>
      <c r="G450" s="71"/>
      <c r="H450" s="71"/>
      <c r="I450" s="71"/>
      <c r="J450" s="71"/>
      <c r="K450" s="71"/>
      <c r="L450" s="83"/>
      <c r="M450" s="83"/>
      <c r="N450" s="83"/>
      <c r="O450" s="71"/>
      <c r="P450" s="175"/>
      <c r="Q450" s="71"/>
      <c r="R450" s="71"/>
      <c r="S450" s="71"/>
      <c r="T450" s="71"/>
      <c r="U450" s="71"/>
      <c r="V450" s="71"/>
      <c r="W450" s="71"/>
      <c r="X450" s="71"/>
      <c r="Y450" s="71"/>
      <c r="Z450" s="71"/>
      <c r="AK450" s="71"/>
      <c r="AL450" s="71"/>
      <c r="AM450" s="71"/>
      <c r="AN450" s="71"/>
      <c r="AO450" s="71"/>
    </row>
    <row r="451" spans="3:41" ht="15" customHeight="1" x14ac:dyDescent="0.4">
      <c r="C451" s="119"/>
      <c r="D451" s="71"/>
      <c r="E451" s="71"/>
      <c r="F451" s="71"/>
      <c r="G451" s="71"/>
      <c r="H451" s="71"/>
      <c r="I451" s="71"/>
      <c r="J451" s="71"/>
      <c r="K451" s="71"/>
      <c r="L451" s="83"/>
      <c r="M451" s="83"/>
      <c r="N451" s="83"/>
      <c r="O451" s="71"/>
      <c r="P451" s="175"/>
      <c r="Q451" s="71"/>
      <c r="R451" s="71"/>
      <c r="S451" s="71"/>
      <c r="T451" s="71"/>
      <c r="U451" s="71"/>
      <c r="V451" s="71"/>
      <c r="W451" s="71"/>
      <c r="X451" s="71"/>
      <c r="Y451" s="71"/>
      <c r="Z451" s="71"/>
      <c r="AK451" s="71"/>
      <c r="AL451" s="71"/>
      <c r="AM451" s="71"/>
      <c r="AN451" s="71"/>
      <c r="AO451" s="71"/>
    </row>
    <row r="452" spans="3:41" ht="15" customHeight="1" x14ac:dyDescent="0.4">
      <c r="C452" s="119"/>
      <c r="D452" s="71"/>
      <c r="E452" s="71"/>
      <c r="F452" s="71"/>
      <c r="G452" s="71"/>
      <c r="H452" s="71"/>
      <c r="I452" s="71"/>
      <c r="J452" s="71"/>
      <c r="K452" s="71"/>
      <c r="L452" s="71"/>
      <c r="M452" s="71"/>
      <c r="N452" s="71"/>
      <c r="O452" s="71"/>
      <c r="P452" s="175"/>
      <c r="Q452" s="71"/>
      <c r="R452" s="71"/>
      <c r="S452" s="71"/>
      <c r="T452" s="71"/>
      <c r="U452" s="71"/>
      <c r="V452" s="71"/>
      <c r="W452" s="71"/>
      <c r="X452" s="71"/>
      <c r="Y452" s="71"/>
      <c r="Z452" s="71"/>
      <c r="AK452" s="71"/>
      <c r="AL452" s="71"/>
      <c r="AM452" s="71"/>
      <c r="AN452" s="71"/>
      <c r="AO452" s="71"/>
    </row>
    <row r="453" spans="3:41" ht="15" customHeight="1" x14ac:dyDescent="0.4">
      <c r="C453" s="119"/>
      <c r="D453" s="71"/>
      <c r="E453" s="71"/>
      <c r="F453" s="71"/>
      <c r="G453" s="71"/>
      <c r="H453" s="71"/>
      <c r="I453" s="71"/>
      <c r="J453" s="71"/>
      <c r="K453" s="71"/>
      <c r="L453" s="71"/>
      <c r="M453" s="71"/>
      <c r="N453" s="71"/>
      <c r="O453" s="71"/>
      <c r="P453" s="175"/>
      <c r="Q453" s="71"/>
      <c r="R453" s="83"/>
      <c r="S453" s="83"/>
      <c r="T453" s="71"/>
      <c r="U453" s="71"/>
      <c r="V453" s="71"/>
      <c r="W453" s="71"/>
      <c r="X453" s="71"/>
      <c r="Y453" s="71"/>
      <c r="Z453" s="71"/>
      <c r="AK453" s="71"/>
      <c r="AL453" s="71"/>
      <c r="AM453" s="71"/>
      <c r="AN453" s="71"/>
      <c r="AO453" s="71"/>
    </row>
    <row r="454" spans="3:41" ht="15" customHeight="1" x14ac:dyDescent="0.4">
      <c r="C454" s="119"/>
      <c r="D454" s="71"/>
      <c r="E454" s="71"/>
      <c r="F454" s="71"/>
      <c r="G454" s="71"/>
      <c r="H454" s="71"/>
      <c r="I454" s="71"/>
      <c r="J454" s="71"/>
      <c r="K454" s="71"/>
      <c r="L454" s="71"/>
      <c r="M454" s="71"/>
      <c r="N454" s="71"/>
      <c r="O454" s="71"/>
      <c r="P454" s="175"/>
      <c r="Q454" s="71"/>
      <c r="R454" s="83"/>
      <c r="S454" s="83"/>
      <c r="T454" s="71"/>
      <c r="U454" s="71"/>
      <c r="V454" s="71"/>
      <c r="W454" s="71"/>
      <c r="X454" s="71"/>
      <c r="Y454" s="71"/>
      <c r="Z454" s="71"/>
      <c r="AK454" s="71"/>
      <c r="AL454" s="71"/>
      <c r="AM454" s="71"/>
      <c r="AN454" s="71"/>
      <c r="AO454" s="71"/>
    </row>
    <row r="455" spans="3:41" ht="15" customHeight="1" x14ac:dyDescent="0.4">
      <c r="C455" s="119"/>
      <c r="D455" s="71"/>
      <c r="E455" s="71"/>
      <c r="F455" s="71"/>
      <c r="G455" s="71"/>
      <c r="H455" s="71"/>
      <c r="I455" s="71"/>
      <c r="J455" s="71"/>
      <c r="K455" s="71"/>
      <c r="L455" s="71"/>
      <c r="M455" s="71"/>
      <c r="N455" s="71"/>
      <c r="O455" s="71"/>
      <c r="P455" s="175"/>
      <c r="Q455" s="71"/>
      <c r="R455" s="71"/>
      <c r="S455" s="71"/>
      <c r="T455" s="71"/>
      <c r="U455" s="71"/>
      <c r="V455" s="71"/>
      <c r="W455" s="71"/>
      <c r="X455" s="71"/>
      <c r="Y455" s="71"/>
      <c r="Z455" s="71"/>
      <c r="AK455" s="71"/>
      <c r="AL455" s="71"/>
      <c r="AM455" s="71"/>
      <c r="AN455" s="71"/>
      <c r="AO455" s="71"/>
    </row>
    <row r="456" spans="3:41" ht="15" customHeight="1" x14ac:dyDescent="0.4">
      <c r="C456" s="119"/>
      <c r="D456" s="71"/>
      <c r="E456" s="71"/>
      <c r="F456" s="71"/>
      <c r="G456" s="71"/>
      <c r="H456" s="71"/>
      <c r="I456" s="71"/>
      <c r="J456" s="71"/>
      <c r="K456" s="71"/>
      <c r="L456" s="83"/>
      <c r="M456" s="83"/>
      <c r="N456" s="83"/>
      <c r="O456" s="71"/>
      <c r="P456" s="175"/>
      <c r="Q456" s="71"/>
      <c r="R456" s="83"/>
      <c r="S456" s="83"/>
      <c r="T456" s="71"/>
      <c r="U456" s="71"/>
      <c r="V456" s="71"/>
      <c r="W456" s="71"/>
      <c r="X456" s="71"/>
      <c r="Y456" s="71"/>
      <c r="Z456" s="71"/>
      <c r="AK456" s="71"/>
      <c r="AL456" s="71"/>
      <c r="AM456" s="71"/>
      <c r="AN456" s="71"/>
      <c r="AO456" s="71"/>
    </row>
    <row r="457" spans="3:41" ht="15" customHeight="1" x14ac:dyDescent="0.4">
      <c r="C457" s="119"/>
      <c r="D457" s="71"/>
      <c r="E457" s="71"/>
      <c r="F457" s="71"/>
      <c r="G457" s="71"/>
      <c r="H457" s="71"/>
      <c r="I457" s="71"/>
      <c r="J457" s="71"/>
      <c r="K457" s="71"/>
      <c r="L457" s="83"/>
      <c r="M457" s="83"/>
      <c r="N457" s="83"/>
      <c r="O457" s="71"/>
      <c r="P457" s="175"/>
      <c r="Q457" s="71"/>
      <c r="R457" s="83"/>
      <c r="S457" s="83"/>
      <c r="T457" s="71"/>
      <c r="U457" s="71"/>
      <c r="V457" s="71"/>
      <c r="W457" s="71"/>
      <c r="X457" s="71"/>
      <c r="Y457" s="71"/>
      <c r="Z457" s="71"/>
      <c r="AK457" s="71"/>
      <c r="AL457" s="71"/>
      <c r="AM457" s="71"/>
      <c r="AN457" s="71"/>
      <c r="AO457" s="71"/>
    </row>
    <row r="458" spans="3:41" ht="15" customHeight="1" x14ac:dyDescent="0.4">
      <c r="C458" s="119"/>
      <c r="D458" s="71"/>
      <c r="E458" s="71"/>
      <c r="F458" s="71"/>
      <c r="G458" s="71"/>
      <c r="H458" s="71"/>
      <c r="I458" s="71"/>
      <c r="J458" s="71"/>
      <c r="K458" s="71"/>
      <c r="L458" s="71"/>
      <c r="M458" s="71"/>
      <c r="N458" s="71"/>
      <c r="O458" s="71"/>
      <c r="P458" s="175"/>
      <c r="Q458" s="71"/>
      <c r="R458" s="83"/>
      <c r="S458" s="83"/>
      <c r="T458" s="71"/>
      <c r="U458" s="71"/>
      <c r="V458" s="71"/>
      <c r="W458" s="71"/>
      <c r="X458" s="71"/>
      <c r="Y458" s="71"/>
      <c r="Z458" s="71"/>
      <c r="AK458" s="71"/>
      <c r="AL458" s="71"/>
      <c r="AM458" s="71"/>
      <c r="AN458" s="71"/>
      <c r="AO458" s="71"/>
    </row>
    <row r="459" spans="3:41" ht="15" customHeight="1" x14ac:dyDescent="0.4">
      <c r="C459" s="119"/>
      <c r="D459" s="71"/>
      <c r="E459" s="71"/>
      <c r="F459" s="71"/>
      <c r="G459" s="71"/>
      <c r="H459" s="71"/>
      <c r="I459" s="71"/>
      <c r="J459" s="71"/>
      <c r="K459" s="71"/>
      <c r="L459" s="83"/>
      <c r="M459" s="83"/>
      <c r="N459" s="83"/>
      <c r="O459" s="71"/>
      <c r="P459" s="175"/>
      <c r="Q459" s="71"/>
      <c r="R459" s="71"/>
      <c r="S459" s="71"/>
      <c r="T459" s="71"/>
      <c r="U459" s="71"/>
      <c r="V459" s="71"/>
      <c r="W459" s="71"/>
      <c r="X459" s="71"/>
      <c r="Y459" s="71"/>
      <c r="Z459" s="71"/>
      <c r="AK459" s="71"/>
      <c r="AL459" s="71"/>
      <c r="AM459" s="71"/>
      <c r="AN459" s="71"/>
      <c r="AO459" s="71"/>
    </row>
    <row r="460" spans="3:41" ht="15" customHeight="1" x14ac:dyDescent="0.4">
      <c r="C460" s="119"/>
      <c r="D460" s="71"/>
      <c r="E460" s="71"/>
      <c r="F460" s="71"/>
      <c r="G460" s="71"/>
      <c r="H460" s="71"/>
      <c r="I460" s="71"/>
      <c r="J460" s="71"/>
      <c r="K460" s="71"/>
      <c r="L460" s="83"/>
      <c r="M460" s="83"/>
      <c r="N460" s="83"/>
      <c r="O460" s="71"/>
      <c r="P460" s="175"/>
      <c r="Q460" s="71"/>
      <c r="R460" s="71"/>
      <c r="S460" s="71"/>
      <c r="T460" s="71"/>
      <c r="U460" s="71"/>
      <c r="V460" s="71"/>
      <c r="W460" s="71"/>
      <c r="X460" s="71"/>
      <c r="Y460" s="71"/>
      <c r="Z460" s="71"/>
      <c r="AK460" s="71"/>
      <c r="AL460" s="71"/>
      <c r="AM460" s="71"/>
      <c r="AN460" s="71"/>
      <c r="AO460" s="71"/>
    </row>
    <row r="461" spans="3:41" ht="15" customHeight="1" x14ac:dyDescent="0.4">
      <c r="C461" s="119"/>
      <c r="D461" s="71"/>
      <c r="E461" s="71"/>
      <c r="F461" s="71"/>
      <c r="G461" s="71"/>
      <c r="H461" s="71"/>
      <c r="I461" s="71"/>
      <c r="J461" s="71"/>
      <c r="K461" s="71"/>
      <c r="L461" s="83"/>
      <c r="M461" s="83"/>
      <c r="N461" s="83"/>
      <c r="O461" s="71"/>
      <c r="P461" s="175"/>
      <c r="Q461" s="71"/>
      <c r="R461" s="71"/>
      <c r="S461" s="71"/>
      <c r="T461" s="71"/>
      <c r="U461" s="71"/>
      <c r="V461" s="71"/>
      <c r="W461" s="71"/>
      <c r="X461" s="71"/>
      <c r="Y461" s="71"/>
      <c r="Z461" s="71"/>
      <c r="AK461" s="71"/>
      <c r="AL461" s="71"/>
      <c r="AM461" s="71"/>
      <c r="AN461" s="71"/>
      <c r="AO461" s="71"/>
    </row>
    <row r="462" spans="3:41" ht="15" customHeight="1" x14ac:dyDescent="0.4">
      <c r="C462" s="119"/>
      <c r="D462" s="71"/>
      <c r="E462" s="71"/>
      <c r="F462" s="71"/>
      <c r="G462" s="71"/>
      <c r="H462" s="71"/>
      <c r="I462" s="71"/>
      <c r="J462" s="71"/>
      <c r="K462" s="71"/>
      <c r="L462" s="71"/>
      <c r="M462" s="71"/>
      <c r="N462" s="71"/>
      <c r="O462" s="71"/>
      <c r="P462" s="175"/>
      <c r="Q462" s="71"/>
      <c r="R462" s="71"/>
      <c r="S462" s="71"/>
      <c r="T462" s="71"/>
      <c r="U462" s="71"/>
      <c r="V462" s="71"/>
      <c r="W462" s="71"/>
      <c r="X462" s="71"/>
      <c r="Y462" s="71"/>
      <c r="Z462" s="71"/>
      <c r="AK462" s="71"/>
      <c r="AL462" s="71"/>
      <c r="AM462" s="71"/>
      <c r="AN462" s="71"/>
      <c r="AO462" s="71"/>
    </row>
    <row r="463" spans="3:41" ht="15" customHeight="1" x14ac:dyDescent="0.4">
      <c r="C463" s="119"/>
      <c r="D463" s="71"/>
      <c r="E463" s="71"/>
      <c r="F463" s="71"/>
      <c r="G463" s="71"/>
      <c r="H463" s="71"/>
      <c r="I463" s="71"/>
      <c r="J463" s="71"/>
      <c r="K463" s="71"/>
      <c r="L463" s="71"/>
      <c r="M463" s="71"/>
      <c r="N463" s="71"/>
      <c r="O463" s="71"/>
      <c r="P463" s="175"/>
      <c r="Q463" s="71"/>
      <c r="R463" s="83"/>
      <c r="S463" s="83"/>
      <c r="T463" s="71"/>
      <c r="U463" s="71"/>
      <c r="V463" s="71"/>
      <c r="W463" s="71"/>
      <c r="X463" s="71"/>
      <c r="Y463" s="71"/>
      <c r="Z463" s="71"/>
      <c r="AK463" s="71"/>
      <c r="AL463" s="71"/>
      <c r="AM463" s="71"/>
      <c r="AN463" s="71"/>
      <c r="AO463" s="71"/>
    </row>
    <row r="464" spans="3:41" ht="15" customHeight="1" x14ac:dyDescent="0.4">
      <c r="C464" s="119"/>
      <c r="D464" s="71"/>
      <c r="E464" s="71"/>
      <c r="F464" s="71"/>
      <c r="G464" s="71"/>
      <c r="H464" s="71"/>
      <c r="I464" s="71"/>
      <c r="J464" s="71"/>
      <c r="K464" s="71"/>
      <c r="L464" s="71"/>
      <c r="M464" s="71"/>
      <c r="N464" s="71"/>
      <c r="O464" s="71"/>
      <c r="P464" s="175"/>
      <c r="Q464" s="71"/>
      <c r="R464" s="83"/>
      <c r="S464" s="83"/>
      <c r="T464" s="71"/>
      <c r="U464" s="71"/>
      <c r="V464" s="71"/>
      <c r="W464" s="71"/>
      <c r="X464" s="71"/>
      <c r="Y464" s="71"/>
      <c r="Z464" s="71"/>
      <c r="AK464" s="71"/>
      <c r="AL464" s="71"/>
      <c r="AM464" s="71"/>
      <c r="AN464" s="71"/>
      <c r="AO464" s="71"/>
    </row>
    <row r="465" spans="3:41" ht="15" customHeight="1" x14ac:dyDescent="0.4">
      <c r="C465" s="119"/>
      <c r="D465" s="71"/>
      <c r="E465" s="71"/>
      <c r="F465" s="71"/>
      <c r="G465" s="71"/>
      <c r="H465" s="71"/>
      <c r="I465" s="71"/>
      <c r="J465" s="71"/>
      <c r="K465" s="71"/>
      <c r="L465" s="71"/>
      <c r="M465" s="71"/>
      <c r="N465" s="71"/>
      <c r="O465" s="71"/>
      <c r="P465" s="175"/>
      <c r="Q465" s="71"/>
      <c r="R465" s="71"/>
      <c r="S465" s="71"/>
      <c r="T465" s="71"/>
      <c r="U465" s="71"/>
      <c r="V465" s="71"/>
      <c r="W465" s="71"/>
      <c r="X465" s="71"/>
      <c r="Y465" s="71"/>
      <c r="Z465" s="71"/>
      <c r="AK465" s="71"/>
      <c r="AL465" s="71"/>
      <c r="AM465" s="71"/>
      <c r="AN465" s="71"/>
      <c r="AO465" s="71"/>
    </row>
    <row r="466" spans="3:41" ht="15" customHeight="1" x14ac:dyDescent="0.4">
      <c r="C466" s="119"/>
      <c r="D466" s="71"/>
      <c r="E466" s="71"/>
      <c r="F466" s="71"/>
      <c r="G466" s="71"/>
      <c r="H466" s="71"/>
      <c r="I466" s="71"/>
      <c r="J466" s="71"/>
      <c r="K466" s="71"/>
      <c r="L466" s="83"/>
      <c r="M466" s="83"/>
      <c r="N466" s="83"/>
      <c r="O466" s="71"/>
      <c r="P466" s="175"/>
      <c r="Q466" s="71"/>
      <c r="R466" s="83"/>
      <c r="S466" s="83"/>
      <c r="T466" s="71"/>
      <c r="U466" s="71"/>
      <c r="V466" s="71"/>
      <c r="W466" s="71"/>
      <c r="X466" s="71"/>
      <c r="Y466" s="71"/>
      <c r="Z466" s="71"/>
      <c r="AK466" s="71"/>
      <c r="AL466" s="71"/>
      <c r="AM466" s="71"/>
      <c r="AN466" s="71"/>
      <c r="AO466" s="71"/>
    </row>
    <row r="467" spans="3:41" ht="15" customHeight="1" x14ac:dyDescent="0.4">
      <c r="C467" s="119"/>
      <c r="D467" s="71"/>
      <c r="E467" s="71"/>
      <c r="F467" s="71"/>
      <c r="G467" s="71"/>
      <c r="H467" s="71"/>
      <c r="I467" s="71"/>
      <c r="J467" s="71"/>
      <c r="K467" s="71"/>
      <c r="L467" s="83"/>
      <c r="M467" s="83"/>
      <c r="N467" s="83"/>
      <c r="O467" s="71"/>
      <c r="P467" s="175"/>
      <c r="Q467" s="71"/>
      <c r="R467" s="83"/>
      <c r="S467" s="83"/>
      <c r="T467" s="71"/>
      <c r="U467" s="71"/>
      <c r="V467" s="71"/>
      <c r="W467" s="71"/>
      <c r="X467" s="71"/>
      <c r="Y467" s="71"/>
      <c r="Z467" s="71"/>
      <c r="AK467" s="71"/>
      <c r="AL467" s="71"/>
      <c r="AM467" s="71"/>
      <c r="AN467" s="71"/>
      <c r="AO467" s="71"/>
    </row>
    <row r="468" spans="3:41" ht="15" customHeight="1" x14ac:dyDescent="0.4">
      <c r="C468" s="119"/>
      <c r="D468" s="71"/>
      <c r="E468" s="71"/>
      <c r="F468" s="71"/>
      <c r="G468" s="71"/>
      <c r="H468" s="71"/>
      <c r="I468" s="71"/>
      <c r="J468" s="71"/>
      <c r="K468" s="71"/>
      <c r="L468" s="71"/>
      <c r="M468" s="71"/>
      <c r="N468" s="71"/>
      <c r="O468" s="71"/>
      <c r="P468" s="175"/>
      <c r="Q468" s="71"/>
      <c r="R468" s="83"/>
      <c r="S468" s="83"/>
      <c r="T468" s="71"/>
      <c r="U468" s="71"/>
      <c r="V468" s="71"/>
      <c r="W468" s="71"/>
      <c r="X468" s="71"/>
      <c r="Y468" s="71"/>
      <c r="Z468" s="71"/>
      <c r="AK468" s="71"/>
      <c r="AL468" s="71"/>
      <c r="AM468" s="71"/>
      <c r="AN468" s="71"/>
      <c r="AO468" s="71"/>
    </row>
    <row r="469" spans="3:41" ht="15" customHeight="1" x14ac:dyDescent="0.4">
      <c r="C469" s="119"/>
      <c r="D469" s="71"/>
      <c r="E469" s="71"/>
      <c r="F469" s="71"/>
      <c r="G469" s="71"/>
      <c r="H469" s="71"/>
      <c r="I469" s="71"/>
      <c r="J469" s="71"/>
      <c r="K469" s="71"/>
      <c r="L469" s="83"/>
      <c r="M469" s="83"/>
      <c r="N469" s="83"/>
      <c r="O469" s="71"/>
      <c r="P469" s="175"/>
      <c r="Q469" s="71"/>
      <c r="R469" s="71"/>
      <c r="S469" s="71"/>
      <c r="T469" s="71"/>
      <c r="U469" s="71"/>
      <c r="V469" s="71"/>
      <c r="W469" s="71"/>
      <c r="X469" s="71"/>
      <c r="Y469" s="71"/>
      <c r="Z469" s="71"/>
      <c r="AK469" s="71"/>
      <c r="AL469" s="71"/>
      <c r="AM469" s="71"/>
      <c r="AN469" s="71"/>
      <c r="AO469" s="71"/>
    </row>
    <row r="470" spans="3:41" ht="15" customHeight="1" x14ac:dyDescent="0.4">
      <c r="C470" s="119"/>
      <c r="D470" s="71"/>
      <c r="E470" s="71"/>
      <c r="F470" s="71"/>
      <c r="G470" s="71"/>
      <c r="H470" s="71"/>
      <c r="I470" s="71"/>
      <c r="J470" s="71"/>
      <c r="K470" s="71"/>
      <c r="L470" s="83"/>
      <c r="M470" s="83"/>
      <c r="N470" s="83"/>
      <c r="O470" s="71"/>
      <c r="P470" s="175"/>
      <c r="Q470" s="71"/>
      <c r="R470" s="71"/>
      <c r="S470" s="71"/>
      <c r="T470" s="71"/>
      <c r="U470" s="71"/>
      <c r="V470" s="71"/>
      <c r="W470" s="71"/>
      <c r="X470" s="71"/>
      <c r="Y470" s="71"/>
      <c r="Z470" s="71"/>
      <c r="AK470" s="71"/>
      <c r="AL470" s="71"/>
      <c r="AM470" s="71"/>
      <c r="AN470" s="71"/>
      <c r="AO470" s="71"/>
    </row>
    <row r="471" spans="3:41" ht="15" customHeight="1" x14ac:dyDescent="0.4">
      <c r="C471" s="119"/>
      <c r="D471" s="71"/>
      <c r="E471" s="71"/>
      <c r="F471" s="71"/>
      <c r="G471" s="71"/>
      <c r="H471" s="71"/>
      <c r="I471" s="71"/>
      <c r="J471" s="71"/>
      <c r="K471" s="71"/>
      <c r="L471" s="83"/>
      <c r="M471" s="83"/>
      <c r="N471" s="83"/>
      <c r="O471" s="71"/>
      <c r="P471" s="175"/>
      <c r="Q471" s="71"/>
      <c r="R471" s="71"/>
      <c r="S471" s="71"/>
      <c r="T471" s="71"/>
      <c r="U471" s="71"/>
      <c r="V471" s="71"/>
      <c r="W471" s="71"/>
      <c r="X471" s="71"/>
      <c r="Y471" s="71"/>
      <c r="Z471" s="71"/>
      <c r="AK471" s="71"/>
      <c r="AL471" s="71"/>
      <c r="AM471" s="71"/>
      <c r="AN471" s="71"/>
      <c r="AO471" s="71"/>
    </row>
    <row r="472" spans="3:41" ht="15" customHeight="1" x14ac:dyDescent="0.4">
      <c r="C472" s="119"/>
      <c r="D472" s="71"/>
      <c r="E472" s="71"/>
      <c r="F472" s="71"/>
      <c r="G472" s="71"/>
      <c r="H472" s="71"/>
      <c r="I472" s="71"/>
      <c r="J472" s="71"/>
      <c r="K472" s="71"/>
      <c r="L472" s="71"/>
      <c r="M472" s="71"/>
      <c r="N472" s="71"/>
      <c r="O472" s="71"/>
      <c r="P472" s="175"/>
      <c r="Q472" s="71"/>
      <c r="R472" s="71"/>
      <c r="S472" s="71"/>
      <c r="T472" s="71"/>
      <c r="U472" s="71"/>
      <c r="V472" s="71"/>
      <c r="W472" s="71"/>
      <c r="X472" s="71"/>
      <c r="Y472" s="71"/>
      <c r="Z472" s="71"/>
      <c r="AK472" s="71"/>
      <c r="AL472" s="71"/>
      <c r="AM472" s="71"/>
      <c r="AN472" s="71"/>
      <c r="AO472" s="71"/>
    </row>
    <row r="473" spans="3:41" ht="15" customHeight="1" x14ac:dyDescent="0.4">
      <c r="C473" s="119"/>
      <c r="D473" s="71"/>
      <c r="E473" s="71"/>
      <c r="F473" s="71"/>
      <c r="G473" s="71"/>
      <c r="H473" s="71"/>
      <c r="I473" s="71"/>
      <c r="J473" s="71"/>
      <c r="K473" s="71"/>
      <c r="L473" s="71"/>
      <c r="M473" s="71"/>
      <c r="N473" s="71"/>
      <c r="O473" s="71"/>
      <c r="P473" s="175"/>
      <c r="Q473" s="71"/>
      <c r="R473" s="71"/>
      <c r="S473" s="71"/>
      <c r="T473" s="71"/>
      <c r="U473" s="71"/>
      <c r="V473" s="71"/>
      <c r="W473" s="71"/>
      <c r="X473" s="71"/>
      <c r="Y473" s="71"/>
      <c r="Z473" s="71"/>
      <c r="AK473" s="71"/>
      <c r="AL473" s="71"/>
      <c r="AM473" s="71"/>
      <c r="AN473" s="71"/>
      <c r="AO473" s="71"/>
    </row>
    <row r="474" spans="3:41" ht="15" customHeight="1" x14ac:dyDescent="0.4">
      <c r="C474" s="119"/>
      <c r="D474" s="71"/>
      <c r="E474" s="71"/>
      <c r="F474" s="71"/>
      <c r="G474" s="71"/>
      <c r="H474" s="71"/>
      <c r="I474" s="71"/>
      <c r="J474" s="71"/>
      <c r="K474" s="71"/>
      <c r="L474" s="71"/>
      <c r="M474" s="71"/>
      <c r="N474" s="71"/>
      <c r="O474" s="71"/>
      <c r="P474" s="175"/>
      <c r="Q474" s="71"/>
      <c r="R474" s="71"/>
      <c r="S474" s="71"/>
      <c r="T474" s="71"/>
      <c r="U474" s="71"/>
      <c r="V474" s="71"/>
      <c r="W474" s="71"/>
      <c r="X474" s="71"/>
      <c r="Y474" s="71"/>
      <c r="Z474" s="71"/>
      <c r="AK474" s="71"/>
      <c r="AL474" s="71"/>
      <c r="AM474" s="71"/>
      <c r="AN474" s="71"/>
      <c r="AO474" s="71"/>
    </row>
    <row r="475" spans="3:41" ht="15" customHeight="1" x14ac:dyDescent="0.4">
      <c r="C475" s="119"/>
      <c r="D475" s="71"/>
      <c r="E475" s="71"/>
      <c r="F475" s="71"/>
      <c r="G475" s="71"/>
      <c r="H475" s="71"/>
      <c r="I475" s="71"/>
      <c r="J475" s="71"/>
      <c r="K475" s="71"/>
      <c r="L475" s="71"/>
      <c r="M475" s="71"/>
      <c r="N475" s="71"/>
      <c r="O475" s="71"/>
      <c r="P475" s="175"/>
      <c r="Q475" s="71"/>
      <c r="R475" s="71"/>
      <c r="S475" s="71"/>
      <c r="T475" s="71"/>
      <c r="U475" s="71"/>
      <c r="V475" s="71"/>
      <c r="W475" s="71"/>
      <c r="X475" s="71"/>
      <c r="Y475" s="71"/>
      <c r="Z475" s="71"/>
      <c r="AK475" s="71"/>
      <c r="AL475" s="71"/>
      <c r="AM475" s="71"/>
      <c r="AN475" s="71"/>
      <c r="AO475" s="71"/>
    </row>
    <row r="476" spans="3:41" ht="15" customHeight="1" x14ac:dyDescent="0.4">
      <c r="C476" s="119"/>
      <c r="D476" s="71"/>
      <c r="E476" s="71"/>
      <c r="F476" s="71"/>
      <c r="G476" s="71"/>
      <c r="H476" s="71"/>
      <c r="I476" s="71"/>
      <c r="J476" s="71"/>
      <c r="K476" s="71"/>
      <c r="L476" s="71"/>
      <c r="M476" s="71"/>
      <c r="N476" s="71"/>
      <c r="O476" s="71"/>
      <c r="P476" s="175"/>
      <c r="Q476" s="71"/>
      <c r="R476" s="71"/>
      <c r="S476" s="71"/>
      <c r="T476" s="71"/>
      <c r="U476" s="71"/>
      <c r="V476" s="71"/>
      <c r="W476" s="71"/>
      <c r="X476" s="71"/>
      <c r="Y476" s="71"/>
      <c r="Z476" s="71"/>
      <c r="AK476" s="71"/>
      <c r="AL476" s="71"/>
      <c r="AM476" s="71"/>
      <c r="AN476" s="71"/>
      <c r="AO476" s="71"/>
    </row>
    <row r="477" spans="3:41" ht="15" customHeight="1" x14ac:dyDescent="0.4">
      <c r="C477" s="119"/>
      <c r="D477" s="71"/>
      <c r="E477" s="71"/>
      <c r="F477" s="71"/>
      <c r="G477" s="71"/>
      <c r="H477" s="71"/>
      <c r="I477" s="71"/>
      <c r="J477" s="71"/>
      <c r="K477" s="71"/>
      <c r="L477" s="71"/>
      <c r="M477" s="71"/>
      <c r="N477" s="71"/>
      <c r="O477" s="71"/>
      <c r="P477" s="175"/>
      <c r="Q477" s="71"/>
      <c r="R477" s="71"/>
      <c r="S477" s="71"/>
      <c r="T477" s="71"/>
      <c r="U477" s="71"/>
      <c r="V477" s="71"/>
      <c r="W477" s="71"/>
      <c r="X477" s="71"/>
      <c r="Y477" s="71"/>
      <c r="Z477" s="71"/>
      <c r="AK477" s="71"/>
      <c r="AL477" s="71"/>
      <c r="AM477" s="71"/>
      <c r="AN477" s="71"/>
      <c r="AO477" s="71"/>
    </row>
    <row r="478" spans="3:41" ht="15" customHeight="1" x14ac:dyDescent="0.4">
      <c r="C478" s="119"/>
      <c r="D478" s="71"/>
      <c r="E478" s="71"/>
      <c r="F478" s="71"/>
      <c r="G478" s="71"/>
      <c r="H478" s="71"/>
      <c r="I478" s="71"/>
      <c r="J478" s="71"/>
      <c r="K478" s="71"/>
      <c r="L478" s="71"/>
      <c r="M478" s="71"/>
      <c r="N478" s="71"/>
      <c r="O478" s="71"/>
      <c r="P478" s="175"/>
      <c r="Q478" s="71"/>
      <c r="R478" s="71"/>
      <c r="S478" s="71"/>
      <c r="T478" s="71"/>
      <c r="U478" s="71"/>
      <c r="V478" s="71"/>
      <c r="W478" s="71"/>
      <c r="X478" s="71"/>
      <c r="Y478" s="71"/>
      <c r="Z478" s="71"/>
      <c r="AK478" s="71"/>
      <c r="AL478" s="71"/>
      <c r="AM478" s="71"/>
      <c r="AN478" s="71"/>
      <c r="AO478" s="71"/>
    </row>
    <row r="479" spans="3:41" ht="15" customHeight="1" x14ac:dyDescent="0.4">
      <c r="C479" s="119"/>
      <c r="D479" s="71"/>
      <c r="E479" s="71"/>
      <c r="F479" s="71"/>
      <c r="G479" s="71"/>
      <c r="H479" s="71"/>
      <c r="I479" s="71"/>
      <c r="J479" s="71"/>
      <c r="K479" s="71"/>
      <c r="L479" s="71"/>
      <c r="M479" s="71"/>
      <c r="N479" s="71"/>
      <c r="O479" s="71"/>
      <c r="P479" s="175"/>
      <c r="Q479" s="71"/>
      <c r="R479" s="71"/>
      <c r="S479" s="71"/>
      <c r="T479" s="71"/>
      <c r="U479" s="71"/>
      <c r="V479" s="71"/>
      <c r="W479" s="71"/>
      <c r="X479" s="71"/>
      <c r="Y479" s="71"/>
      <c r="Z479" s="71"/>
      <c r="AK479" s="71"/>
      <c r="AL479" s="71"/>
      <c r="AM479" s="71"/>
      <c r="AN479" s="71"/>
      <c r="AO479" s="71"/>
    </row>
    <row r="480" spans="3:41" ht="15" customHeight="1" x14ac:dyDescent="0.4">
      <c r="C480" s="119"/>
      <c r="D480" s="71"/>
      <c r="E480" s="71"/>
      <c r="F480" s="71"/>
      <c r="G480" s="71"/>
      <c r="H480" s="71"/>
      <c r="I480" s="71"/>
      <c r="J480" s="71"/>
      <c r="K480" s="71"/>
      <c r="L480" s="83"/>
      <c r="M480" s="83"/>
      <c r="N480" s="83"/>
      <c r="O480" s="71"/>
      <c r="P480" s="175"/>
      <c r="Q480" s="71"/>
      <c r="R480" s="71"/>
      <c r="S480" s="71"/>
      <c r="T480" s="71"/>
      <c r="U480" s="71"/>
      <c r="V480" s="71"/>
      <c r="W480" s="71"/>
      <c r="X480" s="71"/>
      <c r="Y480" s="71"/>
      <c r="Z480" s="71"/>
      <c r="AK480" s="71"/>
      <c r="AL480" s="71"/>
      <c r="AM480" s="71"/>
      <c r="AN480" s="71"/>
      <c r="AO480" s="71"/>
    </row>
    <row r="481" spans="3:41" ht="15" customHeight="1" x14ac:dyDescent="0.4">
      <c r="C481" s="119"/>
      <c r="D481" s="71"/>
      <c r="E481" s="71"/>
      <c r="F481" s="71"/>
      <c r="G481" s="71"/>
      <c r="H481" s="71"/>
      <c r="I481" s="71"/>
      <c r="J481" s="71"/>
      <c r="K481" s="71"/>
      <c r="L481" s="83"/>
      <c r="M481" s="83"/>
      <c r="N481" s="83"/>
      <c r="O481" s="71"/>
      <c r="P481" s="175"/>
      <c r="Q481" s="71"/>
      <c r="R481" s="71"/>
      <c r="S481" s="71"/>
      <c r="T481" s="71"/>
      <c r="U481" s="71"/>
      <c r="V481" s="71"/>
      <c r="W481" s="71"/>
      <c r="X481" s="71"/>
      <c r="Y481" s="71"/>
      <c r="Z481" s="71"/>
      <c r="AK481" s="71"/>
      <c r="AL481" s="71"/>
      <c r="AM481" s="71"/>
      <c r="AN481" s="71"/>
      <c r="AO481" s="71"/>
    </row>
    <row r="482" spans="3:41" ht="15" customHeight="1" x14ac:dyDescent="0.4">
      <c r="C482" s="119"/>
      <c r="D482" s="71"/>
      <c r="E482" s="71"/>
      <c r="F482" s="71"/>
      <c r="G482" s="71"/>
      <c r="H482" s="71"/>
      <c r="I482" s="71"/>
      <c r="J482" s="71"/>
      <c r="K482" s="71"/>
      <c r="L482" s="83"/>
      <c r="M482" s="83"/>
      <c r="N482" s="83"/>
      <c r="O482" s="71"/>
      <c r="P482" s="175"/>
      <c r="Q482" s="71"/>
      <c r="R482" s="71"/>
      <c r="S482" s="71"/>
      <c r="T482" s="71"/>
      <c r="U482" s="71"/>
      <c r="V482" s="71"/>
      <c r="W482" s="71"/>
      <c r="X482" s="71"/>
      <c r="Y482" s="71"/>
      <c r="Z482" s="71"/>
      <c r="AK482" s="71"/>
      <c r="AL482" s="71"/>
      <c r="AM482" s="71"/>
      <c r="AN482" s="71"/>
      <c r="AO482" s="71"/>
    </row>
    <row r="483" spans="3:41" ht="15" customHeight="1" x14ac:dyDescent="0.4">
      <c r="C483" s="119"/>
      <c r="D483" s="71"/>
      <c r="E483" s="71"/>
      <c r="F483" s="71"/>
      <c r="G483" s="71"/>
      <c r="H483" s="71"/>
      <c r="I483" s="71"/>
      <c r="J483" s="71"/>
      <c r="K483" s="71"/>
      <c r="L483" s="71"/>
      <c r="M483" s="71"/>
      <c r="N483" s="71"/>
      <c r="O483" s="71"/>
      <c r="P483" s="175"/>
      <c r="Q483" s="71"/>
      <c r="R483" s="71"/>
      <c r="S483" s="71"/>
      <c r="T483" s="71"/>
      <c r="U483" s="71"/>
      <c r="V483" s="71"/>
      <c r="W483" s="71"/>
      <c r="X483" s="71"/>
      <c r="Y483" s="71"/>
      <c r="Z483" s="71"/>
      <c r="AK483" s="71"/>
      <c r="AL483" s="71"/>
      <c r="AM483" s="71"/>
      <c r="AN483" s="71"/>
      <c r="AO483" s="71"/>
    </row>
    <row r="484" spans="3:41" ht="15" customHeight="1" x14ac:dyDescent="0.4">
      <c r="C484" s="119"/>
      <c r="D484" s="71"/>
      <c r="E484" s="71"/>
      <c r="F484" s="71"/>
      <c r="G484" s="71"/>
      <c r="H484" s="71"/>
      <c r="I484" s="71"/>
      <c r="J484" s="71"/>
      <c r="K484" s="71"/>
      <c r="L484" s="71"/>
      <c r="M484" s="71"/>
      <c r="N484" s="71"/>
      <c r="O484" s="71"/>
      <c r="P484" s="175"/>
      <c r="Q484" s="71"/>
      <c r="R484" s="71"/>
      <c r="S484" s="71"/>
      <c r="T484" s="71"/>
      <c r="U484" s="71"/>
      <c r="V484" s="71"/>
      <c r="W484" s="71"/>
      <c r="X484" s="71"/>
      <c r="Y484" s="71"/>
      <c r="Z484" s="71"/>
      <c r="AK484" s="71"/>
      <c r="AL484" s="71"/>
      <c r="AM484" s="71"/>
      <c r="AN484" s="71"/>
      <c r="AO484" s="71"/>
    </row>
    <row r="485" spans="3:41" ht="15" customHeight="1" x14ac:dyDescent="0.4">
      <c r="C485" s="119"/>
      <c r="D485" s="71"/>
      <c r="E485" s="71"/>
      <c r="F485" s="71"/>
      <c r="G485" s="71"/>
      <c r="H485" s="71"/>
      <c r="I485" s="71"/>
      <c r="J485" s="71"/>
      <c r="K485" s="71"/>
      <c r="L485" s="71"/>
      <c r="M485" s="71"/>
      <c r="N485" s="71"/>
      <c r="O485" s="71"/>
      <c r="P485" s="175"/>
      <c r="Q485" s="71"/>
      <c r="R485" s="71"/>
      <c r="S485" s="71"/>
      <c r="T485" s="71"/>
      <c r="U485" s="71"/>
      <c r="V485" s="71"/>
      <c r="W485" s="71"/>
      <c r="X485" s="71"/>
      <c r="Y485" s="71"/>
      <c r="Z485" s="71"/>
      <c r="AK485" s="71"/>
      <c r="AL485" s="71"/>
      <c r="AM485" s="71"/>
      <c r="AN485" s="71"/>
      <c r="AO485" s="71"/>
    </row>
    <row r="486" spans="3:41" ht="15" customHeight="1" x14ac:dyDescent="0.4">
      <c r="C486" s="119"/>
      <c r="D486" s="71"/>
      <c r="E486" s="71"/>
      <c r="F486" s="71"/>
      <c r="G486" s="71"/>
      <c r="H486" s="71"/>
      <c r="I486" s="71"/>
      <c r="J486" s="71"/>
      <c r="K486" s="71"/>
      <c r="L486" s="83"/>
      <c r="M486" s="83"/>
      <c r="N486" s="83"/>
      <c r="O486" s="71"/>
      <c r="P486" s="175"/>
      <c r="Q486" s="71"/>
      <c r="R486" s="71"/>
      <c r="S486" s="71"/>
      <c r="T486" s="71"/>
      <c r="U486" s="71"/>
      <c r="V486" s="71"/>
      <c r="W486" s="71"/>
      <c r="X486" s="71"/>
      <c r="Y486" s="71"/>
      <c r="Z486" s="71"/>
      <c r="AK486" s="71"/>
      <c r="AL486" s="71"/>
      <c r="AM486" s="71"/>
      <c r="AN486" s="71"/>
      <c r="AO486" s="71"/>
    </row>
    <row r="487" spans="3:41" ht="15" customHeight="1" x14ac:dyDescent="0.4">
      <c r="C487" s="119"/>
      <c r="D487" s="71"/>
      <c r="E487" s="71"/>
      <c r="F487" s="71"/>
      <c r="G487" s="71"/>
      <c r="H487" s="71"/>
      <c r="I487" s="71"/>
      <c r="J487" s="71"/>
      <c r="K487" s="71"/>
      <c r="L487" s="83"/>
      <c r="M487" s="83"/>
      <c r="N487" s="83"/>
      <c r="O487" s="71"/>
      <c r="P487" s="175"/>
      <c r="Q487" s="71"/>
      <c r="R487" s="71"/>
      <c r="S487" s="71"/>
      <c r="T487" s="71"/>
      <c r="U487" s="71"/>
      <c r="V487" s="71"/>
      <c r="W487" s="71"/>
      <c r="X487" s="71"/>
      <c r="Y487" s="71"/>
      <c r="Z487" s="71"/>
      <c r="AK487" s="71"/>
      <c r="AL487" s="71"/>
      <c r="AM487" s="71"/>
      <c r="AN487" s="71"/>
      <c r="AO487" s="71"/>
    </row>
    <row r="488" spans="3:41" ht="15" customHeight="1" x14ac:dyDescent="0.4">
      <c r="C488" s="119"/>
      <c r="D488" s="71"/>
      <c r="E488" s="71"/>
      <c r="F488" s="71"/>
      <c r="G488" s="71"/>
      <c r="H488" s="71"/>
      <c r="I488" s="71"/>
      <c r="J488" s="71"/>
      <c r="K488" s="71"/>
      <c r="L488" s="83"/>
      <c r="M488" s="83"/>
      <c r="N488" s="83"/>
      <c r="O488" s="71"/>
      <c r="P488" s="175"/>
      <c r="Q488" s="71"/>
      <c r="R488" s="71"/>
      <c r="S488" s="71"/>
      <c r="T488" s="71"/>
      <c r="U488" s="71"/>
      <c r="V488" s="71"/>
      <c r="W488" s="71"/>
      <c r="X488" s="71"/>
      <c r="Y488" s="71"/>
      <c r="Z488" s="71"/>
      <c r="AK488" s="71"/>
      <c r="AL488" s="71"/>
      <c r="AM488" s="71"/>
      <c r="AN488" s="71"/>
      <c r="AO488" s="71"/>
    </row>
    <row r="489" spans="3:41" ht="15" customHeight="1" x14ac:dyDescent="0.4">
      <c r="C489" s="119"/>
      <c r="D489" s="71"/>
      <c r="E489" s="71"/>
      <c r="F489" s="71"/>
      <c r="G489" s="71"/>
      <c r="H489" s="71"/>
      <c r="I489" s="71"/>
      <c r="J489" s="71"/>
      <c r="K489" s="71"/>
      <c r="L489" s="71"/>
      <c r="M489" s="71"/>
      <c r="N489" s="71"/>
      <c r="O489" s="71"/>
      <c r="P489" s="175"/>
      <c r="Q489" s="71"/>
      <c r="R489" s="71"/>
      <c r="S489" s="71"/>
      <c r="T489" s="71"/>
      <c r="U489" s="71"/>
      <c r="V489" s="71"/>
      <c r="W489" s="71"/>
      <c r="X489" s="71"/>
      <c r="Y489" s="71"/>
      <c r="Z489" s="71"/>
      <c r="AK489" s="71"/>
      <c r="AL489" s="71"/>
      <c r="AM489" s="71"/>
      <c r="AN489" s="71"/>
      <c r="AO489" s="71"/>
    </row>
    <row r="490" spans="3:41" ht="15" customHeight="1" x14ac:dyDescent="0.4">
      <c r="C490" s="119"/>
      <c r="D490" s="71"/>
      <c r="E490" s="71"/>
      <c r="F490" s="71"/>
      <c r="G490" s="71"/>
      <c r="H490" s="71"/>
      <c r="I490" s="71"/>
      <c r="J490" s="71"/>
      <c r="K490" s="71"/>
      <c r="L490" s="71"/>
      <c r="M490" s="71"/>
      <c r="N490" s="71"/>
      <c r="O490" s="71"/>
      <c r="P490" s="175"/>
      <c r="Q490" s="71"/>
      <c r="R490" s="71"/>
      <c r="S490" s="71"/>
      <c r="T490" s="71"/>
      <c r="U490" s="71"/>
      <c r="V490" s="71"/>
      <c r="W490" s="71"/>
      <c r="X490" s="71"/>
      <c r="Y490" s="71"/>
      <c r="Z490" s="71"/>
      <c r="AK490" s="71"/>
      <c r="AL490" s="71"/>
      <c r="AM490" s="71"/>
      <c r="AN490" s="71"/>
      <c r="AO490" s="71"/>
    </row>
    <row r="491" spans="3:41" ht="15" customHeight="1" x14ac:dyDescent="0.4">
      <c r="C491" s="119"/>
      <c r="D491" s="71"/>
      <c r="E491" s="71"/>
      <c r="F491" s="71"/>
      <c r="G491" s="71"/>
      <c r="H491" s="71"/>
      <c r="I491" s="71"/>
      <c r="J491" s="71"/>
      <c r="K491" s="71"/>
      <c r="L491" s="71"/>
      <c r="M491" s="71"/>
      <c r="N491" s="71"/>
      <c r="O491" s="71"/>
      <c r="P491" s="175"/>
      <c r="Q491" s="71"/>
      <c r="R491" s="71"/>
      <c r="S491" s="71"/>
      <c r="T491" s="71"/>
      <c r="U491" s="71"/>
      <c r="V491" s="71"/>
      <c r="W491" s="71"/>
      <c r="X491" s="71"/>
      <c r="Y491" s="71"/>
      <c r="Z491" s="71"/>
      <c r="AK491" s="71"/>
      <c r="AL491" s="71"/>
      <c r="AM491" s="71"/>
      <c r="AN491" s="71"/>
      <c r="AO491" s="71"/>
    </row>
    <row r="492" spans="3:41" ht="15" customHeight="1" x14ac:dyDescent="0.4">
      <c r="C492" s="119"/>
      <c r="D492" s="71"/>
      <c r="E492" s="71"/>
      <c r="F492" s="71"/>
      <c r="G492" s="71"/>
      <c r="H492" s="71"/>
      <c r="I492" s="71"/>
      <c r="J492" s="71"/>
      <c r="K492" s="71"/>
      <c r="L492" s="71"/>
      <c r="M492" s="71"/>
      <c r="N492" s="71"/>
      <c r="O492" s="71"/>
      <c r="P492" s="175"/>
      <c r="Q492" s="71"/>
      <c r="R492" s="71"/>
      <c r="S492" s="71"/>
      <c r="T492" s="71"/>
      <c r="U492" s="71"/>
      <c r="V492" s="71"/>
      <c r="W492" s="71"/>
      <c r="X492" s="71"/>
      <c r="Y492" s="71"/>
      <c r="Z492" s="71"/>
      <c r="AK492" s="71"/>
      <c r="AL492" s="71"/>
      <c r="AM492" s="71"/>
      <c r="AN492" s="71"/>
      <c r="AO492" s="71"/>
    </row>
    <row r="493" spans="3:41" ht="15" customHeight="1" x14ac:dyDescent="0.4">
      <c r="C493" s="119"/>
      <c r="D493" s="71"/>
      <c r="E493" s="71"/>
      <c r="F493" s="71"/>
      <c r="G493" s="71"/>
      <c r="H493" s="71"/>
      <c r="I493" s="71"/>
      <c r="J493" s="71"/>
      <c r="K493" s="71"/>
      <c r="L493" s="71"/>
      <c r="M493" s="71"/>
      <c r="N493" s="71"/>
      <c r="O493" s="71"/>
      <c r="P493" s="175"/>
      <c r="Q493" s="71"/>
      <c r="R493" s="71"/>
      <c r="S493" s="71"/>
      <c r="T493" s="71"/>
      <c r="U493" s="71"/>
      <c r="V493" s="71"/>
      <c r="W493" s="71"/>
      <c r="X493" s="71"/>
      <c r="Y493" s="71"/>
      <c r="Z493" s="71"/>
      <c r="AK493" s="71"/>
      <c r="AL493" s="71"/>
      <c r="AM493" s="71"/>
      <c r="AN493" s="71"/>
      <c r="AO493" s="71"/>
    </row>
    <row r="494" spans="3:41" ht="15" customHeight="1" x14ac:dyDescent="0.4">
      <c r="C494" s="119"/>
      <c r="D494" s="71"/>
      <c r="E494" s="71"/>
      <c r="F494" s="71"/>
      <c r="G494" s="71"/>
      <c r="H494" s="71"/>
      <c r="I494" s="71"/>
      <c r="J494" s="71"/>
      <c r="K494" s="71"/>
      <c r="L494" s="71"/>
      <c r="M494" s="71"/>
      <c r="N494" s="71"/>
      <c r="O494" s="71"/>
      <c r="P494" s="175"/>
      <c r="Q494" s="71"/>
      <c r="R494" s="71"/>
      <c r="S494" s="71"/>
      <c r="T494" s="71"/>
      <c r="U494" s="71"/>
      <c r="V494" s="71"/>
      <c r="W494" s="71"/>
      <c r="X494" s="71"/>
      <c r="Y494" s="71"/>
      <c r="Z494" s="71"/>
      <c r="AK494" s="71"/>
      <c r="AL494" s="71"/>
      <c r="AM494" s="71"/>
      <c r="AN494" s="71"/>
      <c r="AO494" s="71"/>
    </row>
    <row r="495" spans="3:41" ht="15" customHeight="1" x14ac:dyDescent="0.4">
      <c r="C495" s="119"/>
      <c r="D495" s="71"/>
      <c r="E495" s="71"/>
      <c r="F495" s="71"/>
      <c r="G495" s="71"/>
      <c r="H495" s="71"/>
      <c r="I495" s="71"/>
      <c r="J495" s="71"/>
      <c r="K495" s="71"/>
      <c r="L495" s="71"/>
      <c r="M495" s="71"/>
      <c r="N495" s="71"/>
      <c r="O495" s="71"/>
      <c r="P495" s="175"/>
      <c r="Q495" s="71"/>
      <c r="R495" s="71"/>
      <c r="S495" s="71"/>
      <c r="T495" s="71"/>
      <c r="U495" s="71"/>
      <c r="V495" s="71"/>
      <c r="W495" s="71"/>
      <c r="X495" s="71"/>
      <c r="Y495" s="71"/>
      <c r="Z495" s="71"/>
      <c r="AK495" s="71"/>
      <c r="AL495" s="71"/>
      <c r="AM495" s="71"/>
      <c r="AN495" s="71"/>
      <c r="AO495" s="71"/>
    </row>
    <row r="496" spans="3:41" ht="15" customHeight="1" x14ac:dyDescent="0.4">
      <c r="C496" s="119"/>
      <c r="D496" s="71"/>
      <c r="E496" s="71"/>
      <c r="F496" s="71"/>
      <c r="G496" s="71"/>
      <c r="H496" s="71"/>
      <c r="I496" s="71"/>
      <c r="J496" s="71"/>
      <c r="K496" s="71"/>
      <c r="L496" s="71"/>
      <c r="M496" s="71"/>
      <c r="N496" s="71"/>
      <c r="O496" s="71"/>
      <c r="P496" s="175"/>
      <c r="Q496" s="71"/>
      <c r="R496" s="71"/>
      <c r="S496" s="71"/>
      <c r="T496" s="71"/>
      <c r="U496" s="71"/>
      <c r="V496" s="71"/>
      <c r="W496" s="71"/>
      <c r="X496" s="71"/>
      <c r="Y496" s="71"/>
      <c r="Z496" s="71"/>
      <c r="AK496" s="71"/>
      <c r="AL496" s="71"/>
      <c r="AM496" s="71"/>
      <c r="AN496" s="71"/>
      <c r="AO496" s="71"/>
    </row>
    <row r="497" spans="3:41" ht="15" customHeight="1" x14ac:dyDescent="0.4">
      <c r="C497" s="119"/>
      <c r="D497" s="71"/>
      <c r="E497" s="71"/>
      <c r="F497" s="71"/>
      <c r="G497" s="71"/>
      <c r="H497" s="71"/>
      <c r="I497" s="71"/>
      <c r="J497" s="71"/>
      <c r="K497" s="71"/>
      <c r="L497" s="71"/>
      <c r="M497" s="71"/>
      <c r="N497" s="71"/>
      <c r="O497" s="71"/>
      <c r="P497" s="175"/>
      <c r="Q497" s="71"/>
      <c r="R497" s="71"/>
      <c r="S497" s="71"/>
      <c r="T497" s="71"/>
      <c r="U497" s="71"/>
      <c r="V497" s="71"/>
      <c r="W497" s="71"/>
      <c r="X497" s="71"/>
      <c r="Y497" s="71"/>
      <c r="Z497" s="71"/>
      <c r="AK497" s="71"/>
      <c r="AL497" s="71"/>
      <c r="AM497" s="71"/>
      <c r="AN497" s="71"/>
      <c r="AO497" s="71"/>
    </row>
    <row r="498" spans="3:41" ht="15" customHeight="1" x14ac:dyDescent="0.4">
      <c r="C498" s="119"/>
      <c r="D498" s="71"/>
      <c r="E498" s="71"/>
      <c r="F498" s="71"/>
      <c r="G498" s="71"/>
      <c r="H498" s="71"/>
      <c r="I498" s="71"/>
      <c r="J498" s="71"/>
      <c r="K498" s="71"/>
      <c r="L498" s="71"/>
      <c r="M498" s="71"/>
      <c r="N498" s="71"/>
      <c r="O498" s="71"/>
      <c r="P498" s="175"/>
      <c r="Q498" s="71"/>
      <c r="R498" s="71"/>
      <c r="S498" s="71"/>
      <c r="T498" s="71"/>
      <c r="U498" s="71"/>
      <c r="V498" s="71"/>
      <c r="W498" s="71"/>
      <c r="X498" s="71"/>
      <c r="Y498" s="71"/>
      <c r="Z498" s="71"/>
      <c r="AK498" s="71"/>
      <c r="AL498" s="71"/>
      <c r="AM498" s="71"/>
      <c r="AN498" s="71"/>
      <c r="AO498" s="71"/>
    </row>
    <row r="499" spans="3:41" ht="15" customHeight="1" x14ac:dyDescent="0.4">
      <c r="C499" s="119"/>
      <c r="D499" s="71"/>
      <c r="E499" s="71"/>
      <c r="F499" s="71"/>
      <c r="G499" s="71"/>
      <c r="H499" s="71"/>
      <c r="I499" s="71"/>
      <c r="J499" s="71"/>
      <c r="K499" s="71"/>
      <c r="L499" s="71"/>
      <c r="M499" s="71"/>
      <c r="N499" s="71"/>
      <c r="O499" s="71"/>
      <c r="P499" s="175"/>
      <c r="Q499" s="71"/>
      <c r="R499" s="71"/>
      <c r="S499" s="71"/>
      <c r="T499" s="71"/>
      <c r="U499" s="71"/>
      <c r="V499" s="71"/>
      <c r="W499" s="71"/>
      <c r="X499" s="71"/>
      <c r="Y499" s="71"/>
      <c r="Z499" s="71"/>
      <c r="AK499" s="71"/>
      <c r="AL499" s="71"/>
      <c r="AM499" s="71"/>
      <c r="AN499" s="71"/>
      <c r="AO499" s="71"/>
    </row>
    <row r="500" spans="3:41" ht="15" customHeight="1" x14ac:dyDescent="0.4">
      <c r="C500" s="119"/>
      <c r="D500" s="71"/>
      <c r="E500" s="71"/>
      <c r="F500" s="71"/>
      <c r="G500" s="71"/>
      <c r="H500" s="71"/>
      <c r="I500" s="71"/>
      <c r="J500" s="71"/>
      <c r="K500" s="71"/>
      <c r="L500" s="71"/>
      <c r="M500" s="71"/>
      <c r="N500" s="71"/>
      <c r="O500" s="71"/>
      <c r="P500" s="175"/>
      <c r="Q500" s="71"/>
      <c r="R500" s="71"/>
      <c r="S500" s="71"/>
      <c r="T500" s="71"/>
      <c r="U500" s="71"/>
      <c r="V500" s="71"/>
      <c r="W500" s="71"/>
      <c r="X500" s="71"/>
      <c r="Y500" s="71"/>
      <c r="Z500" s="71"/>
      <c r="AK500" s="71"/>
      <c r="AL500" s="71"/>
      <c r="AM500" s="71"/>
      <c r="AN500" s="71"/>
      <c r="AO500" s="71"/>
    </row>
    <row r="501" spans="3:41" ht="15" customHeight="1" x14ac:dyDescent="0.4">
      <c r="C501" s="119"/>
      <c r="D501" s="71"/>
      <c r="E501" s="71"/>
      <c r="F501" s="71"/>
      <c r="G501" s="71"/>
      <c r="H501" s="71"/>
      <c r="I501" s="71"/>
      <c r="J501" s="71"/>
      <c r="K501" s="71"/>
      <c r="L501" s="71"/>
      <c r="M501" s="71"/>
      <c r="N501" s="71"/>
      <c r="O501" s="71"/>
      <c r="P501" s="175"/>
      <c r="Q501" s="71"/>
      <c r="R501" s="71"/>
      <c r="S501" s="71"/>
      <c r="T501" s="71"/>
      <c r="U501" s="71"/>
      <c r="V501" s="71"/>
      <c r="W501" s="71"/>
      <c r="X501" s="71"/>
      <c r="Y501" s="71"/>
      <c r="Z501" s="71"/>
      <c r="AK501" s="71"/>
      <c r="AL501" s="71"/>
      <c r="AM501" s="71"/>
      <c r="AN501" s="71"/>
      <c r="AO501" s="71"/>
    </row>
    <row r="502" spans="3:41" ht="15" customHeight="1" x14ac:dyDescent="0.4">
      <c r="C502" s="119"/>
      <c r="D502" s="71"/>
      <c r="E502" s="71"/>
      <c r="F502" s="71"/>
      <c r="G502" s="71"/>
      <c r="H502" s="71"/>
      <c r="I502" s="71"/>
      <c r="J502" s="71"/>
      <c r="K502" s="71"/>
      <c r="L502" s="71"/>
      <c r="M502" s="71"/>
      <c r="N502" s="71"/>
      <c r="O502" s="71"/>
      <c r="P502" s="175"/>
      <c r="Q502" s="71"/>
      <c r="R502" s="71"/>
      <c r="S502" s="71"/>
      <c r="T502" s="71"/>
      <c r="U502" s="71"/>
      <c r="V502" s="71"/>
      <c r="W502" s="71"/>
      <c r="X502" s="71"/>
      <c r="Y502" s="71"/>
      <c r="Z502" s="71"/>
      <c r="AK502" s="71"/>
      <c r="AL502" s="71"/>
      <c r="AM502" s="71"/>
      <c r="AN502" s="71"/>
      <c r="AO502" s="71"/>
    </row>
    <row r="503" spans="3:41" ht="15" customHeight="1" x14ac:dyDescent="0.4">
      <c r="C503" s="119"/>
      <c r="D503" s="119"/>
      <c r="E503" s="119"/>
      <c r="F503" s="119"/>
      <c r="M503" s="119"/>
      <c r="N503" s="119"/>
      <c r="O503" s="119"/>
      <c r="P503" s="174"/>
      <c r="Q503" s="119"/>
      <c r="R503" s="119"/>
      <c r="S503" s="119"/>
      <c r="T503" s="119"/>
      <c r="U503" s="119"/>
      <c r="V503" s="119"/>
      <c r="W503" s="119"/>
      <c r="X503" s="119"/>
      <c r="Y503" s="119"/>
      <c r="Z503" s="119"/>
      <c r="AK503" s="71"/>
      <c r="AL503" s="71"/>
      <c r="AM503" s="71"/>
      <c r="AN503" s="71"/>
      <c r="AO503" s="71"/>
    </row>
    <row r="504" spans="3:41" ht="15" customHeight="1" x14ac:dyDescent="0.4">
      <c r="C504" s="119"/>
      <c r="D504" s="119"/>
      <c r="E504" s="119"/>
      <c r="F504" s="119"/>
      <c r="M504" s="119"/>
      <c r="N504" s="119"/>
      <c r="O504" s="119"/>
      <c r="P504" s="174"/>
      <c r="Q504" s="119"/>
      <c r="R504" s="119"/>
      <c r="S504" s="119"/>
      <c r="T504" s="119"/>
      <c r="U504" s="119"/>
      <c r="V504" s="119"/>
      <c r="W504" s="119"/>
      <c r="X504" s="119"/>
      <c r="Y504" s="119"/>
      <c r="Z504" s="119"/>
      <c r="AK504" s="71"/>
      <c r="AL504" s="71"/>
      <c r="AM504" s="71"/>
      <c r="AN504" s="71"/>
      <c r="AO504" s="71"/>
    </row>
  </sheetData>
  <phoneticPr fontId="2" type="noConversion"/>
  <conditionalFormatting sqref="AD1">
    <cfRule type="cellIs" dxfId="11" priority="1" operator="equal">
      <formula>0</formula>
    </cfRule>
  </conditionalFormatting>
  <pageMargins left="0.75" right="0.75" top="1" bottom="1" header="0.5" footer="0.5"/>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CM187"/>
  <sheetViews>
    <sheetView tabSelected="1" zoomScale="118" zoomScaleNormal="145" workbookViewId="0">
      <pane xSplit="1" ySplit="1" topLeftCell="Z12" activePane="bottomRight" state="frozen"/>
      <selection pane="topRight" activeCell="B1" sqref="B1"/>
      <selection pane="bottomLeft" activeCell="A2" sqref="A2"/>
      <selection pane="bottomRight" activeCell="AB17" sqref="AB17"/>
    </sheetView>
  </sheetViews>
  <sheetFormatPr defaultColWidth="8.83203125" defaultRowHeight="12.3" x14ac:dyDescent="0.4"/>
  <cols>
    <col min="1" max="1" width="40" bestFit="1" customWidth="1"/>
    <col min="2" max="16" width="12.1640625" bestFit="1" customWidth="1"/>
    <col min="17" max="18" width="14.6640625" bestFit="1" customWidth="1"/>
    <col min="19" max="24" width="12.1640625" bestFit="1" customWidth="1"/>
    <col min="25" max="31" width="14.6640625" bestFit="1" customWidth="1"/>
    <col min="32" max="35" width="12.1640625" bestFit="1" customWidth="1"/>
    <col min="36" max="46" width="14.6640625" bestFit="1" customWidth="1"/>
    <col min="47" max="49" width="12.1640625" bestFit="1" customWidth="1"/>
    <col min="50" max="50" width="14.6640625" bestFit="1" customWidth="1"/>
    <col min="51" max="51" width="12.1640625" bestFit="1" customWidth="1"/>
    <col min="52" max="52" width="14.6640625" bestFit="1" customWidth="1"/>
    <col min="53" max="64" width="12.1640625" bestFit="1" customWidth="1"/>
    <col min="65" max="65" width="14.6640625" bestFit="1" customWidth="1"/>
    <col min="66" max="69" width="12.1640625" bestFit="1" customWidth="1"/>
    <col min="70" max="70" width="14.6640625" bestFit="1" customWidth="1"/>
    <col min="71" max="71" width="12.1640625" bestFit="1" customWidth="1"/>
    <col min="72" max="72" width="14.6640625" bestFit="1" customWidth="1"/>
    <col min="73" max="76" width="12.1640625" bestFit="1" customWidth="1"/>
    <col min="77" max="77" width="22.1640625" bestFit="1" customWidth="1"/>
    <col min="78" max="79" width="14.6640625" bestFit="1" customWidth="1"/>
    <col min="80" max="80" width="13.5" bestFit="1" customWidth="1"/>
    <col min="81" max="81" width="14.6640625" bestFit="1" customWidth="1"/>
    <col min="82" max="82" width="12.33203125" bestFit="1" customWidth="1"/>
    <col min="83" max="91" width="12.1640625" bestFit="1" customWidth="1"/>
  </cols>
  <sheetData>
    <row r="1" spans="1:91" x14ac:dyDescent="0.4">
      <c r="A1" s="190" t="s">
        <v>334</v>
      </c>
      <c r="B1" s="190" t="s">
        <v>177</v>
      </c>
      <c r="C1" s="190" t="s">
        <v>178</v>
      </c>
      <c r="D1" s="190" t="s">
        <v>179</v>
      </c>
      <c r="E1" s="190" t="s">
        <v>180</v>
      </c>
      <c r="F1" s="190" t="s">
        <v>181</v>
      </c>
      <c r="G1" s="190" t="s">
        <v>182</v>
      </c>
      <c r="H1" s="190" t="s">
        <v>183</v>
      </c>
      <c r="I1" s="190" t="s">
        <v>184</v>
      </c>
      <c r="J1" s="190" t="s">
        <v>185</v>
      </c>
      <c r="K1" s="190" t="s">
        <v>186</v>
      </c>
      <c r="L1" s="190" t="s">
        <v>187</v>
      </c>
      <c r="M1" s="190" t="s">
        <v>188</v>
      </c>
      <c r="N1" s="190" t="s">
        <v>189</v>
      </c>
      <c r="O1" s="190" t="s">
        <v>273</v>
      </c>
      <c r="P1" s="190" t="s">
        <v>190</v>
      </c>
      <c r="Q1" s="190" t="s">
        <v>191</v>
      </c>
      <c r="R1" s="190" t="s">
        <v>192</v>
      </c>
      <c r="S1" s="190" t="s">
        <v>193</v>
      </c>
      <c r="T1" s="190" t="s">
        <v>194</v>
      </c>
      <c r="U1" s="190" t="s">
        <v>195</v>
      </c>
      <c r="V1" s="190" t="s">
        <v>196</v>
      </c>
      <c r="W1" s="190" t="s">
        <v>197</v>
      </c>
      <c r="X1" s="190" t="s">
        <v>198</v>
      </c>
      <c r="Y1" s="190" t="s">
        <v>199</v>
      </c>
      <c r="Z1" s="190" t="s">
        <v>265</v>
      </c>
      <c r="AA1" s="190" t="s">
        <v>274</v>
      </c>
      <c r="AB1" s="190" t="s">
        <v>275</v>
      </c>
      <c r="AC1" s="190" t="s">
        <v>276</v>
      </c>
      <c r="AD1" s="190" t="s">
        <v>277</v>
      </c>
      <c r="AE1" s="190" t="s">
        <v>278</v>
      </c>
      <c r="AF1" s="190" t="s">
        <v>279</v>
      </c>
      <c r="AG1" s="190" t="s">
        <v>200</v>
      </c>
      <c r="AH1" s="190" t="s">
        <v>201</v>
      </c>
      <c r="AI1" s="190" t="s">
        <v>202</v>
      </c>
      <c r="AJ1" s="190" t="s">
        <v>203</v>
      </c>
      <c r="AK1" s="190" t="s">
        <v>204</v>
      </c>
      <c r="AL1" s="190" t="s">
        <v>205</v>
      </c>
      <c r="AM1" s="190" t="s">
        <v>206</v>
      </c>
      <c r="AN1" s="190" t="s">
        <v>207</v>
      </c>
      <c r="AO1" s="190" t="s">
        <v>208</v>
      </c>
      <c r="AP1" s="190" t="s">
        <v>209</v>
      </c>
      <c r="AQ1" s="190" t="s">
        <v>210</v>
      </c>
      <c r="AR1" s="190" t="s">
        <v>211</v>
      </c>
      <c r="AS1" s="190" t="s">
        <v>212</v>
      </c>
      <c r="AT1" s="190" t="s">
        <v>213</v>
      </c>
      <c r="AU1" s="190" t="s">
        <v>214</v>
      </c>
      <c r="AV1" s="190" t="s">
        <v>215</v>
      </c>
      <c r="AW1" s="190" t="s">
        <v>216</v>
      </c>
      <c r="AX1" s="190" t="s">
        <v>217</v>
      </c>
      <c r="AY1" s="190" t="s">
        <v>218</v>
      </c>
      <c r="AZ1" s="190" t="s">
        <v>219</v>
      </c>
      <c r="BA1" s="190" t="s">
        <v>220</v>
      </c>
      <c r="BB1" s="190" t="s">
        <v>221</v>
      </c>
      <c r="BC1" s="190" t="s">
        <v>222</v>
      </c>
      <c r="BD1" s="190" t="s">
        <v>223</v>
      </c>
      <c r="BE1" s="190" t="s">
        <v>224</v>
      </c>
      <c r="BF1" s="190" t="s">
        <v>225</v>
      </c>
      <c r="BG1" s="190" t="s">
        <v>226</v>
      </c>
      <c r="BH1" s="190" t="s">
        <v>227</v>
      </c>
      <c r="BI1" s="190" t="s">
        <v>228</v>
      </c>
      <c r="BJ1" s="190" t="s">
        <v>229</v>
      </c>
      <c r="BK1" s="190" t="s">
        <v>230</v>
      </c>
      <c r="BL1" s="190" t="s">
        <v>231</v>
      </c>
      <c r="BM1" s="190" t="s">
        <v>232</v>
      </c>
      <c r="BN1" s="190" t="s">
        <v>233</v>
      </c>
      <c r="BO1" s="190" t="s">
        <v>234</v>
      </c>
      <c r="BP1" s="190" t="s">
        <v>235</v>
      </c>
      <c r="BQ1" s="190" t="s">
        <v>236</v>
      </c>
      <c r="BR1" s="190" t="s">
        <v>237</v>
      </c>
      <c r="BS1" s="190" t="s">
        <v>238</v>
      </c>
      <c r="BT1" s="190" t="s">
        <v>239</v>
      </c>
      <c r="BU1" s="190" t="s">
        <v>240</v>
      </c>
      <c r="BV1" s="190" t="s">
        <v>241</v>
      </c>
      <c r="BW1" s="190" t="s">
        <v>242</v>
      </c>
      <c r="BX1" s="190" t="s">
        <v>243</v>
      </c>
      <c r="BY1" s="190" t="s">
        <v>244</v>
      </c>
      <c r="BZ1" s="190" t="s">
        <v>245</v>
      </c>
      <c r="CA1" s="190" t="s">
        <v>246</v>
      </c>
      <c r="CB1" s="190" t="s">
        <v>247</v>
      </c>
      <c r="CC1" s="190" t="s">
        <v>280</v>
      </c>
      <c r="CD1" s="190" t="s">
        <v>281</v>
      </c>
      <c r="CE1" s="190" t="s">
        <v>248</v>
      </c>
      <c r="CF1" s="190" t="s">
        <v>249</v>
      </c>
      <c r="CG1" s="190" t="s">
        <v>282</v>
      </c>
      <c r="CH1" s="190" t="s">
        <v>283</v>
      </c>
      <c r="CI1" s="190" t="s">
        <v>250</v>
      </c>
      <c r="CJ1" s="190" t="s">
        <v>251</v>
      </c>
      <c r="CK1" s="190" t="s">
        <v>252</v>
      </c>
      <c r="CL1" s="190" t="s">
        <v>253</v>
      </c>
      <c r="CM1" s="190" t="s">
        <v>254</v>
      </c>
    </row>
    <row r="2" spans="1:91" x14ac:dyDescent="0.4">
      <c r="A2" s="190" t="s">
        <v>177</v>
      </c>
      <c r="B2" s="190">
        <v>0</v>
      </c>
      <c r="C2" s="190">
        <v>0</v>
      </c>
      <c r="D2" s="190">
        <v>0.57410699477723204</v>
      </c>
      <c r="E2" s="190">
        <v>0.66610699477723201</v>
      </c>
      <c r="F2" s="190">
        <v>0.56809170980905599</v>
      </c>
      <c r="G2" s="190">
        <v>0.55809170980905598</v>
      </c>
      <c r="H2" s="190">
        <v>0.48408406732496823</v>
      </c>
      <c r="I2" s="190">
        <v>0.36612036918513496</v>
      </c>
      <c r="J2" s="190">
        <v>4.5093622295765676E-2</v>
      </c>
      <c r="K2" s="190">
        <v>0.26795827023032115</v>
      </c>
      <c r="L2" s="190">
        <v>0.52809170980905618</v>
      </c>
      <c r="M2" s="190">
        <v>0</v>
      </c>
      <c r="N2" s="190">
        <v>0</v>
      </c>
      <c r="O2" s="190">
        <v>0.83213756471358402</v>
      </c>
      <c r="P2" s="190">
        <v>0.50648101033133297</v>
      </c>
      <c r="Q2" s="190">
        <v>0.41807260359883602</v>
      </c>
      <c r="R2" s="190">
        <v>0</v>
      </c>
      <c r="S2" s="190">
        <v>0</v>
      </c>
      <c r="T2" s="190">
        <v>0</v>
      </c>
      <c r="U2" s="190">
        <v>0</v>
      </c>
      <c r="V2" s="190">
        <v>0.14636812830783877</v>
      </c>
      <c r="W2" s="190">
        <v>0.14552291638053982</v>
      </c>
      <c r="X2" s="190">
        <v>0.11784999706400141</v>
      </c>
      <c r="Y2" s="190">
        <v>0</v>
      </c>
      <c r="Z2" s="190">
        <v>0</v>
      </c>
      <c r="AA2" s="190">
        <v>0</v>
      </c>
      <c r="AB2" s="190">
        <v>0</v>
      </c>
      <c r="AC2" s="190">
        <v>0</v>
      </c>
      <c r="AD2" s="190">
        <v>0</v>
      </c>
      <c r="AE2" s="190">
        <v>0</v>
      </c>
      <c r="AF2" s="190">
        <v>0</v>
      </c>
      <c r="AG2" s="190">
        <v>0</v>
      </c>
      <c r="AH2" s="190">
        <v>0</v>
      </c>
      <c r="AI2" s="190">
        <v>0</v>
      </c>
      <c r="AJ2" s="190">
        <v>0</v>
      </c>
      <c r="AK2" s="190">
        <v>0</v>
      </c>
      <c r="AL2" s="190">
        <v>0</v>
      </c>
      <c r="AM2" s="190">
        <v>0</v>
      </c>
      <c r="AN2" s="190">
        <v>0</v>
      </c>
      <c r="AO2" s="190">
        <v>0</v>
      </c>
      <c r="AP2" s="190">
        <v>0</v>
      </c>
      <c r="AQ2" s="190">
        <v>0</v>
      </c>
      <c r="AR2" s="190">
        <v>0</v>
      </c>
      <c r="AS2" s="190">
        <v>0</v>
      </c>
      <c r="AT2" s="190">
        <v>1.982310565922519E-4</v>
      </c>
      <c r="AU2" s="190">
        <v>0</v>
      </c>
      <c r="AV2" s="190">
        <v>0</v>
      </c>
      <c r="AW2" s="190">
        <v>0</v>
      </c>
      <c r="AX2" s="190">
        <v>0</v>
      </c>
      <c r="AY2" s="190">
        <v>0</v>
      </c>
      <c r="AZ2" s="190">
        <v>0</v>
      </c>
      <c r="BA2" s="190">
        <v>0</v>
      </c>
      <c r="BB2" s="190">
        <v>0</v>
      </c>
      <c r="BC2" s="190">
        <v>0</v>
      </c>
      <c r="BD2" s="190">
        <v>0</v>
      </c>
      <c r="BE2" s="190">
        <v>9.130421400701462E-2</v>
      </c>
      <c r="BF2" s="190">
        <v>0</v>
      </c>
      <c r="BG2" s="190">
        <v>0</v>
      </c>
      <c r="BH2" s="190">
        <v>0</v>
      </c>
      <c r="BI2" s="190">
        <v>0</v>
      </c>
      <c r="BJ2" s="190">
        <v>0</v>
      </c>
      <c r="BK2" s="190">
        <v>8.8015284968176039E-2</v>
      </c>
      <c r="BL2" s="190">
        <v>0</v>
      </c>
      <c r="BM2" s="190">
        <v>1.7603056993635208E-2</v>
      </c>
      <c r="BN2" s="190">
        <v>8.8015284968176039E-3</v>
      </c>
      <c r="BO2" s="190">
        <v>0</v>
      </c>
      <c r="BP2" s="190">
        <v>0</v>
      </c>
      <c r="BQ2" s="190">
        <v>0</v>
      </c>
      <c r="BR2" s="190">
        <v>0</v>
      </c>
      <c r="BS2" s="190">
        <v>0</v>
      </c>
      <c r="BT2" s="190">
        <v>0</v>
      </c>
      <c r="BU2" s="190">
        <v>0</v>
      </c>
      <c r="BV2" s="190">
        <v>0</v>
      </c>
      <c r="BW2" s="190">
        <v>0</v>
      </c>
      <c r="BX2" s="190">
        <v>0</v>
      </c>
      <c r="BY2" s="190">
        <v>0</v>
      </c>
      <c r="BZ2" s="190">
        <v>0</v>
      </c>
      <c r="CA2" s="190">
        <v>0</v>
      </c>
      <c r="CB2" s="190">
        <v>0</v>
      </c>
      <c r="CC2" s="190">
        <v>0</v>
      </c>
      <c r="CD2" s="190">
        <v>0</v>
      </c>
      <c r="CE2" s="190">
        <v>0</v>
      </c>
      <c r="CF2" s="190">
        <v>0</v>
      </c>
      <c r="CG2" s="190">
        <v>0</v>
      </c>
      <c r="CH2" s="190">
        <v>0</v>
      </c>
      <c r="CI2" s="190">
        <v>0</v>
      </c>
      <c r="CJ2" s="190">
        <v>0</v>
      </c>
      <c r="CK2" s="190">
        <v>0</v>
      </c>
      <c r="CL2" s="190">
        <v>0</v>
      </c>
      <c r="CM2" s="190">
        <v>0</v>
      </c>
    </row>
    <row r="3" spans="1:91" x14ac:dyDescent="0.4">
      <c r="A3" s="190" t="s">
        <v>178</v>
      </c>
      <c r="B3" s="190">
        <v>0</v>
      </c>
      <c r="C3" s="190">
        <v>0</v>
      </c>
      <c r="D3" s="190">
        <v>7.5893005222767707E-2</v>
      </c>
      <c r="E3" s="190">
        <v>8.38930052227677E-2</v>
      </c>
      <c r="F3" s="190">
        <v>8.1908290190943797E-2</v>
      </c>
      <c r="G3" s="190">
        <v>9.1908290190943806E-2</v>
      </c>
      <c r="H3" s="190">
        <v>6.5915932675031791E-2</v>
      </c>
      <c r="I3" s="190">
        <v>4.9853253257278594E-2</v>
      </c>
      <c r="J3" s="190">
        <v>6.14023136052859E-3</v>
      </c>
      <c r="K3" s="190">
        <v>3.648688418485533E-2</v>
      </c>
      <c r="L3" s="190">
        <v>7.1908290190943761E-2</v>
      </c>
      <c r="M3" s="190">
        <v>0</v>
      </c>
      <c r="N3" s="190">
        <v>0</v>
      </c>
      <c r="O3" s="190">
        <v>8.7862435286416005E-2</v>
      </c>
      <c r="P3" s="190">
        <v>7.3518989668667004E-2</v>
      </c>
      <c r="Q3" s="190">
        <v>5.6927396401163802E-2</v>
      </c>
      <c r="R3" s="190">
        <v>0</v>
      </c>
      <c r="S3" s="190">
        <v>0</v>
      </c>
      <c r="T3" s="190">
        <v>0</v>
      </c>
      <c r="U3" s="190">
        <v>0</v>
      </c>
      <c r="V3" s="190">
        <v>1.9930405362490824E-2</v>
      </c>
      <c r="W3" s="190">
        <v>1.981531598802775E-2</v>
      </c>
      <c r="X3" s="190">
        <v>1.6047197163811183E-2</v>
      </c>
      <c r="Y3" s="190">
        <v>0</v>
      </c>
      <c r="Z3" s="190">
        <v>0</v>
      </c>
      <c r="AA3" s="190">
        <v>0</v>
      </c>
      <c r="AB3" s="190">
        <v>0</v>
      </c>
      <c r="AC3" s="190">
        <v>0</v>
      </c>
      <c r="AD3" s="190">
        <v>0</v>
      </c>
      <c r="AE3" s="190">
        <v>0</v>
      </c>
      <c r="AF3" s="190">
        <v>0</v>
      </c>
      <c r="AG3" s="190">
        <v>0</v>
      </c>
      <c r="AH3" s="190">
        <v>0</v>
      </c>
      <c r="AI3" s="190">
        <v>0</v>
      </c>
      <c r="AJ3" s="190">
        <v>0</v>
      </c>
      <c r="AK3" s="190">
        <v>0</v>
      </c>
      <c r="AL3" s="190">
        <v>0</v>
      </c>
      <c r="AM3" s="190">
        <v>0</v>
      </c>
      <c r="AN3" s="190">
        <v>0</v>
      </c>
      <c r="AO3" s="190">
        <v>0</v>
      </c>
      <c r="AP3" s="190">
        <v>0</v>
      </c>
      <c r="AQ3" s="190">
        <v>0</v>
      </c>
      <c r="AR3" s="190">
        <v>0</v>
      </c>
      <c r="AS3" s="190">
        <v>0</v>
      </c>
      <c r="AT3" s="190">
        <v>2.6992388021859074E-5</v>
      </c>
      <c r="AU3" s="190">
        <v>0</v>
      </c>
      <c r="AV3" s="190">
        <v>0</v>
      </c>
      <c r="AW3" s="190">
        <v>0</v>
      </c>
      <c r="AX3" s="190">
        <v>0</v>
      </c>
      <c r="AY3" s="190">
        <v>0</v>
      </c>
      <c r="AZ3" s="190">
        <v>0</v>
      </c>
      <c r="BA3" s="190">
        <v>0</v>
      </c>
      <c r="BB3" s="190">
        <v>0</v>
      </c>
      <c r="BC3" s="190">
        <v>0</v>
      </c>
      <c r="BD3" s="190">
        <v>0</v>
      </c>
      <c r="BE3" s="190">
        <v>1.2432556305128063E-2</v>
      </c>
      <c r="BF3" s="190">
        <v>0</v>
      </c>
      <c r="BG3" s="190">
        <v>0</v>
      </c>
      <c r="BH3" s="190">
        <v>0</v>
      </c>
      <c r="BI3" s="190">
        <v>0</v>
      </c>
      <c r="BJ3" s="190">
        <v>0</v>
      </c>
      <c r="BK3" s="190">
        <v>1.1984715031823962E-2</v>
      </c>
      <c r="BL3" s="190">
        <v>0</v>
      </c>
      <c r="BM3" s="190">
        <v>2.3969430063647923E-3</v>
      </c>
      <c r="BN3" s="190">
        <v>1.1984715031823961E-3</v>
      </c>
      <c r="BO3" s="190">
        <v>0</v>
      </c>
      <c r="BP3" s="190">
        <v>0</v>
      </c>
      <c r="BQ3" s="190">
        <v>0</v>
      </c>
      <c r="BR3" s="190">
        <v>0</v>
      </c>
      <c r="BS3" s="190">
        <v>0</v>
      </c>
      <c r="BT3" s="190">
        <v>0</v>
      </c>
      <c r="BU3" s="190">
        <v>0</v>
      </c>
      <c r="BV3" s="190">
        <v>0</v>
      </c>
      <c r="BW3" s="190">
        <v>0</v>
      </c>
      <c r="BX3" s="190">
        <v>0</v>
      </c>
      <c r="BY3" s="190">
        <v>0</v>
      </c>
      <c r="BZ3" s="190">
        <v>0</v>
      </c>
      <c r="CA3" s="190">
        <v>0</v>
      </c>
      <c r="CB3" s="190">
        <v>0</v>
      </c>
      <c r="CC3" s="190">
        <v>0</v>
      </c>
      <c r="CD3" s="190">
        <v>0</v>
      </c>
      <c r="CE3" s="190">
        <v>0</v>
      </c>
      <c r="CF3" s="190">
        <v>0</v>
      </c>
      <c r="CG3" s="190">
        <v>0</v>
      </c>
      <c r="CH3" s="190">
        <v>0</v>
      </c>
      <c r="CI3" s="190">
        <v>0</v>
      </c>
      <c r="CJ3" s="190">
        <v>0</v>
      </c>
      <c r="CK3" s="190">
        <v>0</v>
      </c>
      <c r="CL3" s="190">
        <v>0</v>
      </c>
      <c r="CM3" s="190">
        <v>0</v>
      </c>
    </row>
    <row r="4" spans="1:91" x14ac:dyDescent="0.4">
      <c r="A4" s="190" t="s">
        <v>179</v>
      </c>
      <c r="B4" s="190">
        <v>0</v>
      </c>
      <c r="C4" s="190">
        <v>0</v>
      </c>
      <c r="D4" s="190">
        <v>0</v>
      </c>
      <c r="E4" s="190">
        <v>0.25</v>
      </c>
      <c r="F4" s="190">
        <v>0.35</v>
      </c>
      <c r="G4" s="190">
        <v>0.35</v>
      </c>
      <c r="H4" s="190">
        <v>0.15</v>
      </c>
      <c r="I4" s="190">
        <v>0.26002963244733501</v>
      </c>
      <c r="J4" s="190">
        <v>3.0893103600403999E-2</v>
      </c>
      <c r="K4" s="190">
        <v>0.15217944280080301</v>
      </c>
      <c r="L4" s="190">
        <v>0.2</v>
      </c>
      <c r="M4" s="190">
        <v>0</v>
      </c>
      <c r="N4" s="190">
        <v>0</v>
      </c>
      <c r="O4" s="190">
        <v>0.08</v>
      </c>
      <c r="P4" s="190">
        <v>0.15</v>
      </c>
      <c r="Q4" s="190">
        <v>0.15</v>
      </c>
      <c r="R4" s="190">
        <v>0</v>
      </c>
      <c r="S4" s="190">
        <v>0</v>
      </c>
      <c r="T4" s="190">
        <v>0</v>
      </c>
      <c r="U4" s="190">
        <v>0</v>
      </c>
      <c r="V4" s="190">
        <v>0</v>
      </c>
      <c r="W4" s="190">
        <v>0</v>
      </c>
      <c r="X4" s="190">
        <v>0</v>
      </c>
      <c r="Y4" s="190">
        <v>0</v>
      </c>
      <c r="Z4" s="190">
        <v>0</v>
      </c>
      <c r="AA4" s="190">
        <v>0</v>
      </c>
      <c r="AB4" s="190">
        <v>0</v>
      </c>
      <c r="AC4" s="190">
        <v>0</v>
      </c>
      <c r="AD4" s="190">
        <v>0</v>
      </c>
      <c r="AE4" s="190">
        <v>0</v>
      </c>
      <c r="AF4" s="190">
        <v>0</v>
      </c>
      <c r="AG4" s="190">
        <v>0</v>
      </c>
      <c r="AH4" s="190">
        <v>0</v>
      </c>
      <c r="AI4" s="190">
        <v>0</v>
      </c>
      <c r="AJ4" s="190">
        <v>0</v>
      </c>
      <c r="AK4" s="190">
        <v>0</v>
      </c>
      <c r="AL4" s="190">
        <v>0</v>
      </c>
      <c r="AM4" s="190">
        <v>0</v>
      </c>
      <c r="AN4" s="190">
        <v>0</v>
      </c>
      <c r="AO4" s="190">
        <v>0</v>
      </c>
      <c r="AP4" s="190">
        <v>0</v>
      </c>
      <c r="AQ4" s="190">
        <v>0</v>
      </c>
      <c r="AR4" s="190">
        <v>0</v>
      </c>
      <c r="AS4" s="190">
        <v>0</v>
      </c>
      <c r="AT4" s="190">
        <v>0</v>
      </c>
      <c r="AU4" s="244">
        <v>5.2009970657696997E-5</v>
      </c>
      <c r="AV4" s="190">
        <v>0</v>
      </c>
      <c r="AW4" s="190">
        <v>0</v>
      </c>
      <c r="AX4" s="190">
        <v>0</v>
      </c>
      <c r="AY4" s="190">
        <v>0</v>
      </c>
      <c r="AZ4" s="190">
        <v>0</v>
      </c>
      <c r="BA4" s="190">
        <v>0</v>
      </c>
      <c r="BB4" s="190">
        <v>0</v>
      </c>
      <c r="BC4" s="190">
        <v>0</v>
      </c>
      <c r="BD4" s="190">
        <v>0</v>
      </c>
      <c r="BE4" s="190">
        <v>0</v>
      </c>
      <c r="BF4" s="190">
        <v>0</v>
      </c>
      <c r="BG4" s="190">
        <v>0</v>
      </c>
      <c r="BH4" s="190">
        <v>0</v>
      </c>
      <c r="BI4" s="190">
        <v>0</v>
      </c>
      <c r="BJ4" s="190">
        <v>0</v>
      </c>
      <c r="BK4" s="190">
        <v>0</v>
      </c>
      <c r="BL4" s="190">
        <v>0</v>
      </c>
      <c r="BM4" s="190">
        <v>0.03</v>
      </c>
      <c r="BN4" s="190">
        <v>0.01</v>
      </c>
      <c r="BO4" s="190">
        <v>0</v>
      </c>
      <c r="BP4" s="190">
        <v>0</v>
      </c>
      <c r="BQ4" s="190">
        <v>0</v>
      </c>
      <c r="BR4" s="190">
        <v>0</v>
      </c>
      <c r="BS4" s="190">
        <v>0</v>
      </c>
      <c r="BT4" s="190">
        <v>0</v>
      </c>
      <c r="BU4" s="190">
        <v>0</v>
      </c>
      <c r="BV4" s="190">
        <v>0</v>
      </c>
      <c r="BW4" s="190">
        <v>0</v>
      </c>
      <c r="BX4" s="190">
        <v>0</v>
      </c>
      <c r="BY4" s="190">
        <v>0</v>
      </c>
      <c r="BZ4" s="190">
        <v>0</v>
      </c>
      <c r="CA4" s="190">
        <v>0</v>
      </c>
      <c r="CB4" s="190">
        <v>0</v>
      </c>
      <c r="CC4" s="190">
        <v>0</v>
      </c>
      <c r="CD4" s="190">
        <v>0</v>
      </c>
      <c r="CE4" s="190">
        <v>0</v>
      </c>
      <c r="CF4" s="190">
        <v>0</v>
      </c>
      <c r="CG4" s="190">
        <v>0</v>
      </c>
      <c r="CH4" s="190">
        <v>0</v>
      </c>
      <c r="CI4" s="190">
        <v>0</v>
      </c>
      <c r="CJ4" s="190">
        <v>0</v>
      </c>
      <c r="CK4" s="190">
        <v>0</v>
      </c>
      <c r="CL4" s="190">
        <v>0</v>
      </c>
      <c r="CM4" s="190">
        <v>0</v>
      </c>
    </row>
    <row r="5" spans="1:91" x14ac:dyDescent="0.4">
      <c r="A5" s="190" t="s">
        <v>180</v>
      </c>
      <c r="B5" s="190">
        <v>0</v>
      </c>
      <c r="C5" s="190">
        <v>0</v>
      </c>
      <c r="D5" s="190">
        <v>0</v>
      </c>
      <c r="E5" s="190">
        <v>0</v>
      </c>
      <c r="F5" s="190">
        <v>0</v>
      </c>
      <c r="G5" s="190">
        <v>0</v>
      </c>
      <c r="H5" s="190">
        <v>2.1859202211162387E-2</v>
      </c>
      <c r="I5" s="190">
        <v>2.2330617712050853E-2</v>
      </c>
      <c r="J5" s="190">
        <v>9.1042040859072901E-2</v>
      </c>
      <c r="K5" s="190">
        <v>3.1717069664851993E-2</v>
      </c>
      <c r="L5" s="190">
        <v>1.1710286898836991E-2</v>
      </c>
      <c r="M5" s="190">
        <v>4.7296471291969774E-2</v>
      </c>
      <c r="N5" s="190">
        <v>3.9831823998982024E-2</v>
      </c>
      <c r="O5" s="190">
        <v>0</v>
      </c>
      <c r="P5" s="190">
        <v>2.5922598312878901E-2</v>
      </c>
      <c r="Q5" s="190">
        <v>2.3510279211718499E-2</v>
      </c>
      <c r="R5" s="190">
        <v>8.6247404658569976E-3</v>
      </c>
      <c r="S5" s="190">
        <v>4.150960463315043E-3</v>
      </c>
      <c r="T5" s="190">
        <v>1.868756912086901E-2</v>
      </c>
      <c r="U5" s="190">
        <v>3.3803694847976115E-2</v>
      </c>
      <c r="V5" s="190">
        <v>1.1841251403428543E-2</v>
      </c>
      <c r="W5" s="190">
        <v>1.1285304848170856E-2</v>
      </c>
      <c r="X5" s="190">
        <v>2.4978138218701214E-2</v>
      </c>
      <c r="Y5" s="190">
        <v>2.0106535062296486E-2</v>
      </c>
      <c r="Z5" s="190">
        <v>0</v>
      </c>
      <c r="AA5" s="190">
        <v>5.2393916694346999E-3</v>
      </c>
      <c r="AB5" s="190">
        <v>2.8128797232145099E-3</v>
      </c>
      <c r="AC5" s="190">
        <v>1.7190116883076201E-2</v>
      </c>
      <c r="AD5" s="190">
        <v>2.71292520425816E-3</v>
      </c>
      <c r="AE5" s="190">
        <v>0</v>
      </c>
      <c r="AF5" s="190">
        <v>9.9964316137925494E-4</v>
      </c>
      <c r="AG5" s="190">
        <v>0.10443625198155899</v>
      </c>
      <c r="AH5" s="190">
        <v>2.6317230637348402E-3</v>
      </c>
      <c r="AI5" s="190">
        <v>1.2582204795307101E-3</v>
      </c>
      <c r="AJ5" s="190">
        <v>0</v>
      </c>
      <c r="AK5" s="190">
        <v>0</v>
      </c>
      <c r="AL5" s="190">
        <v>1.8097623257838584E-2</v>
      </c>
      <c r="AM5" s="244">
        <v>1.0783811333734036E-11</v>
      </c>
      <c r="AN5" s="244">
        <v>7.8646638151029201E-3</v>
      </c>
      <c r="AO5" s="190">
        <v>9.2920321624331507E-3</v>
      </c>
      <c r="AP5" s="244">
        <v>7.781033067224523E-5</v>
      </c>
      <c r="AQ5" s="190">
        <v>9.9825707501208586E-10</v>
      </c>
      <c r="AR5" s="190">
        <v>6.0000000000000001E-3</v>
      </c>
      <c r="AS5" s="190">
        <v>0</v>
      </c>
      <c r="AT5" s="244">
        <v>6.1479696717532369E-4</v>
      </c>
      <c r="AU5" s="190">
        <v>3.177558722875034E-5</v>
      </c>
      <c r="AV5" s="190">
        <v>0</v>
      </c>
      <c r="AW5" s="190">
        <v>0</v>
      </c>
      <c r="AX5" s="190">
        <v>0</v>
      </c>
      <c r="AY5" s="190">
        <v>1.4755998807624729E-3</v>
      </c>
      <c r="AZ5" s="190">
        <v>1.5565439775749364E-3</v>
      </c>
      <c r="BA5" s="190">
        <v>1.4262608316534663E-3</v>
      </c>
      <c r="BB5" s="190">
        <v>5.4512401723849427E-3</v>
      </c>
      <c r="BC5" s="190">
        <v>0</v>
      </c>
      <c r="BD5" s="190">
        <v>5.0631654424891766E-2</v>
      </c>
      <c r="BE5" s="190">
        <v>5.3163349079063948E-2</v>
      </c>
      <c r="BF5" s="190">
        <v>1.1204269866290958E-2</v>
      </c>
      <c r="BG5" s="190">
        <v>0</v>
      </c>
      <c r="BH5" s="190">
        <v>9.9465085362016193E-3</v>
      </c>
      <c r="BI5" s="190">
        <v>0</v>
      </c>
      <c r="BJ5" s="190">
        <v>1.2338515826163956E-2</v>
      </c>
      <c r="BK5" s="190">
        <v>0</v>
      </c>
      <c r="BL5" s="190">
        <v>0</v>
      </c>
      <c r="BM5" s="190">
        <v>0</v>
      </c>
      <c r="BN5" s="190">
        <v>3.903428966278997E-4</v>
      </c>
      <c r="BO5" s="190">
        <v>0</v>
      </c>
      <c r="BP5" s="190">
        <v>0</v>
      </c>
      <c r="BQ5" s="190">
        <v>0</v>
      </c>
      <c r="BR5" s="190">
        <v>0</v>
      </c>
      <c r="BS5" s="190">
        <v>7.7550920956772582E-5</v>
      </c>
      <c r="BT5" s="190">
        <v>0</v>
      </c>
      <c r="BU5" s="190">
        <v>0.15188735733088499</v>
      </c>
      <c r="BV5" s="190">
        <v>0</v>
      </c>
      <c r="BW5" s="190">
        <v>1.1617231803307182E-3</v>
      </c>
      <c r="BX5" s="190">
        <v>0</v>
      </c>
      <c r="BY5" s="190">
        <v>1.8417540410040525E-2</v>
      </c>
      <c r="BZ5" s="190">
        <v>0</v>
      </c>
      <c r="CA5" s="190">
        <v>2.9360805829585462E-3</v>
      </c>
      <c r="CB5" s="190">
        <v>0</v>
      </c>
      <c r="CC5" s="190">
        <v>0</v>
      </c>
      <c r="CD5" s="190">
        <v>0</v>
      </c>
      <c r="CE5" s="190">
        <v>0</v>
      </c>
      <c r="CF5" s="190">
        <v>0</v>
      </c>
      <c r="CG5" s="190">
        <v>0</v>
      </c>
      <c r="CH5" s="190">
        <v>0</v>
      </c>
      <c r="CI5" s="190">
        <v>0</v>
      </c>
      <c r="CJ5" s="190">
        <v>0</v>
      </c>
      <c r="CK5" s="190">
        <v>0</v>
      </c>
      <c r="CL5" s="190">
        <v>0</v>
      </c>
      <c r="CM5" s="190">
        <v>0</v>
      </c>
    </row>
    <row r="6" spans="1:91" x14ac:dyDescent="0.4">
      <c r="A6" s="190" t="s">
        <v>181</v>
      </c>
      <c r="B6" s="190">
        <v>0</v>
      </c>
      <c r="C6" s="190">
        <v>0</v>
      </c>
      <c r="D6" s="190">
        <v>0</v>
      </c>
      <c r="E6" s="190">
        <v>0</v>
      </c>
      <c r="F6" s="190">
        <v>0</v>
      </c>
      <c r="G6" s="190">
        <v>0</v>
      </c>
      <c r="H6" s="190">
        <v>0.21762484580923624</v>
      </c>
      <c r="I6" s="190">
        <v>0.22231814269637276</v>
      </c>
      <c r="J6" s="190">
        <v>0.458604473638618</v>
      </c>
      <c r="K6" s="190">
        <v>0.31576735182995391</v>
      </c>
      <c r="L6" s="190">
        <v>0.11658473882637654</v>
      </c>
      <c r="M6" s="190">
        <v>0.47087204614356126</v>
      </c>
      <c r="N6" s="190">
        <v>0.39655585196300475</v>
      </c>
      <c r="O6" s="190">
        <v>0</v>
      </c>
      <c r="P6" s="190">
        <v>5.2944154686929E-2</v>
      </c>
      <c r="Q6" s="190">
        <v>4.8927698488695402E-2</v>
      </c>
      <c r="R6" s="190">
        <v>8.5865796742954442E-2</v>
      </c>
      <c r="S6" s="190">
        <v>4.1325942368009932E-2</v>
      </c>
      <c r="T6" s="190">
        <v>0.18604884611945327</v>
      </c>
      <c r="U6" s="190">
        <v>0.39654127941214001</v>
      </c>
      <c r="V6" s="190">
        <v>0.11788858925252181</v>
      </c>
      <c r="W6" s="190">
        <v>0.1123537219596822</v>
      </c>
      <c r="X6" s="190">
        <v>0.24867620629223253</v>
      </c>
      <c r="Y6" s="190">
        <v>0.20017572235348263</v>
      </c>
      <c r="Z6" s="190">
        <v>9.9962486178149595E-4</v>
      </c>
      <c r="AA6" s="190">
        <v>1.78321667308133E-3</v>
      </c>
      <c r="AB6" s="190">
        <v>9.5735809389293103E-4</v>
      </c>
      <c r="AC6" s="190">
        <v>5.8506225478321102E-3</v>
      </c>
      <c r="AD6" s="190">
        <v>9.2333876951361505E-4</v>
      </c>
      <c r="AE6" s="190">
        <v>9.9999907214086111E-4</v>
      </c>
      <c r="AF6" s="190">
        <v>2.9989294841377698E-3</v>
      </c>
      <c r="AG6" s="190">
        <v>3.4846347856051597E-2</v>
      </c>
      <c r="AH6" s="190">
        <v>4.2295025047808403E-2</v>
      </c>
      <c r="AI6" s="190">
        <v>2.0221144584248101E-2</v>
      </c>
      <c r="AJ6" s="190">
        <v>0</v>
      </c>
      <c r="AK6" s="190">
        <v>0</v>
      </c>
      <c r="AL6" s="190">
        <v>0.18017549007299</v>
      </c>
      <c r="AM6" s="244">
        <v>1.0736097576065055E-10</v>
      </c>
      <c r="AN6" s="190">
        <v>2.56083804715668E-2</v>
      </c>
      <c r="AO6" s="190">
        <v>4.7730417539246797E-2</v>
      </c>
      <c r="AP6" s="190">
        <v>7.7466053204201541E-4</v>
      </c>
      <c r="AQ6" s="190">
        <v>4.121009976331949E-9</v>
      </c>
      <c r="AR6" s="190">
        <v>6.0000000000000001E-3</v>
      </c>
      <c r="AS6" s="190">
        <v>0</v>
      </c>
      <c r="AT6" s="244">
        <v>6.1207675327324398E-3</v>
      </c>
      <c r="AU6" s="190">
        <v>3.1634993831675654E-4</v>
      </c>
      <c r="AV6" s="190">
        <v>0</v>
      </c>
      <c r="AW6" s="190">
        <v>0</v>
      </c>
      <c r="AX6" s="190">
        <v>0</v>
      </c>
      <c r="AY6" s="190">
        <v>1.4690709817537492E-2</v>
      </c>
      <c r="AZ6" s="190">
        <v>1.5496569355219293E-2</v>
      </c>
      <c r="BA6" s="190">
        <v>1.4199502368564867E-2</v>
      </c>
      <c r="BB6" s="190">
        <v>5.4271207637147503E-2</v>
      </c>
      <c r="BC6" s="190">
        <v>0</v>
      </c>
      <c r="BD6" s="190">
        <v>0.50407630986902674</v>
      </c>
      <c r="BE6" s="190">
        <v>0.52928123973920027</v>
      </c>
      <c r="BF6" s="190">
        <v>0.11154695759260197</v>
      </c>
      <c r="BG6" s="190">
        <v>0</v>
      </c>
      <c r="BH6" s="190">
        <v>0.109024994856663</v>
      </c>
      <c r="BI6" s="190">
        <v>0</v>
      </c>
      <c r="BJ6" s="190">
        <v>0.122839231653778</v>
      </c>
      <c r="BK6" s="190">
        <v>0</v>
      </c>
      <c r="BL6" s="190">
        <v>0</v>
      </c>
      <c r="BM6" s="190">
        <v>0</v>
      </c>
      <c r="BN6" s="190">
        <v>3.8861579608792181E-3</v>
      </c>
      <c r="BO6" s="190">
        <v>0</v>
      </c>
      <c r="BP6" s="190">
        <v>0</v>
      </c>
      <c r="BQ6" s="190">
        <v>0</v>
      </c>
      <c r="BR6" s="190">
        <v>0</v>
      </c>
      <c r="BS6" s="190">
        <v>7.7207791265884664E-4</v>
      </c>
      <c r="BT6" s="190">
        <v>0</v>
      </c>
      <c r="BU6" s="190">
        <v>0.09</v>
      </c>
      <c r="BV6" s="190">
        <v>0</v>
      </c>
      <c r="BW6" s="190">
        <v>1.1565830516146918E-2</v>
      </c>
      <c r="BX6" s="190">
        <v>0</v>
      </c>
      <c r="BY6" s="190">
        <v>0.18336050662789999</v>
      </c>
      <c r="BZ6" s="190">
        <v>0</v>
      </c>
      <c r="CA6" s="190">
        <v>2.9230896808464472E-2</v>
      </c>
      <c r="CB6" s="190">
        <v>0</v>
      </c>
      <c r="CC6" s="190">
        <v>0</v>
      </c>
      <c r="CD6" s="190">
        <v>0</v>
      </c>
      <c r="CE6" s="190">
        <v>0</v>
      </c>
      <c r="CF6" s="190">
        <v>0</v>
      </c>
      <c r="CG6" s="190">
        <v>0</v>
      </c>
      <c r="CH6" s="190">
        <v>0</v>
      </c>
      <c r="CI6" s="190">
        <v>0</v>
      </c>
      <c r="CJ6" s="190">
        <v>0</v>
      </c>
      <c r="CK6" s="190">
        <v>0</v>
      </c>
      <c r="CL6" s="190">
        <v>0</v>
      </c>
      <c r="CM6" s="190">
        <v>0</v>
      </c>
    </row>
    <row r="7" spans="1:91" x14ac:dyDescent="0.4">
      <c r="A7" s="190" t="s">
        <v>182</v>
      </c>
      <c r="B7" s="190">
        <v>0</v>
      </c>
      <c r="C7" s="190">
        <v>0</v>
      </c>
      <c r="D7" s="190">
        <v>0</v>
      </c>
      <c r="E7" s="190">
        <v>0</v>
      </c>
      <c r="F7" s="190">
        <v>0</v>
      </c>
      <c r="G7" s="190">
        <v>0</v>
      </c>
      <c r="H7" s="190">
        <v>3.9609847210612913E-2</v>
      </c>
      <c r="I7" s="190">
        <v>4.0464073077711181E-2</v>
      </c>
      <c r="J7" s="190">
        <v>7.4370004537926998E-2</v>
      </c>
      <c r="K7" s="190">
        <v>5.7472741743137372E-2</v>
      </c>
      <c r="L7" s="190">
        <v>2.1219561005685488E-2</v>
      </c>
      <c r="M7" s="190">
        <v>8.5703310824372603E-2</v>
      </c>
      <c r="N7" s="190">
        <v>7.2177037728944862E-2</v>
      </c>
      <c r="O7" s="190">
        <v>0</v>
      </c>
      <c r="P7" s="190">
        <v>3.0727951494873101E-2</v>
      </c>
      <c r="Q7" s="190">
        <v>3.6356721927701799E-2</v>
      </c>
      <c r="R7" s="190">
        <v>1.562841355250082E-2</v>
      </c>
      <c r="S7" s="190">
        <v>7.5217250904629739E-3</v>
      </c>
      <c r="T7" s="190">
        <v>3.3862706903246491E-2</v>
      </c>
      <c r="U7" s="190">
        <v>6.1253799436412106E-2</v>
      </c>
      <c r="V7" s="190">
        <v>2.1456874516342154E-2</v>
      </c>
      <c r="W7" s="190">
        <v>2.0449474616826221E-2</v>
      </c>
      <c r="X7" s="190">
        <v>4.5261498058840402E-2</v>
      </c>
      <c r="Y7" s="190">
        <v>3.6433936337608219E-2</v>
      </c>
      <c r="Z7" s="190">
        <v>0</v>
      </c>
      <c r="AA7" s="190">
        <v>3.03284003947599E-2</v>
      </c>
      <c r="AB7" s="190">
        <v>4.12084395183E-2</v>
      </c>
      <c r="AC7" s="190">
        <v>0.16586274473307</v>
      </c>
      <c r="AD7" s="190">
        <v>3.5259739838234903E-2</v>
      </c>
      <c r="AE7" s="190">
        <v>4.0063222826938099E-3</v>
      </c>
      <c r="AF7" s="190">
        <v>1.69939337434473E-2</v>
      </c>
      <c r="AG7" s="190">
        <v>7.1969694849659399E-2</v>
      </c>
      <c r="AH7" s="190">
        <v>1.8341181727951201E-2</v>
      </c>
      <c r="AI7" s="190">
        <v>8.7688726887442201E-3</v>
      </c>
      <c r="AJ7" s="190">
        <v>0</v>
      </c>
      <c r="AK7" s="190">
        <v>0</v>
      </c>
      <c r="AL7" s="190">
        <v>3.2793698744969069E-2</v>
      </c>
      <c r="AM7" s="190">
        <v>1.9540746050611109E-11</v>
      </c>
      <c r="AN7" s="190">
        <v>1.76680931325495E-3</v>
      </c>
      <c r="AO7" s="190">
        <v>7.7773532874040405E-3</v>
      </c>
      <c r="AP7" s="190">
        <v>1.4099578198517471E-4</v>
      </c>
      <c r="AQ7" s="190">
        <v>0</v>
      </c>
      <c r="AR7" s="190">
        <v>0.06</v>
      </c>
      <c r="AS7" s="190">
        <v>0</v>
      </c>
      <c r="AT7" s="190">
        <v>1.1140394649411054E-3</v>
      </c>
      <c r="AU7" s="190">
        <v>5.7578778173138784E-5</v>
      </c>
      <c r="AV7" s="190">
        <v>0</v>
      </c>
      <c r="AW7" s="190">
        <v>0</v>
      </c>
      <c r="AX7" s="190">
        <v>0</v>
      </c>
      <c r="AY7" s="190">
        <v>2.6738526528270828E-3</v>
      </c>
      <c r="AZ7" s="190">
        <v>2.8205269585208884E-3</v>
      </c>
      <c r="BA7" s="190">
        <v>2.584448100097034E-3</v>
      </c>
      <c r="BB7" s="190">
        <v>9.8778897898781481E-3</v>
      </c>
      <c r="BC7" s="190">
        <v>0</v>
      </c>
      <c r="BD7" s="190">
        <v>9.1746811087478883E-2</v>
      </c>
      <c r="BE7" s="190">
        <v>9.6334354469298999E-2</v>
      </c>
      <c r="BF7" s="190">
        <v>2.0302635623345548E-2</v>
      </c>
      <c r="BG7" s="190">
        <v>0</v>
      </c>
      <c r="BH7" s="190">
        <v>2.8023516118846199E-2</v>
      </c>
      <c r="BI7" s="190">
        <v>0</v>
      </c>
      <c r="BJ7" s="190">
        <v>2.2357939780186291E-2</v>
      </c>
      <c r="BK7" s="190">
        <v>0</v>
      </c>
      <c r="BL7" s="190">
        <v>0</v>
      </c>
      <c r="BM7" s="190">
        <v>0</v>
      </c>
      <c r="BN7" s="190">
        <v>7.0731870018951614E-4</v>
      </c>
      <c r="BO7" s="190">
        <v>0</v>
      </c>
      <c r="BP7" s="190">
        <v>0</v>
      </c>
      <c r="BQ7" s="190">
        <v>0</v>
      </c>
      <c r="BR7" s="190">
        <v>0</v>
      </c>
      <c r="BS7" s="190">
        <v>1.405257200361813E-4</v>
      </c>
      <c r="BT7" s="190">
        <v>0</v>
      </c>
      <c r="BU7" s="190">
        <v>0</v>
      </c>
      <c r="BV7" s="190">
        <v>0</v>
      </c>
      <c r="BW7" s="190">
        <v>2.1050941031337906E-3</v>
      </c>
      <c r="BX7" s="190">
        <v>0</v>
      </c>
      <c r="BY7" s="190">
        <v>3.3373402862089244E-2</v>
      </c>
      <c r="BZ7" s="190">
        <v>0</v>
      </c>
      <c r="CA7" s="190">
        <v>5.3203086812403421E-3</v>
      </c>
      <c r="CB7" s="190">
        <v>0</v>
      </c>
      <c r="CC7" s="190">
        <v>0</v>
      </c>
      <c r="CD7" s="190">
        <v>0</v>
      </c>
      <c r="CE7" s="190">
        <v>0</v>
      </c>
      <c r="CF7" s="190">
        <v>0</v>
      </c>
      <c r="CG7" s="190">
        <v>0</v>
      </c>
      <c r="CH7" s="190">
        <v>0</v>
      </c>
      <c r="CI7" s="190">
        <v>0</v>
      </c>
      <c r="CJ7" s="190">
        <v>0</v>
      </c>
      <c r="CK7" s="190">
        <v>0</v>
      </c>
      <c r="CL7" s="190">
        <v>0</v>
      </c>
      <c r="CM7" s="190">
        <v>0</v>
      </c>
    </row>
    <row r="8" spans="1:91" x14ac:dyDescent="0.4">
      <c r="A8" s="190" t="s">
        <v>183</v>
      </c>
      <c r="B8" s="190">
        <v>0</v>
      </c>
      <c r="C8" s="190">
        <v>0</v>
      </c>
      <c r="D8" s="190">
        <v>0</v>
      </c>
      <c r="E8" s="190">
        <v>0</v>
      </c>
      <c r="F8" s="190">
        <v>0</v>
      </c>
      <c r="G8" s="190">
        <v>0</v>
      </c>
      <c r="H8" s="190">
        <v>9.0610476898847698E-4</v>
      </c>
      <c r="I8" s="190">
        <v>9.2564582219818682E-4</v>
      </c>
      <c r="J8" s="190">
        <v>1.7012692683009113E-3</v>
      </c>
      <c r="K8" s="190">
        <v>1.3147317914002647E-3</v>
      </c>
      <c r="L8" s="190">
        <v>4.8541326910096977E-4</v>
      </c>
      <c r="M8" s="190">
        <v>1.9605270942640463E-3</v>
      </c>
      <c r="N8" s="190">
        <v>1.6511035185244327E-3</v>
      </c>
      <c r="O8" s="190">
        <v>0</v>
      </c>
      <c r="P8" s="190">
        <v>6.9529550531901999E-4</v>
      </c>
      <c r="Q8" s="190">
        <v>5.9530037188422003E-4</v>
      </c>
      <c r="R8" s="190">
        <v>3.5751160503974121E-4</v>
      </c>
      <c r="S8" s="190">
        <v>1.7206506602385156E-4</v>
      </c>
      <c r="T8" s="190">
        <v>7.7463465215461705E-4</v>
      </c>
      <c r="U8" s="190">
        <v>1.401226303471466E-3</v>
      </c>
      <c r="V8" s="190">
        <v>4.9084199248402259E-4</v>
      </c>
      <c r="W8" s="190">
        <v>4.6779696914989248E-4</v>
      </c>
      <c r="X8" s="190">
        <v>1.0353904932935332E-3</v>
      </c>
      <c r="Y8" s="190">
        <v>8.3345344133728459E-4</v>
      </c>
      <c r="Z8" s="190">
        <v>0</v>
      </c>
      <c r="AA8" s="190">
        <v>2.6605416798709601E-3</v>
      </c>
      <c r="AB8" s="190">
        <v>3.53850407159702E-3</v>
      </c>
      <c r="AC8" s="190">
        <v>1.36409686417265E-2</v>
      </c>
      <c r="AD8" s="190">
        <v>2.12766520118216E-4</v>
      </c>
      <c r="AE8" s="190">
        <v>0</v>
      </c>
      <c r="AF8" s="190">
        <v>0</v>
      </c>
      <c r="AG8" s="190">
        <v>0</v>
      </c>
      <c r="AH8" s="190">
        <v>5.4710416969802403E-2</v>
      </c>
      <c r="AI8" s="190">
        <v>5.7535910302701498E-2</v>
      </c>
      <c r="AJ8" s="190">
        <v>4.0912850363140699E-3</v>
      </c>
      <c r="AK8" s="190">
        <v>4.9666571993197397E-3</v>
      </c>
      <c r="AL8" s="190">
        <v>7.5018029399584018E-4</v>
      </c>
      <c r="AM8" s="190">
        <v>4.47009126086894E-13</v>
      </c>
      <c r="AN8" s="190">
        <v>3.5841930499936066E-5</v>
      </c>
      <c r="AO8" s="190">
        <v>1.779127515022789E-4</v>
      </c>
      <c r="AP8" s="190">
        <v>3.2253835715325786E-6</v>
      </c>
      <c r="AQ8" s="190">
        <v>4.0894781436797361E-4</v>
      </c>
      <c r="AR8" s="190">
        <v>0</v>
      </c>
      <c r="AS8" s="190">
        <v>1.2860110271585099E-2</v>
      </c>
      <c r="AT8" s="190">
        <v>2.5484482852386318E-5</v>
      </c>
      <c r="AU8" s="244">
        <v>1.3171574537462947E-6</v>
      </c>
      <c r="AV8" s="190">
        <v>4.34151618128033E-4</v>
      </c>
      <c r="AW8" s="190">
        <v>0</v>
      </c>
      <c r="AX8" s="190">
        <v>0</v>
      </c>
      <c r="AY8" s="190">
        <v>6.1166371771561822E-5</v>
      </c>
      <c r="AZ8" s="190">
        <v>6.4521655804104666E-5</v>
      </c>
      <c r="BA8" s="190">
        <v>5.9121176010840131E-5</v>
      </c>
      <c r="BB8" s="190">
        <v>2.2596408914581822E-4</v>
      </c>
      <c r="BC8" s="190">
        <v>0</v>
      </c>
      <c r="BD8" s="190">
        <v>2.098776665908859E-3</v>
      </c>
      <c r="BE8" s="190">
        <v>2.2037201390332638E-3</v>
      </c>
      <c r="BF8" s="190">
        <v>4.6443791776151311E-4</v>
      </c>
      <c r="BG8" s="190">
        <v>0</v>
      </c>
      <c r="BH8" s="190">
        <v>4.1230136088107622E-4</v>
      </c>
      <c r="BI8" s="190">
        <v>0</v>
      </c>
      <c r="BJ8" s="190">
        <v>5.1145453179521382E-4</v>
      </c>
      <c r="BK8" s="190">
        <v>0</v>
      </c>
      <c r="BL8" s="190">
        <v>0</v>
      </c>
      <c r="BM8" s="190">
        <v>0</v>
      </c>
      <c r="BN8" s="190">
        <v>1.6180442303365656E-5</v>
      </c>
      <c r="BO8" s="190">
        <v>0</v>
      </c>
      <c r="BP8" s="190">
        <v>0</v>
      </c>
      <c r="BQ8" s="190">
        <v>0</v>
      </c>
      <c r="BR8" s="190">
        <v>0</v>
      </c>
      <c r="BS8" s="190">
        <v>3.2146305541973123E-6</v>
      </c>
      <c r="BT8" s="190">
        <v>0</v>
      </c>
      <c r="BU8" s="190">
        <v>0</v>
      </c>
      <c r="BV8" s="190">
        <v>0</v>
      </c>
      <c r="BW8" s="190">
        <v>4.8155596154583939E-5</v>
      </c>
      <c r="BX8" s="190">
        <v>0</v>
      </c>
      <c r="BY8" s="190">
        <v>7.6344145762345704E-4</v>
      </c>
      <c r="BZ8" s="190">
        <v>0</v>
      </c>
      <c r="CA8" s="190">
        <v>1.2170602534591481E-4</v>
      </c>
      <c r="CB8" s="190">
        <v>0</v>
      </c>
      <c r="CC8" s="190">
        <v>0</v>
      </c>
      <c r="CD8" s="190">
        <v>0</v>
      </c>
      <c r="CE8" s="190">
        <v>0</v>
      </c>
      <c r="CF8" s="190">
        <v>0</v>
      </c>
      <c r="CG8" s="190">
        <v>0</v>
      </c>
      <c r="CH8" s="190">
        <v>0</v>
      </c>
      <c r="CI8" s="190">
        <v>0</v>
      </c>
      <c r="CJ8" s="190">
        <v>0</v>
      </c>
      <c r="CK8" s="190">
        <v>0</v>
      </c>
      <c r="CL8" s="190">
        <v>0</v>
      </c>
      <c r="CM8" s="190">
        <v>0</v>
      </c>
    </row>
    <row r="9" spans="1:91" x14ac:dyDescent="0.4">
      <c r="A9" s="190" t="s">
        <v>184</v>
      </c>
      <c r="B9" s="190">
        <v>0</v>
      </c>
      <c r="C9" s="190">
        <v>0</v>
      </c>
      <c r="D9" s="190">
        <v>0</v>
      </c>
      <c r="E9" s="190">
        <v>0</v>
      </c>
      <c r="F9" s="190">
        <v>0</v>
      </c>
      <c r="G9" s="190">
        <v>0</v>
      </c>
      <c r="H9" s="190">
        <v>0</v>
      </c>
      <c r="I9" s="190">
        <v>0</v>
      </c>
      <c r="J9" s="190">
        <v>5.9703094236068033E-3</v>
      </c>
      <c r="K9" s="190">
        <v>2.9194451325927234E-3</v>
      </c>
      <c r="L9" s="190">
        <v>0</v>
      </c>
      <c r="M9" s="190">
        <v>1.9652645840985684E-2</v>
      </c>
      <c r="N9" s="190">
        <v>1.0216633889754129E-2</v>
      </c>
      <c r="O9" s="190">
        <v>0</v>
      </c>
      <c r="P9" s="190">
        <v>0</v>
      </c>
      <c r="Q9" s="190">
        <v>0</v>
      </c>
      <c r="R9" s="190">
        <v>6.6586143609217649E-3</v>
      </c>
      <c r="S9" s="190">
        <v>7.0470449800295182E-3</v>
      </c>
      <c r="T9" s="190">
        <v>2.813239130234842E-2</v>
      </c>
      <c r="U9" s="190">
        <v>6.4611230627893766E-4</v>
      </c>
      <c r="V9" s="190">
        <v>3.9401373286954465E-3</v>
      </c>
      <c r="W9" s="190">
        <v>3.9621793122366347E-3</v>
      </c>
      <c r="X9" s="190">
        <v>1.6052615467772164E-3</v>
      </c>
      <c r="Y9" s="190">
        <v>3.8034246327683673E-3</v>
      </c>
      <c r="Z9" s="190">
        <v>9.9962486178149595E-4</v>
      </c>
      <c r="AA9" s="190">
        <v>1.1375123163480799E-2</v>
      </c>
      <c r="AB9" s="190">
        <v>1.2626890903474399E-2</v>
      </c>
      <c r="AC9" s="190">
        <v>4.4991264993764497E-2</v>
      </c>
      <c r="AD9" s="190">
        <v>2.3318008534221401E-2</v>
      </c>
      <c r="AE9" s="190">
        <v>7.9999925771268906E-3</v>
      </c>
      <c r="AF9" s="190">
        <v>3.4987510648273899E-2</v>
      </c>
      <c r="AG9" s="190">
        <v>1.1608015397807901E-2</v>
      </c>
      <c r="AH9" s="190">
        <v>1.8783584004977601E-3</v>
      </c>
      <c r="AI9" s="190">
        <v>1.9753651074081802E-3</v>
      </c>
      <c r="AJ9" s="190">
        <v>0</v>
      </c>
      <c r="AK9" s="190">
        <v>0</v>
      </c>
      <c r="AL9" s="190">
        <v>3.63602362488861E-3</v>
      </c>
      <c r="AM9" s="190">
        <v>1.5933910797743625E-4</v>
      </c>
      <c r="AN9" s="190">
        <v>2.2533540819266101E-2</v>
      </c>
      <c r="AO9" s="190">
        <v>6.7035794568951292E-4</v>
      </c>
      <c r="AP9" s="190">
        <v>5.860148923231793E-3</v>
      </c>
      <c r="AQ9" s="190">
        <v>2.1003705252793277E-5</v>
      </c>
      <c r="AR9" s="190">
        <v>2.1511089722826299E-3</v>
      </c>
      <c r="AS9" s="190">
        <v>1.4533018328050441E-3</v>
      </c>
      <c r="AT9" s="190">
        <v>2.6252560569643994E-4</v>
      </c>
      <c r="AU9" s="190">
        <v>1.0778394734553243E-4</v>
      </c>
      <c r="AV9" s="244">
        <v>3.6404389175659532E-5</v>
      </c>
      <c r="AW9" s="190">
        <v>0</v>
      </c>
      <c r="AX9" s="190">
        <v>0</v>
      </c>
      <c r="AY9" s="190">
        <v>4.3618540000536664E-3</v>
      </c>
      <c r="AZ9" s="244">
        <v>1.0239075855249236E-4</v>
      </c>
      <c r="BA9" s="190">
        <v>0</v>
      </c>
      <c r="BB9" s="190">
        <v>7.6283767822067649E-4</v>
      </c>
      <c r="BC9" s="190">
        <v>0</v>
      </c>
      <c r="BD9" s="190">
        <v>1.4985713763283037E-2</v>
      </c>
      <c r="BE9" s="190">
        <v>5.0532023341850795E-3</v>
      </c>
      <c r="BF9" s="190">
        <v>5.6523002298089833E-3</v>
      </c>
      <c r="BG9" s="190">
        <v>0</v>
      </c>
      <c r="BH9" s="190">
        <v>2.10585316215529E-3</v>
      </c>
      <c r="BI9" s="190">
        <v>0</v>
      </c>
      <c r="BJ9" s="190">
        <v>1.0947478178121685E-3</v>
      </c>
      <c r="BK9" s="190">
        <v>0</v>
      </c>
      <c r="BL9" s="190">
        <v>0</v>
      </c>
      <c r="BM9" s="190">
        <v>0</v>
      </c>
      <c r="BN9" s="190">
        <v>0</v>
      </c>
      <c r="BO9" s="190">
        <v>0</v>
      </c>
      <c r="BP9" s="190">
        <v>0</v>
      </c>
      <c r="BQ9" s="190">
        <v>0</v>
      </c>
      <c r="BR9" s="190">
        <v>4.8057439052256465E-3</v>
      </c>
      <c r="BS9" s="190">
        <v>2.9254841637812901E-3</v>
      </c>
      <c r="BT9" s="190">
        <v>1.2853607079703099E-3</v>
      </c>
      <c r="BU9" s="190">
        <v>3.9906533782810257E-3</v>
      </c>
      <c r="BV9" s="190">
        <v>3.1074190255535035E-3</v>
      </c>
      <c r="BW9" s="190">
        <v>5.4483131140823683E-3</v>
      </c>
      <c r="BX9" s="190">
        <v>1.9249097990791874E-3</v>
      </c>
      <c r="BY9" s="190">
        <v>1.1175875581247838E-2</v>
      </c>
      <c r="BZ9" s="190">
        <v>7.7533476753472519E-3</v>
      </c>
      <c r="CA9" s="190">
        <v>4.2991900171125523E-3</v>
      </c>
      <c r="CB9" s="190">
        <v>0</v>
      </c>
      <c r="CC9" s="190">
        <v>0</v>
      </c>
      <c r="CD9" s="190">
        <v>0</v>
      </c>
      <c r="CE9" s="190">
        <v>0</v>
      </c>
      <c r="CF9" s="190">
        <v>0</v>
      </c>
      <c r="CG9" s="190">
        <v>0</v>
      </c>
      <c r="CH9" s="190">
        <v>0</v>
      </c>
      <c r="CI9" s="190">
        <v>0</v>
      </c>
      <c r="CJ9" s="190">
        <v>0</v>
      </c>
      <c r="CK9" s="190">
        <v>0</v>
      </c>
      <c r="CL9" s="190">
        <v>0</v>
      </c>
      <c r="CM9" s="190">
        <v>0</v>
      </c>
    </row>
    <row r="10" spans="1:91" x14ac:dyDescent="0.4">
      <c r="A10" s="190" t="s">
        <v>185</v>
      </c>
      <c r="B10" s="190">
        <v>0</v>
      </c>
      <c r="C10" s="190">
        <v>0</v>
      </c>
      <c r="D10" s="190">
        <v>0</v>
      </c>
      <c r="E10" s="190">
        <v>0</v>
      </c>
      <c r="F10" s="190">
        <v>0</v>
      </c>
      <c r="G10" s="190">
        <v>0</v>
      </c>
      <c r="H10" s="190">
        <v>0</v>
      </c>
      <c r="I10" s="190">
        <v>0</v>
      </c>
      <c r="J10" s="190">
        <v>4.5772090860758223E-2</v>
      </c>
      <c r="K10" s="190">
        <v>2.2382275086724735E-2</v>
      </c>
      <c r="L10" s="190">
        <v>0</v>
      </c>
      <c r="M10" s="190">
        <v>0.15066935853124749</v>
      </c>
      <c r="N10" s="190">
        <v>7.8327044967531581E-2</v>
      </c>
      <c r="O10" s="190">
        <v>0</v>
      </c>
      <c r="P10" s="190">
        <v>0</v>
      </c>
      <c r="Q10" s="190">
        <v>0</v>
      </c>
      <c r="R10" s="190">
        <v>5.1049062939645201E-2</v>
      </c>
      <c r="S10" s="190">
        <v>5.4027012712332158E-2</v>
      </c>
      <c r="T10" s="190">
        <v>0.21568034074247022</v>
      </c>
      <c r="U10" s="190">
        <v>4.9534972295267226E-3</v>
      </c>
      <c r="V10" s="190">
        <v>3.0207533817227274E-2</v>
      </c>
      <c r="W10" s="190">
        <v>3.0376521318848097E-2</v>
      </c>
      <c r="X10" s="190">
        <v>1.2306929534312035E-2</v>
      </c>
      <c r="Y10" s="190">
        <v>2.9159409591864575E-2</v>
      </c>
      <c r="Z10" s="190">
        <v>0</v>
      </c>
      <c r="AA10" s="190">
        <v>0</v>
      </c>
      <c r="AB10" s="190">
        <v>0</v>
      </c>
      <c r="AC10" s="190">
        <v>0</v>
      </c>
      <c r="AD10" s="190">
        <v>0</v>
      </c>
      <c r="AE10" s="190">
        <v>0</v>
      </c>
      <c r="AF10" s="190">
        <v>0</v>
      </c>
      <c r="AG10" s="190">
        <v>0</v>
      </c>
      <c r="AH10" s="190">
        <v>0</v>
      </c>
      <c r="AI10" s="190">
        <v>0.222154268587925</v>
      </c>
      <c r="AJ10" s="190">
        <v>6.8317996103707604E-2</v>
      </c>
      <c r="AK10" s="190">
        <v>9.9333143986394794E-3</v>
      </c>
      <c r="AL10" s="190">
        <v>1.39666578441116E-2</v>
      </c>
      <c r="AM10" s="244">
        <v>1.2215923180090946E-3</v>
      </c>
      <c r="AN10" s="190">
        <v>8.5756649824303394E-2</v>
      </c>
      <c r="AO10" s="190">
        <v>1.0139379322285501E-2</v>
      </c>
      <c r="AP10" s="190">
        <v>4.4927532216528787E-2</v>
      </c>
      <c r="AQ10" s="190">
        <v>1.861357416326172E-3</v>
      </c>
      <c r="AR10" s="190">
        <v>5.9918047667236697E-3</v>
      </c>
      <c r="AS10" s="190">
        <v>1.114191222254478E-2</v>
      </c>
      <c r="AT10" s="190">
        <v>2.0126839372344761E-3</v>
      </c>
      <c r="AU10" s="190">
        <v>8.2633851634618459E-4</v>
      </c>
      <c r="AV10" s="190">
        <v>2.7909860123665706E-4</v>
      </c>
      <c r="AW10" s="190">
        <v>0</v>
      </c>
      <c r="AX10" s="190">
        <v>0</v>
      </c>
      <c r="AY10" s="190">
        <v>3.3440675088361536E-2</v>
      </c>
      <c r="AZ10" s="190">
        <v>7.8499098978614232E-4</v>
      </c>
      <c r="BA10" s="190">
        <v>0</v>
      </c>
      <c r="BB10" s="190">
        <v>5.8483862463585123E-3</v>
      </c>
      <c r="BC10" s="190">
        <v>0</v>
      </c>
      <c r="BD10" s="190">
        <v>0.11488976589289093</v>
      </c>
      <c r="BE10" s="190">
        <v>3.8740979732736186E-2</v>
      </c>
      <c r="BF10" s="190">
        <v>4.333403536307906E-2</v>
      </c>
      <c r="BG10" s="190">
        <v>0</v>
      </c>
      <c r="BH10" s="190">
        <v>2.61447749921403E-2</v>
      </c>
      <c r="BI10" s="190">
        <v>0</v>
      </c>
      <c r="BJ10" s="190">
        <v>8.3930150066231259E-3</v>
      </c>
      <c r="BK10" s="190">
        <v>0</v>
      </c>
      <c r="BL10" s="190">
        <v>0</v>
      </c>
      <c r="BM10" s="190">
        <v>0</v>
      </c>
      <c r="BN10" s="190">
        <v>0</v>
      </c>
      <c r="BO10" s="190">
        <v>0</v>
      </c>
      <c r="BP10" s="190">
        <v>0</v>
      </c>
      <c r="BQ10" s="190">
        <v>0</v>
      </c>
      <c r="BR10" s="190">
        <v>3.6843810107020376E-2</v>
      </c>
      <c r="BS10" s="190">
        <v>1.8761954505584901E-2</v>
      </c>
      <c r="BT10" s="190">
        <v>9.8543715140517411E-3</v>
      </c>
      <c r="BU10" s="190">
        <v>3.0594821149842744E-2</v>
      </c>
      <c r="BV10" s="190">
        <v>5.3823399406685603E-2</v>
      </c>
      <c r="BW10" s="190">
        <v>4.1770143756633314E-2</v>
      </c>
      <c r="BX10" s="190">
        <v>1.4757551069939158E-2</v>
      </c>
      <c r="BY10" s="190">
        <v>8.5681186058924552E-2</v>
      </c>
      <c r="BZ10" s="190">
        <v>5.944196675432066E-2</v>
      </c>
      <c r="CA10" s="190">
        <v>3.2960254172565026E-2</v>
      </c>
      <c r="CB10" s="190">
        <v>0</v>
      </c>
      <c r="CC10" s="190">
        <v>0</v>
      </c>
      <c r="CD10" s="190">
        <v>0</v>
      </c>
      <c r="CE10" s="190">
        <v>0</v>
      </c>
      <c r="CF10" s="190">
        <v>0</v>
      </c>
      <c r="CG10" s="190">
        <v>0</v>
      </c>
      <c r="CH10" s="190">
        <v>0</v>
      </c>
      <c r="CI10" s="190">
        <v>0</v>
      </c>
      <c r="CJ10" s="190">
        <v>0</v>
      </c>
      <c r="CK10" s="190">
        <v>0</v>
      </c>
      <c r="CL10" s="190">
        <v>0</v>
      </c>
      <c r="CM10" s="190">
        <v>0</v>
      </c>
    </row>
    <row r="11" spans="1:91" x14ac:dyDescent="0.4">
      <c r="A11" s="190" t="s">
        <v>186</v>
      </c>
      <c r="B11" s="190">
        <v>0</v>
      </c>
      <c r="C11" s="190">
        <v>0</v>
      </c>
      <c r="D11" s="190">
        <v>0</v>
      </c>
      <c r="E11" s="190">
        <v>0</v>
      </c>
      <c r="F11" s="190">
        <v>0</v>
      </c>
      <c r="G11" s="190">
        <v>0</v>
      </c>
      <c r="H11" s="190">
        <v>0</v>
      </c>
      <c r="I11" s="190">
        <v>0</v>
      </c>
      <c r="J11" s="190">
        <v>4.0661185989834786E-2</v>
      </c>
      <c r="K11" s="190">
        <v>1.9883073573053817E-2</v>
      </c>
      <c r="L11" s="190">
        <v>0</v>
      </c>
      <c r="M11" s="190">
        <v>0.13384564032359936</v>
      </c>
      <c r="N11" s="190">
        <v>6.9581058753631006E-2</v>
      </c>
      <c r="O11" s="190">
        <v>0</v>
      </c>
      <c r="P11" s="190">
        <v>0</v>
      </c>
      <c r="Q11" s="190">
        <v>0</v>
      </c>
      <c r="R11" s="190">
        <v>4.534893214972769E-2</v>
      </c>
      <c r="S11" s="190">
        <v>4.799436449285497E-2</v>
      </c>
      <c r="T11" s="190">
        <v>0.19159750591160235</v>
      </c>
      <c r="U11" s="190">
        <v>4.4003904641943398E-3</v>
      </c>
      <c r="V11" s="190">
        <v>2.683456507532056E-2</v>
      </c>
      <c r="W11" s="190">
        <v>2.6984683457595571E-2</v>
      </c>
      <c r="X11" s="190">
        <v>1.0932739609399679E-2</v>
      </c>
      <c r="Y11" s="190">
        <v>2.5903474245374192E-2</v>
      </c>
      <c r="Z11" s="190">
        <v>0.14994372926722399</v>
      </c>
      <c r="AA11" s="190">
        <v>1.2087207064546801E-3</v>
      </c>
      <c r="AB11" s="190">
        <v>1.8763411151631699E-3</v>
      </c>
      <c r="AC11" s="244">
        <v>1.32952910738075E-5</v>
      </c>
      <c r="AD11" s="190">
        <v>1.5578836727299899E-3</v>
      </c>
      <c r="AE11" s="190">
        <v>0.10219990517279599</v>
      </c>
      <c r="AF11" s="190">
        <v>0.116958249881373</v>
      </c>
      <c r="AG11" s="190">
        <v>0.106793740015167</v>
      </c>
      <c r="AH11" s="190">
        <v>6.9129406108306396E-2</v>
      </c>
      <c r="AI11" s="190">
        <v>7.2699561721361702E-2</v>
      </c>
      <c r="AJ11" s="190">
        <v>6.5232352983219097E-2</v>
      </c>
      <c r="AK11" s="190">
        <v>9.9333143986394794E-3</v>
      </c>
      <c r="AL11" s="190">
        <v>0.13381695276251099</v>
      </c>
      <c r="AM11" s="190">
        <v>1.0851895011181577E-3</v>
      </c>
      <c r="AN11" s="190">
        <v>9.6739374292755795E-2</v>
      </c>
      <c r="AO11" s="190">
        <v>9.5655169900688199E-3</v>
      </c>
      <c r="AP11" s="190">
        <v>3.9910930638450408E-2</v>
      </c>
      <c r="AQ11" s="190">
        <v>5.1672637234556444E-4</v>
      </c>
      <c r="AR11" s="190">
        <v>3.09344205874744E-2</v>
      </c>
      <c r="AS11" s="190">
        <v>9.8978079577246147E-3</v>
      </c>
      <c r="AT11" s="190">
        <v>1.7879479475735782E-3</v>
      </c>
      <c r="AU11" s="244">
        <v>7.340696802759024E-4</v>
      </c>
      <c r="AV11" s="190">
        <v>2.4793449285306375E-4</v>
      </c>
      <c r="AW11" s="190">
        <v>0</v>
      </c>
      <c r="AX11" s="190">
        <v>0</v>
      </c>
      <c r="AY11" s="190">
        <v>2.9706694272060151E-2</v>
      </c>
      <c r="AZ11" s="190">
        <v>6.9733901239376532E-4</v>
      </c>
      <c r="BA11" s="190">
        <v>0</v>
      </c>
      <c r="BB11" s="190">
        <v>5.1953563062475307E-3</v>
      </c>
      <c r="BC11" s="190">
        <v>0</v>
      </c>
      <c r="BD11" s="190">
        <v>0.10206119168797853</v>
      </c>
      <c r="BE11" s="190">
        <v>3.4415167686641955E-2</v>
      </c>
      <c r="BF11" s="190">
        <v>3.8495363407111953E-2</v>
      </c>
      <c r="BG11" s="190">
        <v>0</v>
      </c>
      <c r="BH11" s="190">
        <v>1.4342051813111699E-2</v>
      </c>
      <c r="BI11" s="190">
        <v>0</v>
      </c>
      <c r="BJ11" s="190">
        <v>7.4558521968756779E-3</v>
      </c>
      <c r="BK11" s="190">
        <v>0</v>
      </c>
      <c r="BL11" s="190">
        <v>0</v>
      </c>
      <c r="BM11" s="190">
        <v>0</v>
      </c>
      <c r="BN11" s="190">
        <v>0</v>
      </c>
      <c r="BO11" s="190">
        <v>0</v>
      </c>
      <c r="BP11" s="190">
        <v>0</v>
      </c>
      <c r="BQ11" s="190">
        <v>0</v>
      </c>
      <c r="BR11" s="190">
        <v>3.2729835739710271E-2</v>
      </c>
      <c r="BS11" s="190">
        <v>1.3113636856813767E-2</v>
      </c>
      <c r="BT11" s="190">
        <v>8.7540338536143091E-3</v>
      </c>
      <c r="BU11" s="190">
        <v>2.7178607961866639E-2</v>
      </c>
      <c r="BV11" s="190">
        <v>2.1163282165374001E-2</v>
      </c>
      <c r="BW11" s="190">
        <v>3.7106095705291726E-2</v>
      </c>
      <c r="BX11" s="190">
        <v>1.3109725108138558E-2</v>
      </c>
      <c r="BY11" s="190">
        <v>7.6114037542436605E-2</v>
      </c>
      <c r="BZ11" s="190">
        <v>5.2804685570332077E-2</v>
      </c>
      <c r="CA11" s="190">
        <v>2.9279917084405915E-2</v>
      </c>
      <c r="CB11" s="190">
        <v>0</v>
      </c>
      <c r="CC11" s="190">
        <v>0</v>
      </c>
      <c r="CD11" s="190">
        <v>0</v>
      </c>
      <c r="CE11" s="190">
        <v>0</v>
      </c>
      <c r="CF11" s="190">
        <v>0</v>
      </c>
      <c r="CG11" s="190">
        <v>0</v>
      </c>
      <c r="CH11" s="190">
        <v>0</v>
      </c>
      <c r="CI11" s="190">
        <v>0</v>
      </c>
      <c r="CJ11" s="190">
        <v>0</v>
      </c>
      <c r="CK11" s="190">
        <v>0</v>
      </c>
      <c r="CL11" s="190">
        <v>0</v>
      </c>
      <c r="CM11" s="190">
        <v>0</v>
      </c>
    </row>
    <row r="12" spans="1:91" x14ac:dyDescent="0.4">
      <c r="A12" s="190" t="s">
        <v>187</v>
      </c>
      <c r="B12" s="190">
        <v>0</v>
      </c>
      <c r="C12" s="190">
        <v>0</v>
      </c>
      <c r="D12" s="190">
        <v>0</v>
      </c>
      <c r="E12" s="190">
        <v>0</v>
      </c>
      <c r="F12" s="190">
        <v>0</v>
      </c>
      <c r="G12" s="190">
        <v>0</v>
      </c>
      <c r="H12" s="190">
        <v>0</v>
      </c>
      <c r="I12" s="190">
        <v>1.3545180414168613E-3</v>
      </c>
      <c r="J12" s="190">
        <v>8.9438880249590835E-4</v>
      </c>
      <c r="K12" s="190">
        <v>4.3572416045875166E-4</v>
      </c>
      <c r="L12" s="190">
        <v>0</v>
      </c>
      <c r="M12" s="190">
        <v>0</v>
      </c>
      <c r="N12" s="190">
        <v>5.0531127225782548E-2</v>
      </c>
      <c r="O12" s="190">
        <v>0</v>
      </c>
      <c r="P12" s="190">
        <v>0</v>
      </c>
      <c r="Q12" s="190">
        <v>0</v>
      </c>
      <c r="R12" s="190">
        <v>0</v>
      </c>
      <c r="S12" s="190">
        <v>4.1470722143341365E-4</v>
      </c>
      <c r="T12" s="190">
        <v>7.6312196839850811E-3</v>
      </c>
      <c r="U12" s="190">
        <v>0</v>
      </c>
      <c r="V12" s="190">
        <v>1.5322218779145278E-3</v>
      </c>
      <c r="W12" s="190">
        <v>5.3724859442990931E-4</v>
      </c>
      <c r="X12" s="190">
        <v>4.0771544642921381E-3</v>
      </c>
      <c r="Y12" s="190">
        <v>2.3874774591779498E-3</v>
      </c>
      <c r="Z12" s="190">
        <v>0</v>
      </c>
      <c r="AA12" s="190">
        <v>0</v>
      </c>
      <c r="AB12" s="190">
        <v>0</v>
      </c>
      <c r="AC12" s="190">
        <v>0</v>
      </c>
      <c r="AD12" s="190">
        <v>0</v>
      </c>
      <c r="AE12" s="244">
        <v>8.7305023064964305E-5</v>
      </c>
      <c r="AF12" s="190">
        <v>0</v>
      </c>
      <c r="AG12" s="190">
        <v>7.3358277712279058E-3</v>
      </c>
      <c r="AH12" s="190">
        <v>5.905056127523213E-3</v>
      </c>
      <c r="AI12" s="190">
        <v>4.4000598775504246E-4</v>
      </c>
      <c r="AJ12" s="190">
        <v>1.3373471876435294E-3</v>
      </c>
      <c r="AK12" s="190">
        <v>0</v>
      </c>
      <c r="AL12" s="190">
        <v>1.1841772005671054E-2</v>
      </c>
      <c r="AM12" s="244">
        <v>7.998178600788305E-6</v>
      </c>
      <c r="AN12" s="190">
        <v>2.1811454537525482E-4</v>
      </c>
      <c r="AO12" s="190">
        <v>4.017249693875056E-3</v>
      </c>
      <c r="AP12" s="190">
        <v>0</v>
      </c>
      <c r="AQ12" s="190">
        <v>6.5160666936951907E-3</v>
      </c>
      <c r="AR12" s="190">
        <v>4.3845500917380861E-4</v>
      </c>
      <c r="AS12" s="190">
        <v>0</v>
      </c>
      <c r="AT12" s="190">
        <v>3.7436753764667412E-3</v>
      </c>
      <c r="AU12" s="244">
        <v>6.216600926397163E-5</v>
      </c>
      <c r="AV12" s="190">
        <v>0</v>
      </c>
      <c r="AW12" s="190">
        <v>0</v>
      </c>
      <c r="AX12" s="190">
        <v>0</v>
      </c>
      <c r="AY12" s="190">
        <v>4.0000556921604007E-4</v>
      </c>
      <c r="AZ12" s="190">
        <v>1.2227572991526797E-3</v>
      </c>
      <c r="BA12" s="190">
        <v>1.9906079240060326E-4</v>
      </c>
      <c r="BB12" s="190">
        <v>0</v>
      </c>
      <c r="BC12" s="190">
        <v>0</v>
      </c>
      <c r="BD12" s="190">
        <v>2.7736849406701613E-3</v>
      </c>
      <c r="BE12" s="190">
        <v>1.8130713971343977E-3</v>
      </c>
      <c r="BF12" s="190">
        <v>0</v>
      </c>
      <c r="BG12" s="190">
        <v>0</v>
      </c>
      <c r="BH12" s="190">
        <v>0</v>
      </c>
      <c r="BI12" s="190">
        <v>0</v>
      </c>
      <c r="BJ12" s="190">
        <v>0</v>
      </c>
      <c r="BK12" s="190">
        <v>0</v>
      </c>
      <c r="BL12" s="190">
        <v>0</v>
      </c>
      <c r="BM12" s="190">
        <v>0</v>
      </c>
      <c r="BN12" s="190">
        <v>0</v>
      </c>
      <c r="BO12" s="190">
        <v>0</v>
      </c>
      <c r="BP12" s="190">
        <v>0</v>
      </c>
      <c r="BQ12" s="190">
        <v>0</v>
      </c>
      <c r="BR12" s="190">
        <v>0</v>
      </c>
      <c r="BS12" s="190">
        <v>0</v>
      </c>
      <c r="BT12" s="190">
        <v>0</v>
      </c>
      <c r="BU12" s="190">
        <v>0</v>
      </c>
      <c r="BV12" s="190">
        <v>0</v>
      </c>
      <c r="BW12" s="190">
        <v>0</v>
      </c>
      <c r="BX12" s="190">
        <v>0</v>
      </c>
      <c r="BY12" s="190">
        <v>2.2848936053673969E-3</v>
      </c>
      <c r="BZ12" s="190">
        <v>0</v>
      </c>
      <c r="CA12" s="190">
        <v>5.390927199665576E-3</v>
      </c>
      <c r="CB12" s="190">
        <v>0</v>
      </c>
      <c r="CC12" s="190">
        <v>0</v>
      </c>
      <c r="CD12" s="190">
        <v>0</v>
      </c>
      <c r="CE12" s="190">
        <v>0</v>
      </c>
      <c r="CF12" s="190">
        <v>0</v>
      </c>
      <c r="CG12" s="190">
        <v>0</v>
      </c>
      <c r="CH12" s="190">
        <v>0</v>
      </c>
      <c r="CI12" s="190">
        <v>0</v>
      </c>
      <c r="CJ12" s="190">
        <v>0</v>
      </c>
      <c r="CK12" s="190">
        <v>0</v>
      </c>
      <c r="CL12" s="190">
        <v>0</v>
      </c>
      <c r="CM12" s="190">
        <v>0</v>
      </c>
    </row>
    <row r="13" spans="1:91" x14ac:dyDescent="0.4">
      <c r="A13" s="190" t="s">
        <v>188</v>
      </c>
      <c r="B13" s="190">
        <v>0</v>
      </c>
      <c r="C13" s="190">
        <v>0</v>
      </c>
      <c r="D13" s="190">
        <v>0</v>
      </c>
      <c r="E13" s="190">
        <v>0</v>
      </c>
      <c r="F13" s="190">
        <v>0</v>
      </c>
      <c r="G13" s="190">
        <v>0</v>
      </c>
      <c r="H13" s="190">
        <v>0</v>
      </c>
      <c r="I13" s="190">
        <v>1.9312093192125756E-5</v>
      </c>
      <c r="J13" s="190">
        <v>1.2751782830243614E-5</v>
      </c>
      <c r="K13" s="190">
        <v>6.2123540148923563E-6</v>
      </c>
      <c r="L13" s="190">
        <v>0</v>
      </c>
      <c r="M13" s="190">
        <v>0</v>
      </c>
      <c r="N13" s="190">
        <v>7.2044949439484664E-4</v>
      </c>
      <c r="O13" s="190">
        <v>0</v>
      </c>
      <c r="P13" s="190">
        <v>0</v>
      </c>
      <c r="Q13" s="190">
        <v>0</v>
      </c>
      <c r="R13" s="190">
        <v>0</v>
      </c>
      <c r="S13" s="190">
        <v>5.9127041965363079E-6</v>
      </c>
      <c r="T13" s="190">
        <v>1.0880240882767898E-4</v>
      </c>
      <c r="U13" s="190">
        <v>0</v>
      </c>
      <c r="V13" s="244">
        <v>2.1845712491468146E-5</v>
      </c>
      <c r="W13" s="244">
        <v>7.6598425459996458E-6</v>
      </c>
      <c r="X13" s="190">
        <v>5.8130186948812375E-5</v>
      </c>
      <c r="Y13" s="190">
        <v>3.4039551911405226E-5</v>
      </c>
      <c r="Z13" s="190">
        <v>0</v>
      </c>
      <c r="AA13" s="190">
        <v>0</v>
      </c>
      <c r="AB13" s="190">
        <v>0</v>
      </c>
      <c r="AC13" s="190">
        <v>0</v>
      </c>
      <c r="AD13" s="190">
        <v>0</v>
      </c>
      <c r="AE13" s="244">
        <v>1.2447547732389042E-6</v>
      </c>
      <c r="AF13" s="190">
        <v>0</v>
      </c>
      <c r="AG13" s="190">
        <v>1.0459085071313453E-4</v>
      </c>
      <c r="AH13" s="190">
        <v>8.4191565377876969E-5</v>
      </c>
      <c r="AI13" s="190">
        <v>6.27340233263352E-6</v>
      </c>
      <c r="AJ13" s="190">
        <v>1.9067279082516644E-5</v>
      </c>
      <c r="AK13" s="190">
        <v>0</v>
      </c>
      <c r="AL13" s="190">
        <v>1.6883452087076688E-4</v>
      </c>
      <c r="AM13" s="190">
        <v>1.1403433973025483E-7</v>
      </c>
      <c r="AN13" s="256">
        <v>5.1097765389960701E-6</v>
      </c>
      <c r="AO13" s="190">
        <v>5.7276092375263958E-5</v>
      </c>
      <c r="AP13" s="190">
        <v>0</v>
      </c>
      <c r="AQ13" s="190">
        <v>2.7859364084495663E-4</v>
      </c>
      <c r="AR13" s="190">
        <v>6.2512891957214066E-6</v>
      </c>
      <c r="AS13" s="190">
        <v>0</v>
      </c>
      <c r="AT13" s="190">
        <v>5.3375595998534193E-5</v>
      </c>
      <c r="AU13" s="244">
        <v>8.8633427357863786E-7</v>
      </c>
      <c r="AV13" s="190">
        <v>0</v>
      </c>
      <c r="AW13" s="190">
        <v>0</v>
      </c>
      <c r="AX13" s="190">
        <v>0</v>
      </c>
      <c r="AY13" s="190">
        <v>5.703094823298907E-6</v>
      </c>
      <c r="AZ13" s="190">
        <v>1.7433509329922013E-5</v>
      </c>
      <c r="BA13" s="244">
        <v>2.838116921438441E-6</v>
      </c>
      <c r="BB13" s="190">
        <v>0</v>
      </c>
      <c r="BC13" s="190">
        <v>0</v>
      </c>
      <c r="BD13" s="190">
        <v>3.9545919967065833E-5</v>
      </c>
      <c r="BE13" s="190">
        <v>2.5849935338484951E-5</v>
      </c>
      <c r="BF13" s="190">
        <v>0</v>
      </c>
      <c r="BG13" s="190">
        <v>0</v>
      </c>
      <c r="BH13" s="190">
        <v>0</v>
      </c>
      <c r="BI13" s="190">
        <v>0</v>
      </c>
      <c r="BJ13" s="190">
        <v>0</v>
      </c>
      <c r="BK13" s="190">
        <v>0</v>
      </c>
      <c r="BL13" s="190">
        <v>0</v>
      </c>
      <c r="BM13" s="190">
        <v>0</v>
      </c>
      <c r="BN13" s="190">
        <v>0</v>
      </c>
      <c r="BO13" s="190">
        <v>0</v>
      </c>
      <c r="BP13" s="190">
        <v>0</v>
      </c>
      <c r="BQ13" s="190">
        <v>0</v>
      </c>
      <c r="BR13" s="190">
        <v>0</v>
      </c>
      <c r="BS13" s="190">
        <v>0</v>
      </c>
      <c r="BT13" s="190">
        <v>0</v>
      </c>
      <c r="BU13" s="190">
        <v>0</v>
      </c>
      <c r="BV13" s="190">
        <v>0</v>
      </c>
      <c r="BW13" s="190">
        <v>0</v>
      </c>
      <c r="BX13" s="190">
        <v>0</v>
      </c>
      <c r="BY13" s="190">
        <v>3.2576958661097162E-5</v>
      </c>
      <c r="BZ13" s="190">
        <v>0</v>
      </c>
      <c r="CA13" s="190">
        <v>7.6861352369293867E-5</v>
      </c>
      <c r="CB13" s="190">
        <v>0</v>
      </c>
      <c r="CC13" s="190">
        <v>0</v>
      </c>
      <c r="CD13" s="190">
        <v>0</v>
      </c>
      <c r="CE13" s="190">
        <v>0</v>
      </c>
      <c r="CF13" s="190">
        <v>0</v>
      </c>
      <c r="CG13" s="190">
        <v>0</v>
      </c>
      <c r="CH13" s="190">
        <v>0</v>
      </c>
      <c r="CI13" s="190">
        <v>0</v>
      </c>
      <c r="CJ13" s="190">
        <v>0</v>
      </c>
      <c r="CK13" s="190">
        <v>0</v>
      </c>
      <c r="CL13" s="190">
        <v>0</v>
      </c>
      <c r="CM13" s="190">
        <v>0</v>
      </c>
    </row>
    <row r="14" spans="1:91" x14ac:dyDescent="0.4">
      <c r="A14" s="190" t="s">
        <v>189</v>
      </c>
      <c r="B14" s="190">
        <v>0</v>
      </c>
      <c r="C14" s="190">
        <v>0</v>
      </c>
      <c r="D14" s="190">
        <v>0</v>
      </c>
      <c r="E14" s="190">
        <v>0</v>
      </c>
      <c r="F14" s="190">
        <v>0</v>
      </c>
      <c r="G14" s="190">
        <v>0</v>
      </c>
      <c r="H14" s="190">
        <v>0</v>
      </c>
      <c r="I14" s="190">
        <v>1.8028720520087699E-4</v>
      </c>
      <c r="J14" s="190">
        <v>1.7849352229462701E-4</v>
      </c>
      <c r="K14" s="244">
        <v>8.7925925182112707E-5</v>
      </c>
      <c r="L14" s="190">
        <v>0</v>
      </c>
      <c r="M14" s="190">
        <v>0</v>
      </c>
      <c r="N14" s="190">
        <v>0</v>
      </c>
      <c r="O14" s="190">
        <v>0</v>
      </c>
      <c r="P14" s="190">
        <v>0</v>
      </c>
      <c r="Q14" s="190">
        <v>0</v>
      </c>
      <c r="R14" s="190">
        <v>0</v>
      </c>
      <c r="S14" s="190">
        <v>1.3019188174260399E-4</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244">
        <v>1.7232681351392499E-5</v>
      </c>
      <c r="AL14" s="190">
        <v>2.4151328003518E-3</v>
      </c>
      <c r="AM14" s="244">
        <v>4.2932113276992998E-5</v>
      </c>
      <c r="AN14" s="190">
        <v>0</v>
      </c>
      <c r="AO14" s="190">
        <v>0</v>
      </c>
      <c r="AP14" s="190">
        <v>0</v>
      </c>
      <c r="AQ14" s="190">
        <v>4.5475923626432424E-4</v>
      </c>
      <c r="AR14" s="190">
        <v>1.0000000000000001E-5</v>
      </c>
      <c r="AS14" s="190">
        <v>1.2891392723496999E-4</v>
      </c>
      <c r="AT14" s="190">
        <v>4.7589623749099802E-4</v>
      </c>
      <c r="AU14" s="244">
        <v>3.0336607518521799E-5</v>
      </c>
      <c r="AV14" s="190">
        <v>0</v>
      </c>
      <c r="AW14" s="190">
        <v>0</v>
      </c>
      <c r="AX14" s="190">
        <v>0</v>
      </c>
      <c r="AY14" s="190">
        <v>0</v>
      </c>
      <c r="AZ14" s="190">
        <v>0</v>
      </c>
      <c r="BA14" s="190">
        <v>0</v>
      </c>
      <c r="BB14" s="190">
        <v>1.5908406635758816E-4</v>
      </c>
      <c r="BC14" s="190">
        <v>0</v>
      </c>
      <c r="BD14" s="190">
        <v>0</v>
      </c>
      <c r="BE14" s="190">
        <v>0</v>
      </c>
      <c r="BF14" s="190">
        <v>0</v>
      </c>
      <c r="BG14" s="190">
        <v>0</v>
      </c>
      <c r="BH14" s="190">
        <v>0</v>
      </c>
      <c r="BI14" s="190">
        <v>0</v>
      </c>
      <c r="BJ14" s="190">
        <v>0</v>
      </c>
      <c r="BK14" s="190">
        <v>0</v>
      </c>
      <c r="BL14" s="190">
        <v>0</v>
      </c>
      <c r="BM14" s="190">
        <v>0</v>
      </c>
      <c r="BN14" s="190">
        <v>0</v>
      </c>
      <c r="BO14" s="190">
        <v>0</v>
      </c>
      <c r="BP14" s="190">
        <v>0</v>
      </c>
      <c r="BQ14" s="190">
        <v>0</v>
      </c>
      <c r="BR14" s="190">
        <v>0</v>
      </c>
      <c r="BS14" s="190">
        <v>0</v>
      </c>
      <c r="BT14" s="190">
        <v>0</v>
      </c>
      <c r="BU14" s="190">
        <v>2.63271360474453E-4</v>
      </c>
      <c r="BV14" s="244">
        <v>8.6852597455654301E-5</v>
      </c>
      <c r="BW14" s="190">
        <v>0</v>
      </c>
      <c r="BX14" s="190">
        <v>0</v>
      </c>
      <c r="BY14" s="190">
        <v>0</v>
      </c>
      <c r="BZ14" s="190">
        <v>0</v>
      </c>
      <c r="CA14" s="190">
        <v>3.3848214845930099E-3</v>
      </c>
      <c r="CB14" s="190">
        <v>0</v>
      </c>
      <c r="CC14" s="190">
        <v>0</v>
      </c>
      <c r="CD14" s="190">
        <v>0</v>
      </c>
      <c r="CE14" s="190">
        <v>1.4166787884423999E-2</v>
      </c>
      <c r="CF14" s="190">
        <v>0</v>
      </c>
      <c r="CG14" s="190">
        <v>0</v>
      </c>
      <c r="CH14" s="190">
        <v>0</v>
      </c>
      <c r="CI14" s="190">
        <v>0</v>
      </c>
      <c r="CJ14" s="190">
        <v>0</v>
      </c>
      <c r="CK14" s="190">
        <v>0</v>
      </c>
      <c r="CL14" s="190">
        <v>0</v>
      </c>
      <c r="CM14" s="190">
        <v>0</v>
      </c>
    </row>
    <row r="15" spans="1:91" x14ac:dyDescent="0.4">
      <c r="A15" s="190" t="s">
        <v>273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244">
        <v>4.4089114688393098E-5</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0.01</v>
      </c>
      <c r="AQ15" s="190">
        <v>6.3926940639269405E-4</v>
      </c>
      <c r="AR15" s="190">
        <v>1E-4</v>
      </c>
      <c r="AS15" s="190">
        <v>0</v>
      </c>
      <c r="AT15" s="190">
        <v>4.5066389848812102E-2</v>
      </c>
      <c r="AU15" s="190">
        <v>0</v>
      </c>
      <c r="AV15" s="190">
        <v>0</v>
      </c>
      <c r="AW15" s="190">
        <v>0</v>
      </c>
      <c r="AX15" s="190">
        <v>0</v>
      </c>
      <c r="AY15" s="190">
        <v>5.1000000000000004E-3</v>
      </c>
      <c r="AZ15" s="190">
        <v>0</v>
      </c>
      <c r="BA15" s="190">
        <v>0</v>
      </c>
      <c r="BB15" s="190">
        <v>2.2992029560675448E-2</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c r="BW15" s="190">
        <v>0</v>
      </c>
      <c r="BX15" s="190">
        <v>0</v>
      </c>
      <c r="BY15" s="190">
        <v>0</v>
      </c>
      <c r="BZ15" s="190">
        <v>0</v>
      </c>
      <c r="CA15" s="190">
        <v>0</v>
      </c>
      <c r="CB15" s="190">
        <v>0</v>
      </c>
      <c r="CC15" s="190">
        <v>0</v>
      </c>
      <c r="CD15" s="190">
        <v>4.0069790471629098E-3</v>
      </c>
      <c r="CE15" s="190">
        <v>0</v>
      </c>
      <c r="CF15" s="190">
        <v>0</v>
      </c>
      <c r="CG15" s="190">
        <v>0</v>
      </c>
      <c r="CH15" s="190">
        <v>0</v>
      </c>
      <c r="CI15" s="190">
        <v>0</v>
      </c>
      <c r="CJ15" s="190">
        <v>0</v>
      </c>
      <c r="CK15" s="190">
        <v>0</v>
      </c>
      <c r="CL15" s="190">
        <v>0</v>
      </c>
      <c r="CM15" s="190">
        <v>0</v>
      </c>
    </row>
    <row r="16" spans="1:91" x14ac:dyDescent="0.4">
      <c r="A16" s="190" t="s">
        <v>190</v>
      </c>
      <c r="B16" s="190">
        <v>0</v>
      </c>
      <c r="C16" s="190">
        <v>0</v>
      </c>
      <c r="D16" s="190">
        <v>0</v>
      </c>
      <c r="E16" s="190">
        <v>0</v>
      </c>
      <c r="F16" s="190">
        <v>0</v>
      </c>
      <c r="G16" s="190">
        <v>0</v>
      </c>
      <c r="H16" s="190">
        <v>0</v>
      </c>
      <c r="I16" s="190">
        <v>0</v>
      </c>
      <c r="J16" s="190">
        <v>0.10439165769715561</v>
      </c>
      <c r="K16" s="190">
        <v>3.8580743912234976E-2</v>
      </c>
      <c r="L16" s="190">
        <v>0</v>
      </c>
      <c r="M16" s="190">
        <v>2.2780465577022582E-2</v>
      </c>
      <c r="N16" s="190">
        <v>0</v>
      </c>
      <c r="O16" s="190">
        <v>0</v>
      </c>
      <c r="P16" s="190">
        <v>0</v>
      </c>
      <c r="Q16" s="190">
        <v>0</v>
      </c>
      <c r="R16" s="190">
        <v>0.18311964179024409</v>
      </c>
      <c r="S16" s="190">
        <v>6.8442269617177101E-2</v>
      </c>
      <c r="T16" s="190">
        <v>0.23043844164588875</v>
      </c>
      <c r="U16" s="190">
        <v>0.37208093813011572</v>
      </c>
      <c r="V16" s="190">
        <v>0.39339817903650659</v>
      </c>
      <c r="W16" s="190">
        <v>0.43566529012107763</v>
      </c>
      <c r="X16" s="190">
        <v>0.34835206477016473</v>
      </c>
      <c r="Y16" s="190">
        <v>0.16007645683259117</v>
      </c>
      <c r="Z16" s="190">
        <v>2.9988745853444898E-3</v>
      </c>
      <c r="AA16" s="190">
        <v>3.8924344466981599E-2</v>
      </c>
      <c r="AB16" s="190">
        <v>2.1600895563650101E-2</v>
      </c>
      <c r="AC16" s="190">
        <v>7.0332089780441698E-2</v>
      </c>
      <c r="AD16" s="190">
        <v>2.0226557362489201E-2</v>
      </c>
      <c r="AE16" s="190">
        <v>2.9999972164225799E-3</v>
      </c>
      <c r="AF16" s="190">
        <v>7.7972166587581895E-2</v>
      </c>
      <c r="AG16" s="190">
        <v>0.174120227883371</v>
      </c>
      <c r="AH16" s="190">
        <v>0.60615040454673152</v>
      </c>
      <c r="AI16" s="190">
        <v>0.28597120607223425</v>
      </c>
      <c r="AJ16" s="190">
        <v>0.11647220638596882</v>
      </c>
      <c r="AK16" s="190">
        <v>0.18427184744647435</v>
      </c>
      <c r="AL16" s="190">
        <v>6.3472703324238017E-2</v>
      </c>
      <c r="AM16" s="190">
        <v>4.0464242696309598E-3</v>
      </c>
      <c r="AN16" s="190">
        <v>0.34076993105016345</v>
      </c>
      <c r="AO16" s="190">
        <v>0.48004338304113758</v>
      </c>
      <c r="AP16" s="190">
        <v>0.30659342158012587</v>
      </c>
      <c r="AQ16" s="190">
        <v>3.104523721642239E-2</v>
      </c>
      <c r="AR16" s="190">
        <v>0.33726924032795125</v>
      </c>
      <c r="AS16" s="190">
        <v>1.5060098895957668E-2</v>
      </c>
      <c r="AT16" s="190">
        <v>6.4165339630568155E-2</v>
      </c>
      <c r="AU16" s="190">
        <v>0</v>
      </c>
      <c r="AV16" s="190">
        <v>2.2690482921042532E-2</v>
      </c>
      <c r="AW16" s="190">
        <v>0</v>
      </c>
      <c r="AX16" s="190">
        <v>0</v>
      </c>
      <c r="AY16" s="190">
        <v>2.7656798453640787E-3</v>
      </c>
      <c r="AZ16" s="190">
        <v>0.21305402456739633</v>
      </c>
      <c r="BA16" s="190">
        <v>0</v>
      </c>
      <c r="BB16" s="190">
        <v>6.9710272996902134E-2</v>
      </c>
      <c r="BC16" s="190">
        <v>0</v>
      </c>
      <c r="BD16" s="190">
        <v>6.445069576062612E-2</v>
      </c>
      <c r="BE16" s="190">
        <v>3.1585437089646215E-2</v>
      </c>
      <c r="BF16" s="190">
        <v>7.5934885332676727E-2</v>
      </c>
      <c r="BG16" s="190">
        <v>0</v>
      </c>
      <c r="BH16" s="190">
        <v>6.8341396647538827E-2</v>
      </c>
      <c r="BI16" s="190">
        <v>3.7967442666338364E-2</v>
      </c>
      <c r="BJ16" s="190">
        <v>7.6842045083005475E-2</v>
      </c>
      <c r="BK16" s="190">
        <v>0</v>
      </c>
      <c r="BL16" s="190">
        <v>0</v>
      </c>
      <c r="BM16" s="190">
        <v>0</v>
      </c>
      <c r="BN16" s="190">
        <v>3.7967442666338373E-3</v>
      </c>
      <c r="BO16" s="190">
        <v>4.4866382728929507E-3</v>
      </c>
      <c r="BP16" s="190">
        <v>0</v>
      </c>
      <c r="BQ16" s="190">
        <v>0</v>
      </c>
      <c r="BR16" s="190">
        <v>1.9124090852025339E-2</v>
      </c>
      <c r="BS16" s="190">
        <v>1.0912373877027093E-2</v>
      </c>
      <c r="BT16" s="190">
        <v>9.8191004976255301E-3</v>
      </c>
      <c r="BU16" s="190">
        <v>0.18155926301660757</v>
      </c>
      <c r="BV16" s="190">
        <v>3.9570859066733147E-2</v>
      </c>
      <c r="BW16" s="190">
        <v>2.4482728822837922E-2</v>
      </c>
      <c r="BX16" s="190">
        <v>9.8031536459358189E-3</v>
      </c>
      <c r="BY16" s="190">
        <v>0.17797238598528181</v>
      </c>
      <c r="BZ16" s="190">
        <v>3.7967442666338364E-2</v>
      </c>
      <c r="CA16" s="190">
        <v>0.37565343036760507</v>
      </c>
      <c r="CB16" s="190">
        <v>0</v>
      </c>
      <c r="CC16" s="190">
        <v>0</v>
      </c>
      <c r="CD16" s="190">
        <v>5.0465403404306181E-3</v>
      </c>
      <c r="CE16" s="190">
        <v>0</v>
      </c>
      <c r="CF16" s="190">
        <v>0</v>
      </c>
      <c r="CG16" s="190">
        <v>0</v>
      </c>
      <c r="CH16" s="190">
        <v>0</v>
      </c>
      <c r="CI16" s="190">
        <v>0</v>
      </c>
      <c r="CJ16" s="190">
        <v>0</v>
      </c>
      <c r="CK16" s="190">
        <v>0</v>
      </c>
      <c r="CL16" s="190">
        <v>0</v>
      </c>
      <c r="CM16" s="190">
        <v>0</v>
      </c>
    </row>
    <row r="17" spans="1:91" ht="15" customHeight="1" x14ac:dyDescent="0.4">
      <c r="A17" s="190" t="s">
        <v>191</v>
      </c>
      <c r="B17" s="190">
        <v>0</v>
      </c>
      <c r="C17" s="190">
        <v>0</v>
      </c>
      <c r="D17" s="190">
        <v>0</v>
      </c>
      <c r="E17" s="190">
        <v>0</v>
      </c>
      <c r="F17" s="190">
        <v>0</v>
      </c>
      <c r="G17" s="190">
        <v>0</v>
      </c>
      <c r="H17" s="190">
        <v>0</v>
      </c>
      <c r="I17" s="190">
        <v>0</v>
      </c>
      <c r="J17" s="190">
        <v>3.308357155986838E-2</v>
      </c>
      <c r="K17" s="190">
        <v>1.2226923398000225E-2</v>
      </c>
      <c r="L17" s="190">
        <v>0</v>
      </c>
      <c r="M17" s="190">
        <v>7.2195343929774584E-3</v>
      </c>
      <c r="N17" s="190">
        <v>0</v>
      </c>
      <c r="O17" s="190">
        <v>0</v>
      </c>
      <c r="P17" s="190">
        <v>0</v>
      </c>
      <c r="Q17" s="190">
        <v>0</v>
      </c>
      <c r="R17" s="190">
        <v>5.8033868862972141E-2</v>
      </c>
      <c r="S17" s="190">
        <v>2.1690571589240898E-2</v>
      </c>
      <c r="T17" s="190">
        <v>7.3030037481089258E-2</v>
      </c>
      <c r="U17" s="190">
        <v>0.11791906186988399</v>
      </c>
      <c r="V17" s="190">
        <v>0.12467487436049024</v>
      </c>
      <c r="W17" s="190">
        <v>0.13807007302906557</v>
      </c>
      <c r="X17" s="190">
        <v>0.1103989601955106</v>
      </c>
      <c r="Y17" s="190">
        <v>5.0731074029256563E-2</v>
      </c>
      <c r="Z17" s="190">
        <v>9.9962486178149595E-4</v>
      </c>
      <c r="AA17" s="190">
        <v>4.4984457355245602E-2</v>
      </c>
      <c r="AB17" s="190">
        <v>2.96559404940646E-2</v>
      </c>
      <c r="AC17" s="190">
        <v>4.2770951384438698E-2</v>
      </c>
      <c r="AD17" s="190">
        <v>1.65387760714975E-2</v>
      </c>
      <c r="AE17" s="190">
        <v>0</v>
      </c>
      <c r="AF17" s="190">
        <v>0</v>
      </c>
      <c r="AG17" s="190">
        <v>0.14626099216213101</v>
      </c>
      <c r="AH17" s="190">
        <v>0.19209983563094016</v>
      </c>
      <c r="AI17" s="190">
        <v>9.0629357449224748E-2</v>
      </c>
      <c r="AJ17" s="190">
        <v>3.6912112133371665E-2</v>
      </c>
      <c r="AK17" s="190">
        <v>5.8399023312288037E-2</v>
      </c>
      <c r="AL17" s="190">
        <v>2.0115627712490487E-2</v>
      </c>
      <c r="AM17" s="190">
        <v>1.2823837635981099E-3</v>
      </c>
      <c r="AN17" s="190">
        <v>0.10799604727089873</v>
      </c>
      <c r="AO17" s="190">
        <v>0.15213427935741566</v>
      </c>
      <c r="AP17" s="190">
        <v>9.716490403914109E-2</v>
      </c>
      <c r="AQ17" s="190">
        <v>9.8387874060034651E-3</v>
      </c>
      <c r="AR17" s="190">
        <v>0.10688661616718678</v>
      </c>
      <c r="AS17" s="190">
        <v>4.7728129863454224E-3</v>
      </c>
      <c r="AT17" s="190">
        <v>2.0335136467413348E-2</v>
      </c>
      <c r="AU17" s="190">
        <v>0</v>
      </c>
      <c r="AV17" s="190">
        <v>7.1910172901367394E-3</v>
      </c>
      <c r="AW17" s="190">
        <v>0</v>
      </c>
      <c r="AX17" s="190">
        <v>0</v>
      </c>
      <c r="AY17" s="190">
        <v>8.7649309431630281E-4</v>
      </c>
      <c r="AZ17" s="190">
        <v>6.7520606755203078E-2</v>
      </c>
      <c r="BA17" s="190">
        <v>0</v>
      </c>
      <c r="BB17" s="190">
        <v>2.2092424395075125E-2</v>
      </c>
      <c r="BC17" s="190">
        <v>0</v>
      </c>
      <c r="BD17" s="190">
        <v>2.0425570896342594E-2</v>
      </c>
      <c r="BE17" s="190">
        <v>1.0009986346193484E-2</v>
      </c>
      <c r="BF17" s="190">
        <v>2.4065114667323279E-2</v>
      </c>
      <c r="BG17" s="190">
        <v>0</v>
      </c>
      <c r="BH17" s="190">
        <v>2.1658603152460577E-2</v>
      </c>
      <c r="BI17" s="190">
        <v>1.2032557333661639E-2</v>
      </c>
      <c r="BJ17" s="190">
        <v>2.4352609714133434E-2</v>
      </c>
      <c r="BK17" s="190">
        <v>0</v>
      </c>
      <c r="BL17" s="190">
        <v>0</v>
      </c>
      <c r="BM17" s="190">
        <v>0</v>
      </c>
      <c r="BN17" s="190">
        <v>1.2032557333661641E-3</v>
      </c>
      <c r="BO17" s="190">
        <v>1.4218954046606987E-3</v>
      </c>
      <c r="BP17" s="190">
        <v>0</v>
      </c>
      <c r="BQ17" s="190">
        <v>0</v>
      </c>
      <c r="BR17" s="190">
        <v>6.0607642619860775E-3</v>
      </c>
      <c r="BS17" s="190">
        <v>3.4583252149898661E-3</v>
      </c>
      <c r="BT17" s="190">
        <v>3.1118474515381203E-3</v>
      </c>
      <c r="BU17" s="190">
        <v>5.7539357098747995E-2</v>
      </c>
      <c r="BV17" s="190">
        <v>1.2540708486664862E-2</v>
      </c>
      <c r="BW17" s="190">
        <v>7.759011867988377E-3</v>
      </c>
      <c r="BX17" s="190">
        <v>3.1067936108321727E-3</v>
      </c>
      <c r="BY17" s="190">
        <v>5.6402612021985529E-2</v>
      </c>
      <c r="BZ17" s="190">
        <v>1.2032557333661639E-2</v>
      </c>
      <c r="CA17" s="190">
        <v>0.11905124814983492</v>
      </c>
      <c r="CB17" s="190">
        <v>0</v>
      </c>
      <c r="CC17" s="190">
        <v>0</v>
      </c>
      <c r="CD17" s="190">
        <v>1.5993383203737367E-3</v>
      </c>
      <c r="CE17" s="190">
        <v>0</v>
      </c>
      <c r="CF17" s="190">
        <v>0</v>
      </c>
      <c r="CG17" s="190">
        <v>0</v>
      </c>
      <c r="CH17" s="190">
        <v>0</v>
      </c>
      <c r="CI17" s="190">
        <v>0</v>
      </c>
      <c r="CJ17" s="190">
        <v>0</v>
      </c>
      <c r="CK17" s="190">
        <v>0</v>
      </c>
      <c r="CL17" s="190">
        <v>0</v>
      </c>
      <c r="CM17" s="190">
        <v>0</v>
      </c>
    </row>
    <row r="18" spans="1:91" ht="15" customHeight="1" x14ac:dyDescent="0.4">
      <c r="A18" s="190" t="s">
        <v>192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7.9394156522731097E-4</v>
      </c>
      <c r="S18" s="190">
        <v>0.12017712160855699</v>
      </c>
      <c r="T18" s="190">
        <v>0</v>
      </c>
      <c r="U18" s="190">
        <v>7.0000000000000001E-3</v>
      </c>
      <c r="V18" s="190">
        <v>0</v>
      </c>
      <c r="W18" s="190">
        <v>2.6524092686642202E-4</v>
      </c>
      <c r="X18" s="190">
        <v>1.1521480324205499E-3</v>
      </c>
      <c r="Y18" s="190">
        <v>0</v>
      </c>
      <c r="Z18" s="190">
        <v>9.9962486178149595E-4</v>
      </c>
      <c r="AA18" s="190">
        <v>6.4687555268228003E-3</v>
      </c>
      <c r="AB18" s="190">
        <v>6.8949522792523601E-3</v>
      </c>
      <c r="AC18" s="190">
        <v>2.61917234154007E-3</v>
      </c>
      <c r="AD18" s="190">
        <v>4.6697863236013599E-4</v>
      </c>
      <c r="AE18" s="190">
        <v>6.4101156523100902E-2</v>
      </c>
      <c r="AF18" s="190">
        <v>5.9978589682755301E-3</v>
      </c>
      <c r="AG18" s="190">
        <v>0</v>
      </c>
      <c r="AH18" s="190">
        <v>0</v>
      </c>
      <c r="AI18" s="190">
        <v>1.5143516309276E-2</v>
      </c>
      <c r="AJ18" s="190">
        <v>0.11182570771645201</v>
      </c>
      <c r="AK18" s="190">
        <v>4.9709652777744301E-3</v>
      </c>
      <c r="AL18" s="190">
        <v>0.139334585693761</v>
      </c>
      <c r="AM18" s="190">
        <v>7.2426861000799994E-2</v>
      </c>
      <c r="AN18" s="190">
        <v>9.6149429490403893E-3</v>
      </c>
      <c r="AO18" s="190">
        <v>5.2757403097737403E-2</v>
      </c>
      <c r="AP18" s="190">
        <v>9.962076378827909E-4</v>
      </c>
      <c r="AQ18" s="190">
        <v>3.4314482951886445E-3</v>
      </c>
      <c r="AR18" s="257">
        <v>3.5150226775913597E-2</v>
      </c>
      <c r="AS18" s="190">
        <v>3.5996735066380098E-2</v>
      </c>
      <c r="AT18" s="190">
        <v>4.0423412452834803E-2</v>
      </c>
      <c r="AU18" s="190">
        <v>7.5244113306277505E-2</v>
      </c>
      <c r="AV18" s="190">
        <v>1.67838840287198E-2</v>
      </c>
      <c r="AW18" s="190">
        <v>9.0897962816890998E-3</v>
      </c>
      <c r="AX18" s="190">
        <v>9.0901508359771078E-4</v>
      </c>
      <c r="AY18" s="190">
        <v>9.1778933798359079E-4</v>
      </c>
      <c r="AZ18" s="190">
        <v>1.8703629004141454E-2</v>
      </c>
      <c r="BA18" s="190">
        <v>0</v>
      </c>
      <c r="BB18" s="190">
        <v>4.5889629977035181E-3</v>
      </c>
      <c r="BC18" s="190">
        <v>0.3</v>
      </c>
      <c r="BD18" s="190">
        <v>0</v>
      </c>
      <c r="BE18" s="190">
        <v>0</v>
      </c>
      <c r="BF18" s="190">
        <v>0</v>
      </c>
      <c r="BG18" s="190">
        <v>0</v>
      </c>
      <c r="BH18" s="190">
        <v>0</v>
      </c>
      <c r="BI18" s="190">
        <v>0</v>
      </c>
      <c r="BJ18" s="190">
        <v>0</v>
      </c>
      <c r="BK18" s="190">
        <v>0</v>
      </c>
      <c r="BL18" s="190">
        <v>0</v>
      </c>
      <c r="BM18" s="190">
        <v>0</v>
      </c>
      <c r="BN18" s="190">
        <v>0</v>
      </c>
      <c r="BO18" s="190">
        <v>7.6463380242084594E-5</v>
      </c>
      <c r="BP18" s="190">
        <v>0</v>
      </c>
      <c r="BQ18" s="190">
        <v>0</v>
      </c>
      <c r="BR18" s="190">
        <v>0.148758779503913</v>
      </c>
      <c r="BS18" s="190">
        <v>0.19867383684119999</v>
      </c>
      <c r="BT18" s="190">
        <v>4.97344151890909E-2</v>
      </c>
      <c r="BU18" s="190">
        <v>5.0629117777736699E-3</v>
      </c>
      <c r="BV18" s="190">
        <v>0.55118005115876101</v>
      </c>
      <c r="BW18" s="190">
        <v>0.14880803395766001</v>
      </c>
      <c r="BX18" s="190">
        <v>1.4896092988578399E-2</v>
      </c>
      <c r="BY18" s="190">
        <v>1.0485106125899099E-2</v>
      </c>
      <c r="BZ18" s="190">
        <v>0</v>
      </c>
      <c r="CA18" s="190">
        <v>3.6451923680232499E-2</v>
      </c>
      <c r="CB18" s="190">
        <v>9.2449274696136605E-3</v>
      </c>
      <c r="CC18" s="190">
        <v>1.6694644642706799E-2</v>
      </c>
      <c r="CD18" s="190">
        <v>0.59403930798881999</v>
      </c>
      <c r="CE18" s="190">
        <v>0.17005594225879653</v>
      </c>
      <c r="CF18" s="190">
        <v>0.39930991340627098</v>
      </c>
      <c r="CG18" s="190">
        <v>9.0469855033795801E-2</v>
      </c>
      <c r="CH18" s="190">
        <v>0</v>
      </c>
      <c r="CI18" s="190">
        <v>0</v>
      </c>
      <c r="CJ18" s="190">
        <v>0</v>
      </c>
      <c r="CK18" s="190">
        <v>0</v>
      </c>
      <c r="CL18" s="190">
        <v>0</v>
      </c>
      <c r="CM18" s="190">
        <v>0</v>
      </c>
    </row>
    <row r="19" spans="1:91" ht="15" customHeight="1" x14ac:dyDescent="0.4">
      <c r="A19" s="190" t="s">
        <v>193</v>
      </c>
      <c r="B19" s="190">
        <v>0</v>
      </c>
      <c r="C19" s="190">
        <v>0</v>
      </c>
      <c r="D19" s="190">
        <v>0</v>
      </c>
      <c r="E19" s="190">
        <v>0</v>
      </c>
      <c r="F19" s="190">
        <v>0</v>
      </c>
      <c r="G19" s="190">
        <v>0</v>
      </c>
      <c r="H19" s="190">
        <v>0</v>
      </c>
      <c r="I19" s="190">
        <v>0</v>
      </c>
      <c r="J19" s="190">
        <v>0</v>
      </c>
      <c r="K19" s="190">
        <v>0</v>
      </c>
      <c r="L19" s="190">
        <v>0</v>
      </c>
      <c r="M19" s="190">
        <v>0</v>
      </c>
      <c r="N19" s="190">
        <v>0</v>
      </c>
      <c r="O19" s="190">
        <v>0</v>
      </c>
      <c r="P19" s="190">
        <v>0</v>
      </c>
      <c r="Q19" s="190">
        <v>0</v>
      </c>
      <c r="R19" s="190">
        <v>0</v>
      </c>
      <c r="S19" s="190">
        <v>5.00738006702322E-3</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8.5074473935240993E-2</v>
      </c>
      <c r="AN19" s="190">
        <v>0</v>
      </c>
      <c r="AO19" s="190">
        <v>0</v>
      </c>
      <c r="AP19" s="190">
        <v>0</v>
      </c>
      <c r="AQ19" s="190">
        <v>0</v>
      </c>
      <c r="AR19" s="190">
        <v>0</v>
      </c>
      <c r="AS19" s="190">
        <v>0</v>
      </c>
      <c r="AT19" s="190">
        <v>0</v>
      </c>
      <c r="AU19" s="190">
        <v>0</v>
      </c>
      <c r="AV19" s="190">
        <v>1.9952600084471701E-4</v>
      </c>
      <c r="AW19" s="190">
        <v>0</v>
      </c>
      <c r="AX19" s="190">
        <v>0</v>
      </c>
      <c r="AY19" s="190">
        <v>0</v>
      </c>
      <c r="AZ19" s="190">
        <v>0</v>
      </c>
      <c r="BA19" s="190">
        <v>0</v>
      </c>
      <c r="BB19" s="190">
        <v>0</v>
      </c>
      <c r="BC19" s="190">
        <v>0</v>
      </c>
      <c r="BD19" s="190">
        <v>0</v>
      </c>
      <c r="BE19" s="190">
        <v>0</v>
      </c>
      <c r="BF19" s="190">
        <v>0</v>
      </c>
      <c r="BG19" s="190">
        <v>0</v>
      </c>
      <c r="BH19" s="190">
        <v>0</v>
      </c>
      <c r="BI19" s="190">
        <v>0</v>
      </c>
      <c r="BJ19" s="190">
        <v>0</v>
      </c>
      <c r="BK19" s="190">
        <v>0</v>
      </c>
      <c r="BL19" s="190">
        <v>0</v>
      </c>
      <c r="BM19" s="190">
        <v>0</v>
      </c>
      <c r="BN19" s="190">
        <v>0</v>
      </c>
      <c r="BO19" s="190">
        <v>0</v>
      </c>
      <c r="BP19" s="190">
        <v>0</v>
      </c>
      <c r="BQ19" s="190">
        <v>0</v>
      </c>
      <c r="BR19" s="190">
        <v>0</v>
      </c>
      <c r="BS19" s="190">
        <v>0</v>
      </c>
      <c r="BT19" s="190">
        <v>0</v>
      </c>
      <c r="BU19" s="190">
        <v>0</v>
      </c>
      <c r="BV19" s="190">
        <v>0</v>
      </c>
      <c r="BW19" s="190">
        <v>0</v>
      </c>
      <c r="BX19" s="190">
        <v>0</v>
      </c>
      <c r="BY19" s="190">
        <v>0</v>
      </c>
      <c r="BZ19" s="190">
        <v>0</v>
      </c>
      <c r="CA19" s="190">
        <v>0</v>
      </c>
      <c r="CB19" s="190">
        <v>4.79517749733265E-4</v>
      </c>
      <c r="CC19" s="190">
        <v>9.9727011887756293E-4</v>
      </c>
      <c r="CD19" s="190">
        <v>2.2265143223812798E-3</v>
      </c>
      <c r="CE19" s="190">
        <v>4.3590116567458303E-4</v>
      </c>
      <c r="CF19" s="190">
        <v>3.9930991340627097E-3</v>
      </c>
      <c r="CG19" s="190">
        <v>1.8847886465374101E-3</v>
      </c>
      <c r="CH19" s="190">
        <v>0</v>
      </c>
      <c r="CI19" s="190">
        <v>0</v>
      </c>
      <c r="CJ19" s="190">
        <v>0</v>
      </c>
      <c r="CK19" s="190">
        <v>0</v>
      </c>
      <c r="CL19" s="190">
        <v>0</v>
      </c>
      <c r="CM19" s="190">
        <v>0</v>
      </c>
    </row>
    <row r="20" spans="1:91" ht="15" customHeight="1" x14ac:dyDescent="0.4">
      <c r="A20" s="190" t="s">
        <v>194</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1.0157653059234164E-2</v>
      </c>
      <c r="S20" s="190">
        <v>2.3952110716633782E-2</v>
      </c>
      <c r="T20" s="190">
        <v>0</v>
      </c>
      <c r="U20" s="190">
        <v>0</v>
      </c>
      <c r="V20" s="190">
        <v>0</v>
      </c>
      <c r="W20" s="190">
        <v>1.9637544597612099E-3</v>
      </c>
      <c r="X20" s="190">
        <v>0</v>
      </c>
      <c r="Y20" s="190">
        <v>1.52756506072674E-2</v>
      </c>
      <c r="Z20" s="190">
        <v>8.0106577683633495E-3</v>
      </c>
      <c r="AA20" s="190">
        <v>1.18495902622535E-2</v>
      </c>
      <c r="AB20" s="190">
        <v>2.7414102093882901E-2</v>
      </c>
      <c r="AC20" s="190">
        <v>0</v>
      </c>
      <c r="AD20" s="190">
        <v>3.2499184395006202E-2</v>
      </c>
      <c r="AE20" s="190">
        <v>7.1438813714782296E-3</v>
      </c>
      <c r="AF20" s="190">
        <v>7.6200329073332004E-3</v>
      </c>
      <c r="AG20" s="190">
        <v>1.8282943316632199E-3</v>
      </c>
      <c r="AH20" s="190">
        <v>0</v>
      </c>
      <c r="AI20" s="190">
        <v>0</v>
      </c>
      <c r="AJ20" s="190">
        <v>0.14893219645164266</v>
      </c>
      <c r="AK20" s="190">
        <v>0.15226225398008655</v>
      </c>
      <c r="AL20" s="190">
        <v>7.3455817165446455E-2</v>
      </c>
      <c r="AM20" s="190">
        <v>0.14201272791779732</v>
      </c>
      <c r="AN20" s="190">
        <v>5.6517038965408002E-2</v>
      </c>
      <c r="AO20" s="190">
        <v>2.1988076590059885E-2</v>
      </c>
      <c r="AP20" s="190">
        <v>7.5049550217976047E-2</v>
      </c>
      <c r="AQ20" s="190">
        <v>9.248818276490104E-3</v>
      </c>
      <c r="AR20" s="190">
        <v>7.0386437310737002E-2</v>
      </c>
      <c r="AS20" s="190">
        <v>0.20354322618932585</v>
      </c>
      <c r="AT20" s="190">
        <v>3.7571818389774872E-2</v>
      </c>
      <c r="AU20" s="190">
        <v>1.3256197827409815E-2</v>
      </c>
      <c r="AV20" s="190">
        <v>5.2100899729533301E-2</v>
      </c>
      <c r="AW20" s="190">
        <v>2.5104908469261627E-3</v>
      </c>
      <c r="AX20" s="190">
        <v>3.6218734541622289E-3</v>
      </c>
      <c r="AY20" s="190">
        <v>1.1431004100276839E-3</v>
      </c>
      <c r="AZ20" s="190">
        <v>1.5267695424462963E-2</v>
      </c>
      <c r="BA20" s="190">
        <v>0</v>
      </c>
      <c r="BB20" s="190">
        <v>1.8270783696691485E-2</v>
      </c>
      <c r="BC20" s="190">
        <v>0</v>
      </c>
      <c r="BD20" s="190">
        <v>0</v>
      </c>
      <c r="BE20" s="190">
        <v>0</v>
      </c>
      <c r="BF20" s="190">
        <v>0</v>
      </c>
      <c r="BG20" s="190">
        <v>0</v>
      </c>
      <c r="BH20" s="190">
        <v>0</v>
      </c>
      <c r="BI20" s="190">
        <v>0</v>
      </c>
      <c r="BJ20" s="190">
        <v>0</v>
      </c>
      <c r="BK20" s="190">
        <v>0</v>
      </c>
      <c r="BL20" s="190">
        <v>0</v>
      </c>
      <c r="BM20" s="190">
        <v>0</v>
      </c>
      <c r="BN20" s="190">
        <v>0</v>
      </c>
      <c r="BO20" s="190">
        <v>2.6673676362662621E-5</v>
      </c>
      <c r="BP20" s="190">
        <v>0</v>
      </c>
      <c r="BQ20" s="190">
        <v>0</v>
      </c>
      <c r="BR20" s="190">
        <v>0.20489495945700997</v>
      </c>
      <c r="BS20" s="190">
        <v>0.17306390228234661</v>
      </c>
      <c r="BT20" s="190">
        <v>0.13802138686816387</v>
      </c>
      <c r="BU20" s="190">
        <v>0.30250988001620444</v>
      </c>
      <c r="BV20" s="190">
        <v>4.2904703732169001E-2</v>
      </c>
      <c r="BW20" s="190">
        <v>0.19748424462562991</v>
      </c>
      <c r="BX20" s="190">
        <v>0.17447980804777158</v>
      </c>
      <c r="BY20" s="190">
        <v>0.21020226419908639</v>
      </c>
      <c r="BZ20" s="190">
        <v>0</v>
      </c>
      <c r="CA20" s="190">
        <v>3.9224413314284397E-2</v>
      </c>
      <c r="CB20" s="190">
        <v>5.1175063727965001E-2</v>
      </c>
      <c r="CC20" s="190">
        <v>2.9209354664250099E-2</v>
      </c>
      <c r="CD20" s="190">
        <v>0</v>
      </c>
      <c r="CE20" s="190">
        <v>0.11532883505384639</v>
      </c>
      <c r="CF20" s="190">
        <v>6.9442232416141364E-2</v>
      </c>
      <c r="CG20" s="190">
        <v>4.2753174676840471E-2</v>
      </c>
      <c r="CH20" s="190">
        <v>0</v>
      </c>
      <c r="CI20" s="190">
        <v>0</v>
      </c>
      <c r="CJ20" s="190">
        <v>0</v>
      </c>
      <c r="CK20" s="190">
        <v>0</v>
      </c>
      <c r="CL20" s="190">
        <v>0</v>
      </c>
      <c r="CM20" s="190">
        <v>0</v>
      </c>
    </row>
    <row r="21" spans="1:91" s="190" customFormat="1" ht="15" customHeight="1" x14ac:dyDescent="0.4">
      <c r="A21" s="190" t="s">
        <v>195</v>
      </c>
      <c r="B21" s="190">
        <v>0</v>
      </c>
      <c r="C21" s="190">
        <v>0</v>
      </c>
      <c r="D21" s="190">
        <v>0</v>
      </c>
      <c r="E21" s="190">
        <v>0</v>
      </c>
      <c r="F21" s="190">
        <v>0</v>
      </c>
      <c r="G21" s="190">
        <v>0</v>
      </c>
      <c r="H21" s="190">
        <v>0</v>
      </c>
      <c r="I21" s="190">
        <v>0</v>
      </c>
      <c r="J21" s="190">
        <v>0</v>
      </c>
      <c r="K21" s="190">
        <v>0</v>
      </c>
      <c r="L21" s="190">
        <v>0</v>
      </c>
      <c r="M21" s="190">
        <v>0</v>
      </c>
      <c r="N21" s="190">
        <v>0</v>
      </c>
      <c r="O21" s="190">
        <v>0</v>
      </c>
      <c r="P21" s="190">
        <v>0</v>
      </c>
      <c r="Q21" s="190">
        <v>0</v>
      </c>
      <c r="R21" s="244">
        <v>1.5093960938259666E-3</v>
      </c>
      <c r="S21" s="190">
        <v>6.7533848213920519E-3</v>
      </c>
      <c r="T21" s="190">
        <v>0</v>
      </c>
      <c r="U21" s="190">
        <v>0</v>
      </c>
      <c r="V21" s="190">
        <v>0</v>
      </c>
      <c r="W21" s="190">
        <v>0</v>
      </c>
      <c r="X21" s="190">
        <v>0</v>
      </c>
      <c r="Y21" s="190">
        <v>0</v>
      </c>
      <c r="Z21" s="190">
        <v>0</v>
      </c>
      <c r="AA21" s="190">
        <v>0</v>
      </c>
      <c r="AB21" s="190">
        <v>0</v>
      </c>
      <c r="AC21" s="190">
        <v>0</v>
      </c>
      <c r="AD21" s="190">
        <v>0</v>
      </c>
      <c r="AE21" s="190">
        <v>0</v>
      </c>
      <c r="AF21" s="190">
        <v>0</v>
      </c>
      <c r="AG21" s="190">
        <v>0</v>
      </c>
      <c r="AH21" s="190">
        <v>0</v>
      </c>
      <c r="AI21" s="190">
        <v>0</v>
      </c>
      <c r="AJ21" s="190">
        <v>4.5474487242042949E-2</v>
      </c>
      <c r="AK21" s="190">
        <v>4.6491276306986615E-2</v>
      </c>
      <c r="AL21" s="190">
        <v>2.2428762717080601E-2</v>
      </c>
      <c r="AM21" s="190">
        <v>1.2894259053981762E-2</v>
      </c>
      <c r="AN21" s="190">
        <v>2.62355028594106E-3</v>
      </c>
      <c r="AO21" s="244">
        <v>2.8243533954182328E-3</v>
      </c>
      <c r="AP21" s="190">
        <v>2.291539417835587E-2</v>
      </c>
      <c r="AQ21" s="190">
        <v>3.1410793147650128E-2</v>
      </c>
      <c r="AR21" s="190">
        <v>1.27983069667991E-2</v>
      </c>
      <c r="AS21" s="190">
        <v>6.2149246524229089E-2</v>
      </c>
      <c r="AT21" s="190">
        <v>1.736588178500139E-2</v>
      </c>
      <c r="AU21" s="244">
        <v>1.0259812368800877E-2</v>
      </c>
      <c r="AV21" s="190">
        <v>1.5908325101346439E-2</v>
      </c>
      <c r="AW21" s="244">
        <v>7.6654740029345303E-4</v>
      </c>
      <c r="AX21" s="244">
        <v>5.381993823329787E-4</v>
      </c>
      <c r="AY21" s="244">
        <v>3.4902938658795061E-4</v>
      </c>
      <c r="AZ21" s="190">
        <v>4.6617790635472885E-3</v>
      </c>
      <c r="BA21" s="190">
        <v>0</v>
      </c>
      <c r="BB21" s="244">
        <v>2.7149823696286891E-3</v>
      </c>
      <c r="BC21" s="190">
        <v>0</v>
      </c>
      <c r="BD21" s="190">
        <v>0</v>
      </c>
      <c r="BE21" s="190">
        <v>0</v>
      </c>
      <c r="BF21" s="190">
        <v>0</v>
      </c>
      <c r="BG21" s="190">
        <v>0</v>
      </c>
      <c r="BH21" s="190">
        <v>0</v>
      </c>
      <c r="BI21" s="190">
        <v>0</v>
      </c>
      <c r="BJ21" s="190">
        <v>0</v>
      </c>
      <c r="BK21" s="190">
        <v>0</v>
      </c>
      <c r="BL21" s="190">
        <v>0</v>
      </c>
      <c r="BM21" s="190">
        <v>0</v>
      </c>
      <c r="BN21" s="190">
        <v>0</v>
      </c>
      <c r="BO21" s="190">
        <v>6.8103363171544634E-6</v>
      </c>
      <c r="BP21" s="190">
        <v>0</v>
      </c>
      <c r="BQ21" s="190">
        <v>0</v>
      </c>
      <c r="BR21" s="190">
        <v>5.4238815649728767E-2</v>
      </c>
      <c r="BS21" s="190">
        <v>4.3548220608023054E-2</v>
      </c>
      <c r="BT21" s="190">
        <v>3.129307436741495E-2</v>
      </c>
      <c r="BU21" s="190">
        <v>1.0880412963726906E-2</v>
      </c>
      <c r="BV21" s="190">
        <v>1.7917253733968245E-2</v>
      </c>
      <c r="BW21" s="190">
        <v>5.1816229277227836E-2</v>
      </c>
      <c r="BX21" s="190">
        <v>4.5590180410744204E-2</v>
      </c>
      <c r="BY21" s="190">
        <v>1.1233854840965398E-2</v>
      </c>
      <c r="BZ21" s="190">
        <v>0</v>
      </c>
      <c r="CA21" s="190">
        <v>1.197664804376636E-2</v>
      </c>
      <c r="CB21" s="190">
        <v>2.09521086620784E-2</v>
      </c>
      <c r="CC21" s="190">
        <v>1.28398314817185E-2</v>
      </c>
      <c r="CD21" s="190">
        <v>0</v>
      </c>
      <c r="CE21" s="190">
        <v>3.521415226373547E-2</v>
      </c>
      <c r="CF21" s="190">
        <v>1.620894500645333E-2</v>
      </c>
      <c r="CG21" s="190">
        <v>9.9793149785156847E-3</v>
      </c>
      <c r="CH21" s="190">
        <v>0</v>
      </c>
      <c r="CI21" s="190">
        <v>0</v>
      </c>
      <c r="CJ21" s="190">
        <v>0</v>
      </c>
      <c r="CK21" s="190">
        <v>0</v>
      </c>
      <c r="CL21" s="190">
        <v>0</v>
      </c>
      <c r="CM21" s="190">
        <v>0</v>
      </c>
    </row>
    <row r="22" spans="1:91" s="1" customFormat="1" ht="15" customHeight="1" x14ac:dyDescent="0.4">
      <c r="A22" s="190" t="s">
        <v>196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3.0968050497754865E-3</v>
      </c>
      <c r="S22" s="190">
        <v>1.3855817106927935E-2</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8.3299315072526497E-2</v>
      </c>
      <c r="AK22" s="190">
        <v>9.5385445759994025E-2</v>
      </c>
      <c r="AL22" s="190">
        <v>4.6016751949061172E-2</v>
      </c>
      <c r="AM22" s="190">
        <v>2.6454955538057767E-2</v>
      </c>
      <c r="AN22" s="190">
        <v>6.2561693418689999E-4</v>
      </c>
      <c r="AO22" s="190">
        <v>5.7946829815303559E-3</v>
      </c>
      <c r="AP22" s="190">
        <v>4.0515166330031903E-2</v>
      </c>
      <c r="AQ22" s="190">
        <v>1.9719904864386E-2</v>
      </c>
      <c r="AR22" s="190">
        <v>1.4230274012434999E-3</v>
      </c>
      <c r="AS22" s="190">
        <v>0.127510665532546</v>
      </c>
      <c r="AT22" s="190">
        <v>3.5629316006297505E-2</v>
      </c>
      <c r="AU22" s="190">
        <v>2.1049901270723006E-2</v>
      </c>
      <c r="AV22" s="190">
        <v>1.2638869087334499E-2</v>
      </c>
      <c r="AW22" s="190">
        <v>1.5727136633194056E-3</v>
      </c>
      <c r="AX22" s="190">
        <v>1.1042155016912261E-3</v>
      </c>
      <c r="AY22" s="190">
        <v>6.6609829343458702E-4</v>
      </c>
      <c r="AZ22" s="190">
        <v>9.5645013286985679E-3</v>
      </c>
      <c r="BA22" s="190">
        <v>0</v>
      </c>
      <c r="BB22" s="190">
        <v>5.5702881084088449E-3</v>
      </c>
      <c r="BC22" s="190">
        <v>0</v>
      </c>
      <c r="BD22" s="190">
        <v>0</v>
      </c>
      <c r="BE22" s="190">
        <v>0</v>
      </c>
      <c r="BF22" s="190">
        <v>0</v>
      </c>
      <c r="BG22" s="190">
        <v>0</v>
      </c>
      <c r="BH22" s="190">
        <v>0</v>
      </c>
      <c r="BI22" s="190">
        <v>0</v>
      </c>
      <c r="BJ22" s="190">
        <v>0</v>
      </c>
      <c r="BK22" s="190">
        <v>0</v>
      </c>
      <c r="BL22" s="190">
        <v>0</v>
      </c>
      <c r="BM22" s="190">
        <v>0</v>
      </c>
      <c r="BN22" s="190">
        <v>0</v>
      </c>
      <c r="BO22" s="190">
        <v>1.3972663626135662E-5</v>
      </c>
      <c r="BP22" s="190">
        <v>0</v>
      </c>
      <c r="BQ22" s="190">
        <v>0</v>
      </c>
      <c r="BR22" s="190">
        <v>0.11128095460494039</v>
      </c>
      <c r="BS22" s="190">
        <v>8.934722306443979E-2</v>
      </c>
      <c r="BT22" s="190">
        <v>6.420352558245325E-2</v>
      </c>
      <c r="BU22" s="190">
        <v>2.2323178089261132E-2</v>
      </c>
      <c r="BV22" s="190">
        <v>6.6760557462963194E-2</v>
      </c>
      <c r="BW22" s="190">
        <v>0.20631057092462901</v>
      </c>
      <c r="BX22" s="190">
        <v>9.3536680990275997E-2</v>
      </c>
      <c r="BY22" s="190">
        <v>2.3048329422772192E-2</v>
      </c>
      <c r="BZ22" s="190">
        <v>0</v>
      </c>
      <c r="CA22" s="190">
        <v>2.457230695973682E-2</v>
      </c>
      <c r="CB22" s="190">
        <v>5.80986320905768E-2</v>
      </c>
      <c r="CC22" s="190">
        <v>7.0980628305231802E-2</v>
      </c>
      <c r="CD22" s="190">
        <v>0</v>
      </c>
      <c r="CE22" s="190">
        <v>7.2248341571813104E-2</v>
      </c>
      <c r="CF22" s="190">
        <v>3.3255646382575992E-2</v>
      </c>
      <c r="CG22" s="190">
        <v>2.0474409033637501E-2</v>
      </c>
      <c r="CH22" s="190">
        <v>0</v>
      </c>
      <c r="CI22" s="190">
        <v>0</v>
      </c>
      <c r="CJ22" s="190">
        <v>0</v>
      </c>
      <c r="CK22" s="190">
        <v>0</v>
      </c>
      <c r="CL22" s="190">
        <v>0</v>
      </c>
      <c r="CM22" s="190">
        <v>0</v>
      </c>
    </row>
    <row r="23" spans="1:91" s="190" customFormat="1" ht="15" customHeight="1" x14ac:dyDescent="0.4">
      <c r="A23" s="190" t="s">
        <v>197</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9.4661904743690642E-3</v>
      </c>
      <c r="S23" s="190">
        <v>4.2353910499374238E-2</v>
      </c>
      <c r="T23" s="190">
        <v>0</v>
      </c>
      <c r="U23" s="190">
        <v>0</v>
      </c>
      <c r="V23" s="190">
        <v>0</v>
      </c>
      <c r="W23" s="190">
        <v>8.4668481902025697E-3</v>
      </c>
      <c r="X23" s="190">
        <v>0</v>
      </c>
      <c r="Y23" s="190">
        <v>0</v>
      </c>
      <c r="Z23" s="190">
        <v>2.72264284931415E-2</v>
      </c>
      <c r="AA23" s="190">
        <v>0</v>
      </c>
      <c r="AB23" s="190">
        <v>0</v>
      </c>
      <c r="AC23" s="190">
        <v>0</v>
      </c>
      <c r="AD23" s="190">
        <v>0</v>
      </c>
      <c r="AE23" s="190">
        <v>2.4280450471141201E-2</v>
      </c>
      <c r="AF23" s="190">
        <v>2.5898784014665398E-2</v>
      </c>
      <c r="AG23" s="190">
        <v>6.2139641883138001E-3</v>
      </c>
      <c r="AH23" s="190">
        <v>0</v>
      </c>
      <c r="AI23" s="190">
        <v>0</v>
      </c>
      <c r="AJ23" s="190">
        <v>0.205193634539164</v>
      </c>
      <c r="AK23" s="190">
        <v>0.29157043583100722</v>
      </c>
      <c r="AL23" s="190">
        <v>0.14066217664983063</v>
      </c>
      <c r="AM23" s="190">
        <v>8.0866455617661565E-2</v>
      </c>
      <c r="AN23" s="190">
        <v>7.2277080725924002E-3</v>
      </c>
      <c r="AO23" s="190">
        <v>1.7712956405094984E-2</v>
      </c>
      <c r="AP23" s="190">
        <v>4.0214090009150001E-2</v>
      </c>
      <c r="AQ23" s="190">
        <v>9.5718607264651007E-2</v>
      </c>
      <c r="AR23" s="190">
        <v>1.2083017497162001E-2</v>
      </c>
      <c r="AS23" s="190">
        <v>0.38976952957763861</v>
      </c>
      <c r="AT23" s="190">
        <v>0.10891027570868582</v>
      </c>
      <c r="AU23" s="190">
        <v>6.434450076532057E-2</v>
      </c>
      <c r="AV23" s="190">
        <v>8.9769196537284199E-2</v>
      </c>
      <c r="AW23" s="190">
        <v>4.8074085579599404E-3</v>
      </c>
      <c r="AX23" s="190">
        <v>3.3753220159977288E-3</v>
      </c>
      <c r="AY23" s="190">
        <v>2.1389407744649199E-3</v>
      </c>
      <c r="AZ23" s="190">
        <v>2.9236387152100713E-2</v>
      </c>
      <c r="BA23" s="190">
        <v>0</v>
      </c>
      <c r="BB23" s="190">
        <v>1.7027035084153548E-2</v>
      </c>
      <c r="BC23" s="190">
        <v>0</v>
      </c>
      <c r="BD23" s="190">
        <v>0</v>
      </c>
      <c r="BE23" s="190">
        <v>0</v>
      </c>
      <c r="BF23" s="190">
        <v>0</v>
      </c>
      <c r="BG23" s="190">
        <v>0</v>
      </c>
      <c r="BH23" s="190">
        <v>0</v>
      </c>
      <c r="BI23" s="190">
        <v>0</v>
      </c>
      <c r="BJ23" s="190">
        <v>0</v>
      </c>
      <c r="BK23" s="190">
        <v>0</v>
      </c>
      <c r="BL23" s="190">
        <v>0</v>
      </c>
      <c r="BM23" s="190">
        <v>0</v>
      </c>
      <c r="BN23" s="190">
        <v>0</v>
      </c>
      <c r="BO23" s="190">
        <v>4.2711082290723381E-5</v>
      </c>
      <c r="BP23" s="190">
        <v>0</v>
      </c>
      <c r="BQ23" s="190">
        <v>0</v>
      </c>
      <c r="BR23" s="190">
        <v>0.340159194889053</v>
      </c>
      <c r="BS23" s="190">
        <v>0.27311303691694949</v>
      </c>
      <c r="BT23" s="190">
        <v>0.19625478275863423</v>
      </c>
      <c r="BU23" s="190">
        <v>6.8236602688802772E-2</v>
      </c>
      <c r="BV23" s="190">
        <v>1.2368209588661999E-2</v>
      </c>
      <c r="BW23" s="190">
        <v>0.224965923794402</v>
      </c>
      <c r="BX23" s="190">
        <v>0.28591920523329079</v>
      </c>
      <c r="BY23" s="190">
        <v>7.0453216436011712E-2</v>
      </c>
      <c r="BZ23" s="190">
        <v>0</v>
      </c>
      <c r="CA23" s="190">
        <v>7.5111650341824696E-2</v>
      </c>
      <c r="CB23" s="190">
        <v>8.3608304509493095E-2</v>
      </c>
      <c r="CC23" s="190">
        <v>5.9014749048546998E-2</v>
      </c>
      <c r="CD23" s="190">
        <v>0</v>
      </c>
      <c r="CE23" s="190">
        <v>0.22084585622386613</v>
      </c>
      <c r="CF23" s="190">
        <v>0.10165453683581073</v>
      </c>
      <c r="CG23" s="190">
        <v>6.258535899010062E-2</v>
      </c>
      <c r="CH23" s="190">
        <v>0</v>
      </c>
      <c r="CI23" s="190">
        <v>0</v>
      </c>
      <c r="CJ23" s="190">
        <v>0</v>
      </c>
      <c r="CK23" s="190">
        <v>0</v>
      </c>
      <c r="CL23" s="190">
        <v>0</v>
      </c>
      <c r="CM23" s="190">
        <v>0</v>
      </c>
    </row>
    <row r="24" spans="1:91" ht="15" customHeight="1" x14ac:dyDescent="0.4">
      <c r="A24" s="190" t="s">
        <v>198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9.2707093644483151E-4</v>
      </c>
      <c r="S24" s="190">
        <v>2.186066563054491E-3</v>
      </c>
      <c r="T24" s="190">
        <v>0</v>
      </c>
      <c r="U24" s="190">
        <v>0</v>
      </c>
      <c r="V24" s="190">
        <v>0</v>
      </c>
      <c r="W24" s="190">
        <v>0</v>
      </c>
      <c r="X24" s="190">
        <v>4.9921008165693696E-3</v>
      </c>
      <c r="Y24" s="190">
        <v>0</v>
      </c>
      <c r="Z24" s="190">
        <v>4.5977323675948201E-2</v>
      </c>
      <c r="AA24" s="190">
        <v>1.2570695347128701E-3</v>
      </c>
      <c r="AB24" s="190">
        <v>0</v>
      </c>
      <c r="AC24" s="190">
        <v>0</v>
      </c>
      <c r="AD24" s="190">
        <v>5.8420637727374701E-3</v>
      </c>
      <c r="AE24" s="190">
        <v>4.10024459554705E-2</v>
      </c>
      <c r="AF24" s="190">
        <v>4.3735327974914098E-2</v>
      </c>
      <c r="AG24" s="190">
        <v>1.0493533597195801E-2</v>
      </c>
      <c r="AH24" s="190">
        <v>0</v>
      </c>
      <c r="AI24" s="190">
        <v>0</v>
      </c>
      <c r="AJ24" s="190">
        <v>3.3592776798543202E-2</v>
      </c>
      <c r="AK24" s="190">
        <v>1.3896705228989406E-2</v>
      </c>
      <c r="AL24" s="190">
        <v>6.7041818429684676E-3</v>
      </c>
      <c r="AM24" s="190">
        <v>1.2961249206887522E-2</v>
      </c>
      <c r="AN24" s="190">
        <v>6.3525974474182099E-3</v>
      </c>
      <c r="AO24" s="190">
        <v>2.0068126599811615E-3</v>
      </c>
      <c r="AP24" s="190">
        <v>6.8496390253348716E-3</v>
      </c>
      <c r="AQ24" s="190">
        <v>0.203317982168808</v>
      </c>
      <c r="AR24" s="190">
        <v>2.8249409444379599E-2</v>
      </c>
      <c r="AS24" s="190">
        <v>1.8577028395235173E-2</v>
      </c>
      <c r="AT24" s="190">
        <v>3.4291130692713262E-3</v>
      </c>
      <c r="AU24" s="190">
        <v>1.2098696088445966E-3</v>
      </c>
      <c r="AV24" s="190">
        <v>3.4755156493356101E-2</v>
      </c>
      <c r="AW24" s="190">
        <v>2.2912803644934595E-4</v>
      </c>
      <c r="AX24" s="190">
        <v>3.3056195119623532E-4</v>
      </c>
      <c r="AY24" s="190">
        <v>1.0432874221978344E-4</v>
      </c>
      <c r="AZ24" s="190">
        <v>1.393455418488029E-3</v>
      </c>
      <c r="BA24" s="190">
        <v>0</v>
      </c>
      <c r="BB24" s="190">
        <v>1.6675419462052195E-3</v>
      </c>
      <c r="BC24" s="190">
        <v>0</v>
      </c>
      <c r="BD24" s="190">
        <v>0</v>
      </c>
      <c r="BE24" s="190">
        <v>0</v>
      </c>
      <c r="BF24" s="190">
        <v>0</v>
      </c>
      <c r="BG24" s="190">
        <v>0</v>
      </c>
      <c r="BH24" s="190">
        <v>0</v>
      </c>
      <c r="BI24" s="190">
        <v>0</v>
      </c>
      <c r="BJ24" s="190">
        <v>0</v>
      </c>
      <c r="BK24" s="190">
        <v>0</v>
      </c>
      <c r="BL24" s="190">
        <v>0</v>
      </c>
      <c r="BM24" s="190">
        <v>0</v>
      </c>
      <c r="BN24" s="190">
        <v>0</v>
      </c>
      <c r="BO24" s="190">
        <v>2.4344590211692466E-6</v>
      </c>
      <c r="BP24" s="190">
        <v>0</v>
      </c>
      <c r="BQ24" s="190">
        <v>0</v>
      </c>
      <c r="BR24" s="190">
        <v>1.8700398687465848E-2</v>
      </c>
      <c r="BS24" s="190">
        <v>1.5795234688374803E-2</v>
      </c>
      <c r="BT24" s="190">
        <v>1.2596966605091972E-2</v>
      </c>
      <c r="BU24" s="190">
        <v>2.7609538947137528E-2</v>
      </c>
      <c r="BV24" s="190">
        <v>2.5741200477678399E-2</v>
      </c>
      <c r="BW24" s="190">
        <v>1.80240359195716E-2</v>
      </c>
      <c r="BX24" s="190">
        <v>1.5924461890388448E-2</v>
      </c>
      <c r="BY24" s="190">
        <v>1.9184786955950953E-2</v>
      </c>
      <c r="BZ24" s="190">
        <v>0</v>
      </c>
      <c r="CA24" s="190">
        <v>3.5799424700487261E-3</v>
      </c>
      <c r="CB24" s="190">
        <v>5.8539971219773397E-2</v>
      </c>
      <c r="CC24" s="190">
        <v>3.8385491079667801E-2</v>
      </c>
      <c r="CD24" s="190">
        <v>0</v>
      </c>
      <c r="CE24" s="190">
        <v>1.0525857743808584E-2</v>
      </c>
      <c r="CF24" s="190">
        <v>6.3378690982487228E-3</v>
      </c>
      <c r="CG24" s="190">
        <v>3.9020062461787072E-3</v>
      </c>
      <c r="CH24" s="190">
        <v>0</v>
      </c>
      <c r="CI24" s="190">
        <v>0</v>
      </c>
      <c r="CJ24" s="190">
        <v>0</v>
      </c>
      <c r="CK24" s="190">
        <v>0</v>
      </c>
      <c r="CL24" s="190">
        <v>0</v>
      </c>
      <c r="CM24" s="190">
        <v>0</v>
      </c>
    </row>
    <row r="25" spans="1:91" ht="15" customHeight="1" x14ac:dyDescent="0.4">
      <c r="A25" s="190" t="s">
        <v>199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244">
        <v>1.1256034978854098E-4</v>
      </c>
      <c r="S25" s="244">
        <v>2.6542134730494804E-4</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1.6503674647691219E-3</v>
      </c>
      <c r="AK25" s="190">
        <v>1.687268945655679E-3</v>
      </c>
      <c r="AL25" s="244">
        <v>8.1398847016430275E-4</v>
      </c>
      <c r="AM25" s="190">
        <v>1.5736905204022939E-3</v>
      </c>
      <c r="AN25" s="244">
        <v>5.1413090774874001E-4</v>
      </c>
      <c r="AO25" s="244">
        <v>2.436572284681843E-4</v>
      </c>
      <c r="AP25" s="244">
        <v>8.316491589884015E-4</v>
      </c>
      <c r="AQ25" s="190">
        <v>6.2346437731313543E-6</v>
      </c>
      <c r="AR25" s="244">
        <v>8.0160233279350001E-4</v>
      </c>
      <c r="AS25" s="190">
        <v>2.2555305446400036E-3</v>
      </c>
      <c r="AT25" s="244">
        <v>4.1634588181764992E-4</v>
      </c>
      <c r="AU25" s="244">
        <v>1.4689636037163925E-4</v>
      </c>
      <c r="AV25" s="244">
        <v>5.7734748998171847E-4</v>
      </c>
      <c r="AW25" s="244">
        <v>2.7819588464290842E-5</v>
      </c>
      <c r="AX25" s="244">
        <v>4.0135190728897432E-5</v>
      </c>
      <c r="AY25" s="244">
        <v>1.266707784227488E-5</v>
      </c>
      <c r="AZ25" s="244">
        <v>1.6918643779432517E-4</v>
      </c>
      <c r="BA25" s="190">
        <v>0</v>
      </c>
      <c r="BB25" s="244">
        <v>2.0246466302969207E-4</v>
      </c>
      <c r="BC25" s="190">
        <v>0</v>
      </c>
      <c r="BD25" s="190">
        <v>0</v>
      </c>
      <c r="BE25" s="190">
        <v>0</v>
      </c>
      <c r="BF25" s="190">
        <v>0</v>
      </c>
      <c r="BG25" s="190">
        <v>0</v>
      </c>
      <c r="BH25" s="190">
        <v>0</v>
      </c>
      <c r="BI25" s="190">
        <v>0</v>
      </c>
      <c r="BJ25" s="190">
        <v>0</v>
      </c>
      <c r="BK25" s="190">
        <v>0</v>
      </c>
      <c r="BL25" s="190">
        <v>0</v>
      </c>
      <c r="BM25" s="190">
        <v>0</v>
      </c>
      <c r="BN25" s="190">
        <v>0</v>
      </c>
      <c r="BO25" s="190">
        <v>2.9557992619153384E-7</v>
      </c>
      <c r="BP25" s="190">
        <v>0</v>
      </c>
      <c r="BQ25" s="190">
        <v>0</v>
      </c>
      <c r="BR25" s="190">
        <v>2.2705095529349378E-3</v>
      </c>
      <c r="BS25" s="190">
        <v>1.9177789655812005E-3</v>
      </c>
      <c r="BT25" s="190">
        <v>1.5294611357154759E-3</v>
      </c>
      <c r="BU25" s="190">
        <v>3.3522131254678611E-3</v>
      </c>
      <c r="BV25" s="244">
        <v>6.9706805441643242E-4</v>
      </c>
      <c r="BW25" s="190">
        <v>2.1883889440955811E-3</v>
      </c>
      <c r="BX25" s="190">
        <v>1.9334690907798517E-3</v>
      </c>
      <c r="BY25" s="190">
        <v>2.3293215712937871E-3</v>
      </c>
      <c r="BZ25" s="190">
        <v>0</v>
      </c>
      <c r="CA25" s="244">
        <v>4.3465883872578667E-4</v>
      </c>
      <c r="CB25" s="244">
        <v>1.8461433364730699E-5</v>
      </c>
      <c r="CC25" s="244">
        <v>1.5507550348546099E-5</v>
      </c>
      <c r="CD25" s="190">
        <v>0</v>
      </c>
      <c r="CE25" s="190">
        <v>1.2779973817440692E-3</v>
      </c>
      <c r="CF25" s="190">
        <v>7.6951259560418107E-4</v>
      </c>
      <c r="CG25" s="190">
        <v>4.7376222323531302E-4</v>
      </c>
      <c r="CH25" s="190">
        <v>0</v>
      </c>
      <c r="CI25" s="190">
        <v>0</v>
      </c>
      <c r="CJ25" s="190">
        <v>0</v>
      </c>
      <c r="CK25" s="190">
        <v>0</v>
      </c>
      <c r="CL25" s="190">
        <v>0</v>
      </c>
      <c r="CM25" s="190">
        <v>0</v>
      </c>
    </row>
    <row r="26" spans="1:91" ht="15" customHeight="1" x14ac:dyDescent="0.4">
      <c r="A26" s="190" t="s">
        <v>265</v>
      </c>
      <c r="B26" s="190">
        <v>0</v>
      </c>
      <c r="C26" s="190">
        <v>0</v>
      </c>
      <c r="D26" s="190">
        <v>0</v>
      </c>
      <c r="E26" s="190">
        <v>0</v>
      </c>
      <c r="F26" s="190">
        <v>0</v>
      </c>
      <c r="G26" s="190">
        <v>0</v>
      </c>
      <c r="H26" s="190">
        <v>0</v>
      </c>
      <c r="I26" s="190">
        <v>0</v>
      </c>
      <c r="J26" s="190">
        <v>0</v>
      </c>
      <c r="K26" s="190">
        <v>0</v>
      </c>
      <c r="L26" s="190">
        <v>0</v>
      </c>
      <c r="M26" s="190">
        <v>0</v>
      </c>
      <c r="N26" s="190">
        <v>0</v>
      </c>
      <c r="O26" s="190">
        <v>0</v>
      </c>
      <c r="P26" s="190">
        <v>0</v>
      </c>
      <c r="Q26" s="190">
        <v>0</v>
      </c>
      <c r="R26" s="190">
        <v>2.4238741312504884E-4</v>
      </c>
      <c r="S26" s="190">
        <v>9.1137950482279352E-4</v>
      </c>
      <c r="T26" s="190">
        <v>0</v>
      </c>
      <c r="U26" s="190">
        <v>0</v>
      </c>
      <c r="V26" s="190">
        <v>0</v>
      </c>
      <c r="W26" s="190">
        <v>0</v>
      </c>
      <c r="X26" s="190">
        <v>0</v>
      </c>
      <c r="Y26" s="190">
        <v>0</v>
      </c>
      <c r="Z26" s="190">
        <v>5.0387890482847498E-4</v>
      </c>
      <c r="AA26" s="190">
        <v>0</v>
      </c>
      <c r="AB26" s="190">
        <v>0</v>
      </c>
      <c r="AC26" s="190">
        <v>0</v>
      </c>
      <c r="AD26" s="190">
        <v>0</v>
      </c>
      <c r="AE26" s="190">
        <v>4.4935858305814502E-4</v>
      </c>
      <c r="AF26" s="190">
        <v>4.7930890301812502E-4</v>
      </c>
      <c r="AG26" s="190">
        <v>1.1500219916776399E-4</v>
      </c>
      <c r="AH26" s="190">
        <v>0</v>
      </c>
      <c r="AI26" s="190">
        <v>0</v>
      </c>
      <c r="AJ26" s="190">
        <v>6.160753397494223E-3</v>
      </c>
      <c r="AK26" s="190">
        <v>6.2985061909330972E-3</v>
      </c>
      <c r="AL26" s="190">
        <v>3.038585290843433E-3</v>
      </c>
      <c r="AM26" s="190">
        <v>1.5752406374553523E-3</v>
      </c>
      <c r="AN26" s="190">
        <v>9.3543564866563757E-4</v>
      </c>
      <c r="AO26" s="244">
        <v>3.8263509444487693E-4</v>
      </c>
      <c r="AP26" s="190">
        <v>3.1045121492601336E-3</v>
      </c>
      <c r="AQ26" s="190">
        <v>7.2066337730781354E-5</v>
      </c>
      <c r="AR26" s="190">
        <v>3.2389392842574901E-3</v>
      </c>
      <c r="AS26" s="190">
        <v>8.419802006735963E-3</v>
      </c>
      <c r="AT26" s="190">
        <v>1.4255605225414168E-3</v>
      </c>
      <c r="AU26" s="190">
        <v>5.4521734068313326E-4</v>
      </c>
      <c r="AV26" s="190">
        <v>1.8901689983429973E-3</v>
      </c>
      <c r="AW26" s="244">
        <v>1.0382099528417075E-4</v>
      </c>
      <c r="AX26" s="244">
        <v>6.9255107641116398E-5</v>
      </c>
      <c r="AY26" s="244">
        <v>4.7267292359539708E-5</v>
      </c>
      <c r="AZ26" s="190">
        <v>6.3156461249159069E-4</v>
      </c>
      <c r="BA26" s="190">
        <v>0</v>
      </c>
      <c r="BB26" s="190">
        <v>3.4967042005528342E-4</v>
      </c>
      <c r="BC26" s="190">
        <v>0</v>
      </c>
      <c r="BD26" s="190">
        <v>0</v>
      </c>
      <c r="BE26" s="190">
        <v>0</v>
      </c>
      <c r="BF26" s="190">
        <v>0</v>
      </c>
      <c r="BG26" s="190">
        <v>0</v>
      </c>
      <c r="BH26" s="190">
        <v>0</v>
      </c>
      <c r="BI26" s="190">
        <v>0</v>
      </c>
      <c r="BJ26" s="190">
        <v>0</v>
      </c>
      <c r="BK26" s="190">
        <v>0</v>
      </c>
      <c r="BL26" s="190">
        <v>0</v>
      </c>
      <c r="BM26" s="190">
        <v>0</v>
      </c>
      <c r="BN26" s="190">
        <v>0</v>
      </c>
      <c r="BO26" s="190">
        <v>3.7508440570570592E-10</v>
      </c>
      <c r="BP26" s="190">
        <v>0</v>
      </c>
      <c r="BQ26" s="190">
        <v>0</v>
      </c>
      <c r="BR26" s="190">
        <v>7.7252099972814348E-3</v>
      </c>
      <c r="BS26" s="190">
        <v>6.1904135209541467E-3</v>
      </c>
      <c r="BT26" s="190">
        <v>4.9589056265515342E-3</v>
      </c>
      <c r="BU26" s="190">
        <v>1.97271593702397E-3</v>
      </c>
      <c r="BV26" s="190">
        <v>2.60212695671291E-3</v>
      </c>
      <c r="BW26" s="190">
        <v>7.418656871250786E-3</v>
      </c>
      <c r="BX26" s="190">
        <v>6.4670513956841353E-3</v>
      </c>
      <c r="BY26" s="190">
        <v>1.4299201636408904E-3</v>
      </c>
      <c r="BZ26" s="190">
        <v>0</v>
      </c>
      <c r="CA26" s="190">
        <v>1.622561524140826E-3</v>
      </c>
      <c r="CB26" s="190">
        <v>7.3393236977020097E-4</v>
      </c>
      <c r="CC26" s="190">
        <v>1.6500922598150401E-3</v>
      </c>
      <c r="CD26" s="190">
        <v>0</v>
      </c>
      <c r="CE26" s="190">
        <v>4.77071250507668E-3</v>
      </c>
      <c r="CF26" s="190">
        <v>1.4898475526833237E-3</v>
      </c>
      <c r="CG26" s="190">
        <v>9.1724910974097604E-4</v>
      </c>
      <c r="CH26" s="190">
        <v>0</v>
      </c>
      <c r="CI26" s="190">
        <v>0</v>
      </c>
      <c r="CJ26" s="190">
        <v>0</v>
      </c>
      <c r="CK26" s="190">
        <v>0</v>
      </c>
      <c r="CL26" s="190">
        <v>0</v>
      </c>
      <c r="CM26" s="190">
        <v>0</v>
      </c>
    </row>
    <row r="27" spans="1:91" ht="15" customHeight="1" x14ac:dyDescent="0.4">
      <c r="A27" s="190" t="s">
        <v>274</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244">
        <v>7.5563272579209483E-5</v>
      </c>
      <c r="S27" s="190">
        <v>2.8411878759769174E-4</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1.9205893666928136E-3</v>
      </c>
      <c r="AK27" s="190">
        <v>1.9635332297629603E-3</v>
      </c>
      <c r="AL27" s="190">
        <v>9.4726638494517978E-4</v>
      </c>
      <c r="AM27" s="190">
        <v>4.910747473693206E-4</v>
      </c>
      <c r="AN27" s="190">
        <v>3.1161819085038302E-4</v>
      </c>
      <c r="AO27" s="190">
        <v>1.192849066176277E-4</v>
      </c>
      <c r="AP27" s="190">
        <v>9.6781881012520375E-4</v>
      </c>
      <c r="AQ27" s="190">
        <v>1.2848191244788077E-4</v>
      </c>
      <c r="AR27" s="190">
        <v>8.7559884298822003E-4</v>
      </c>
      <c r="AS27" s="190">
        <v>2.6248384183618131E-3</v>
      </c>
      <c r="AT27" s="190">
        <v>4.4441259120738295E-4</v>
      </c>
      <c r="AU27" s="190">
        <v>1.6996924880623593E-4</v>
      </c>
      <c r="AV27" s="190">
        <v>5.892523601003899E-4</v>
      </c>
      <c r="AW27" s="244">
        <v>3.2365765470071321E-5</v>
      </c>
      <c r="AX27" s="244">
        <v>2.158999309707707E-5</v>
      </c>
      <c r="AY27" s="244">
        <v>1.473538271066263E-5</v>
      </c>
      <c r="AZ27" s="190">
        <v>1.9688765332242855E-4</v>
      </c>
      <c r="BA27" s="190">
        <v>0</v>
      </c>
      <c r="BB27" s="190">
        <v>1.0900830584751815E-4</v>
      </c>
      <c r="BC27" s="190">
        <v>0</v>
      </c>
      <c r="BD27" s="190">
        <v>0</v>
      </c>
      <c r="BE27" s="190">
        <v>0</v>
      </c>
      <c r="BF27" s="190">
        <v>0</v>
      </c>
      <c r="BG27" s="190">
        <v>0</v>
      </c>
      <c r="BH27" s="190">
        <v>0</v>
      </c>
      <c r="BI27" s="190">
        <v>0</v>
      </c>
      <c r="BJ27" s="190">
        <v>0</v>
      </c>
      <c r="BK27" s="190">
        <v>0</v>
      </c>
      <c r="BL27" s="190">
        <v>0</v>
      </c>
      <c r="BM27" s="190">
        <v>0</v>
      </c>
      <c r="BN27" s="190">
        <v>0</v>
      </c>
      <c r="BO27" s="190">
        <v>1.1693101066237698E-10</v>
      </c>
      <c r="BP27" s="190">
        <v>0</v>
      </c>
      <c r="BQ27" s="190">
        <v>0</v>
      </c>
      <c r="BR27" s="190">
        <v>2.4083022349640566E-3</v>
      </c>
      <c r="BS27" s="190">
        <v>1.9298357873911481E-3</v>
      </c>
      <c r="BT27" s="190">
        <v>1.5459182996452622E-3</v>
      </c>
      <c r="BU27" s="190">
        <v>6.1498602649713336E-4</v>
      </c>
      <c r="BV27" s="190">
        <v>8.1120230617902009E-4</v>
      </c>
      <c r="BW27" s="190">
        <v>2.3127355670269217E-3</v>
      </c>
      <c r="BX27" s="190">
        <v>2.0160764995818055E-3</v>
      </c>
      <c r="BY27" s="190">
        <v>4.4577169127161398E-4</v>
      </c>
      <c r="BZ27" s="190">
        <v>0</v>
      </c>
      <c r="CA27" s="190">
        <v>5.0582683788921734E-4</v>
      </c>
      <c r="CB27" s="190">
        <v>5.4751904348628196E-4</v>
      </c>
      <c r="CC27" s="190">
        <v>1.0756782775034801E-3</v>
      </c>
      <c r="CD27" s="190">
        <v>0</v>
      </c>
      <c r="CE27" s="190">
        <v>1.4872498731284105E-3</v>
      </c>
      <c r="CF27" s="190">
        <v>4.6445380671148443E-4</v>
      </c>
      <c r="CG27" s="190">
        <v>2.8594861263128821E-4</v>
      </c>
      <c r="CH27" s="190">
        <v>0</v>
      </c>
      <c r="CI27" s="190">
        <v>0</v>
      </c>
      <c r="CJ27" s="190">
        <v>0</v>
      </c>
      <c r="CK27" s="190">
        <v>0</v>
      </c>
      <c r="CL27" s="190">
        <v>0</v>
      </c>
      <c r="CM27" s="190">
        <v>0</v>
      </c>
    </row>
    <row r="28" spans="1:91" ht="15" customHeight="1" x14ac:dyDescent="0.4">
      <c r="A28" s="190" t="s">
        <v>275</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244">
        <v>5.4871842598132424E-5</v>
      </c>
      <c r="S28" s="190">
        <v>2.0631876915985019E-4</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1.3946759295574891E-3</v>
      </c>
      <c r="AK28" s="190">
        <v>1.4258605092416299E-3</v>
      </c>
      <c r="AL28" s="190">
        <v>6.8787719482010811E-4</v>
      </c>
      <c r="AM28" s="190">
        <v>3.5660414539776019E-4</v>
      </c>
      <c r="AN28" s="190">
        <v>2.3176461686887101E-4</v>
      </c>
      <c r="AO28" s="190">
        <v>8.6621216853652937E-5</v>
      </c>
      <c r="AP28" s="190">
        <v>7.0280176599065943E-4</v>
      </c>
      <c r="AQ28" s="190">
        <v>1.2848191244788077E-4</v>
      </c>
      <c r="AR28" s="190">
        <v>5.5642385198404203E-4</v>
      </c>
      <c r="AS28" s="190">
        <v>1.906081031454806E-3</v>
      </c>
      <c r="AT28" s="190">
        <v>3.2271944981998032E-4</v>
      </c>
      <c r="AU28" s="190">
        <v>1.2342670650271293E-4</v>
      </c>
      <c r="AV28" s="190">
        <v>4.2789786162468111E-4</v>
      </c>
      <c r="AW28" s="244">
        <v>2.3503074017607651E-5</v>
      </c>
      <c r="AX28" s="244">
        <v>1.5678022701779229E-5</v>
      </c>
      <c r="AY28" s="244">
        <v>1.0700404748552256E-5</v>
      </c>
      <c r="AZ28" s="190">
        <v>1.429740660226046E-4</v>
      </c>
      <c r="BA28" s="190">
        <v>0</v>
      </c>
      <c r="BB28" s="190">
        <v>7.9158649383322807E-5</v>
      </c>
      <c r="BC28" s="190">
        <v>0</v>
      </c>
      <c r="BD28" s="190">
        <v>0</v>
      </c>
      <c r="BE28" s="190">
        <v>0</v>
      </c>
      <c r="BF28" s="190">
        <v>0</v>
      </c>
      <c r="BG28" s="190">
        <v>0</v>
      </c>
      <c r="BH28" s="190">
        <v>0</v>
      </c>
      <c r="BI28" s="190">
        <v>0</v>
      </c>
      <c r="BJ28" s="190">
        <v>0</v>
      </c>
      <c r="BK28" s="190">
        <v>0</v>
      </c>
      <c r="BL28" s="190">
        <v>0</v>
      </c>
      <c r="BM28" s="190">
        <v>0</v>
      </c>
      <c r="BN28" s="190">
        <v>0</v>
      </c>
      <c r="BO28" s="190">
        <v>8.491188632917753E-11</v>
      </c>
      <c r="BP28" s="190">
        <v>0</v>
      </c>
      <c r="BQ28" s="190">
        <v>0</v>
      </c>
      <c r="BR28" s="190">
        <v>1.7488387764989087E-3</v>
      </c>
      <c r="BS28" s="190">
        <v>1.4013904103341555E-3</v>
      </c>
      <c r="BT28" s="190">
        <v>1.1226007385901229E-3</v>
      </c>
      <c r="BU28" s="190">
        <v>4.4658489890876332E-4</v>
      </c>
      <c r="BV28" s="190">
        <v>5.8907143299328601E-4</v>
      </c>
      <c r="BW28" s="190">
        <v>1.6794410521589853E-3</v>
      </c>
      <c r="BX28" s="190">
        <v>1.4640158978673492E-3</v>
      </c>
      <c r="BY28" s="190">
        <v>3.2370638860987219E-4</v>
      </c>
      <c r="BZ28" s="190">
        <v>0</v>
      </c>
      <c r="CA28" s="190">
        <v>3.6731668286962051E-4</v>
      </c>
      <c r="CB28" s="190">
        <v>5.4751904348628196E-4</v>
      </c>
      <c r="CC28" s="190">
        <v>1.0756782775034801E-3</v>
      </c>
      <c r="CD28" s="190">
        <v>0</v>
      </c>
      <c r="CE28" s="190">
        <v>1.0799974399844647E-3</v>
      </c>
      <c r="CF28" s="190">
        <v>3.372727954478254E-4</v>
      </c>
      <c r="CG28" s="190">
        <v>2.0764753468043267E-4</v>
      </c>
      <c r="CH28" s="190">
        <v>0</v>
      </c>
      <c r="CI28" s="190">
        <v>0</v>
      </c>
      <c r="CJ28" s="190">
        <v>0</v>
      </c>
      <c r="CK28" s="190">
        <v>0</v>
      </c>
      <c r="CL28" s="190">
        <v>0</v>
      </c>
      <c r="CM28" s="190">
        <v>0</v>
      </c>
    </row>
    <row r="29" spans="1:91" ht="15" customHeight="1" x14ac:dyDescent="0.4">
      <c r="A29" s="190" t="s">
        <v>276</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244">
        <v>1.1246323842941675E-5</v>
      </c>
      <c r="S29" s="244">
        <v>2.368870278775104E-5</v>
      </c>
      <c r="T29" s="190">
        <v>0</v>
      </c>
      <c r="U29" s="190">
        <v>0</v>
      </c>
      <c r="V29" s="190">
        <v>0</v>
      </c>
      <c r="W29" s="190">
        <v>0</v>
      </c>
      <c r="X29" s="190">
        <v>0</v>
      </c>
      <c r="Y29" s="190">
        <v>0</v>
      </c>
      <c r="Z29" s="190">
        <v>1.8757060868954199E-4</v>
      </c>
      <c r="AA29" s="190">
        <v>0</v>
      </c>
      <c r="AB29" s="190">
        <v>0</v>
      </c>
      <c r="AC29" s="190">
        <v>0</v>
      </c>
      <c r="AD29" s="190">
        <v>0</v>
      </c>
      <c r="AE29" s="190">
        <v>1.6727484479236201E-4</v>
      </c>
      <c r="AF29" s="190">
        <v>1.7842430858826E-4</v>
      </c>
      <c r="AG29" s="244">
        <v>4.2761300023945303E-5</v>
      </c>
      <c r="AH29" s="190">
        <v>0</v>
      </c>
      <c r="AI29" s="190">
        <v>0</v>
      </c>
      <c r="AJ29" s="190">
        <v>1.4734289084423994E-4</v>
      </c>
      <c r="AK29" s="190">
        <v>1.5063747184819936E-4</v>
      </c>
      <c r="AL29" s="190">
        <v>7.2674542769665966E-5</v>
      </c>
      <c r="AM29" s="190">
        <v>3.7672821367523449E-5</v>
      </c>
      <c r="AN29" s="190">
        <v>1.5675712627078199E-4</v>
      </c>
      <c r="AO29" s="244">
        <v>9.157531381308537E-6</v>
      </c>
      <c r="AP29" s="190">
        <v>7.4251471371898522E-5</v>
      </c>
      <c r="AQ29" s="190">
        <v>2.6826858941379022E-5</v>
      </c>
      <c r="AR29" s="190">
        <v>1.09422029324537E-4</v>
      </c>
      <c r="AS29" s="190">
        <v>2.0137119518030477E-4</v>
      </c>
      <c r="AT29" s="190">
        <v>3.4093369494048199E-5</v>
      </c>
      <c r="AU29" s="244">
        <v>1.3040085404215196E-5</v>
      </c>
      <c r="AV29" s="190">
        <v>4.5204088066108736E-5</v>
      </c>
      <c r="AW29" s="244">
        <v>2.4901236000700261E-6</v>
      </c>
      <c r="AX29" s="244">
        <v>3.5941693023928569E-6</v>
      </c>
      <c r="AY29" s="244">
        <v>1.1297823306544874E-6</v>
      </c>
      <c r="AZ29" s="244">
        <v>1.5104932313537298E-5</v>
      </c>
      <c r="BA29" s="190">
        <v>0</v>
      </c>
      <c r="BB29" s="244">
        <v>1.8089303233303666E-5</v>
      </c>
      <c r="BC29" s="190">
        <v>0</v>
      </c>
      <c r="BD29" s="190">
        <v>0</v>
      </c>
      <c r="BE29" s="190">
        <v>0</v>
      </c>
      <c r="BF29" s="190">
        <v>0</v>
      </c>
      <c r="BG29" s="190">
        <v>0</v>
      </c>
      <c r="BH29" s="190">
        <v>0</v>
      </c>
      <c r="BI29" s="190">
        <v>0</v>
      </c>
      <c r="BJ29" s="190">
        <v>0</v>
      </c>
      <c r="BK29" s="190">
        <v>0</v>
      </c>
      <c r="BL29" s="190">
        <v>0</v>
      </c>
      <c r="BM29" s="190">
        <v>0</v>
      </c>
      <c r="BN29" s="190">
        <v>0</v>
      </c>
      <c r="BO29" s="244">
        <v>4.5833650816662868E-11</v>
      </c>
      <c r="BP29" s="190">
        <v>0</v>
      </c>
      <c r="BQ29" s="190">
        <v>0</v>
      </c>
      <c r="BR29" s="190">
        <v>1.8475917543594807E-4</v>
      </c>
      <c r="BS29" s="190">
        <v>1.480522227817188E-4</v>
      </c>
      <c r="BT29" s="190">
        <v>1.1859912163244803E-4</v>
      </c>
      <c r="BU29" s="190">
        <v>2.9952328170901283E-4</v>
      </c>
      <c r="BV29" s="190">
        <v>6.2231987189901054E-5</v>
      </c>
      <c r="BW29" s="190">
        <v>1.774275388074189E-4</v>
      </c>
      <c r="BX29" s="190">
        <v>1.5466854086443752E-4</v>
      </c>
      <c r="BY29" s="190">
        <v>2.171089612562341E-4</v>
      </c>
      <c r="BZ29" s="190">
        <v>0</v>
      </c>
      <c r="CA29" s="190">
        <v>3.8805822331584749E-5</v>
      </c>
      <c r="CB29" s="190">
        <v>1.9934721153375998E-2</v>
      </c>
      <c r="CC29" s="190">
        <v>2.7755358456663299E-4</v>
      </c>
      <c r="CD29" s="190">
        <v>0</v>
      </c>
      <c r="CE29" s="190">
        <v>1.1409814954225859E-4</v>
      </c>
      <c r="CF29" s="190">
        <v>1.0139572015260159E-4</v>
      </c>
      <c r="CG29" s="190">
        <v>6.2426022558836135E-5</v>
      </c>
      <c r="CH29" s="190">
        <v>0</v>
      </c>
      <c r="CI29" s="190">
        <v>0</v>
      </c>
      <c r="CJ29" s="190">
        <v>0</v>
      </c>
      <c r="CK29" s="190">
        <v>0</v>
      </c>
      <c r="CL29" s="190">
        <v>0</v>
      </c>
      <c r="CM29" s="190">
        <v>0</v>
      </c>
    </row>
    <row r="30" spans="1:91" ht="15" customHeight="1" x14ac:dyDescent="0.4">
      <c r="A30" s="190" t="s">
        <v>277</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244">
        <v>7.0268904467661058E-5</v>
      </c>
      <c r="S30" s="244">
        <v>1.4801096041707919E-4</v>
      </c>
      <c r="T30" s="190">
        <v>0</v>
      </c>
      <c r="U30" s="190">
        <v>0</v>
      </c>
      <c r="V30" s="190">
        <v>0</v>
      </c>
      <c r="W30" s="190">
        <v>0</v>
      </c>
      <c r="X30" s="190">
        <v>0</v>
      </c>
      <c r="Y30" s="190">
        <v>0</v>
      </c>
      <c r="Z30" s="190">
        <v>1.8757060868954199E-4</v>
      </c>
      <c r="AA30" s="190">
        <v>0</v>
      </c>
      <c r="AB30" s="190">
        <v>0</v>
      </c>
      <c r="AC30" s="190">
        <v>0</v>
      </c>
      <c r="AD30" s="190">
        <v>0</v>
      </c>
      <c r="AE30" s="190">
        <v>1.6727484479236201E-4</v>
      </c>
      <c r="AF30" s="190">
        <v>1.7842430858826E-4</v>
      </c>
      <c r="AG30" s="244">
        <v>4.2761300023945303E-5</v>
      </c>
      <c r="AH30" s="190">
        <v>0</v>
      </c>
      <c r="AI30" s="190">
        <v>0</v>
      </c>
      <c r="AJ30" s="190">
        <v>9.2062292223791555E-4</v>
      </c>
      <c r="AK30" s="190">
        <v>9.4120801306948453E-4</v>
      </c>
      <c r="AL30" s="190">
        <v>4.5408264731036261E-4</v>
      </c>
      <c r="AM30" s="190">
        <v>2.3538606238546089E-4</v>
      </c>
      <c r="AN30" s="190">
        <v>2.2323455741702001E-4</v>
      </c>
      <c r="AO30" s="244">
        <v>5.7217781274957643E-5</v>
      </c>
      <c r="AP30" s="190">
        <v>4.639355598576166E-4</v>
      </c>
      <c r="AQ30" s="190">
        <v>2.6826858941379022E-5</v>
      </c>
      <c r="AR30" s="190">
        <v>1.5887237326314299E-3</v>
      </c>
      <c r="AS30" s="190">
        <v>1.2582007662481067E-3</v>
      </c>
      <c r="AT30" s="190">
        <v>2.1302105091536329E-4</v>
      </c>
      <c r="AU30" s="244">
        <v>8.1476625456951209E-5</v>
      </c>
      <c r="AV30" s="190">
        <v>2.8244267106523917E-4</v>
      </c>
      <c r="AW30" s="244">
        <v>1.5558706988133488E-5</v>
      </c>
      <c r="AX30" s="244">
        <v>2.2456968417191033E-5</v>
      </c>
      <c r="AY30" s="244">
        <v>7.0590681693588988E-6</v>
      </c>
      <c r="AZ30" s="244">
        <v>9.437813285063728E-5</v>
      </c>
      <c r="BA30" s="190">
        <v>0</v>
      </c>
      <c r="BB30" s="244">
        <v>1.1302497941007939E-4</v>
      </c>
      <c r="BC30" s="190">
        <v>0</v>
      </c>
      <c r="BD30" s="190">
        <v>0</v>
      </c>
      <c r="BE30" s="190">
        <v>0</v>
      </c>
      <c r="BF30" s="190">
        <v>0</v>
      </c>
      <c r="BG30" s="190">
        <v>0</v>
      </c>
      <c r="BH30" s="190">
        <v>0</v>
      </c>
      <c r="BI30" s="190">
        <v>0</v>
      </c>
      <c r="BJ30" s="190">
        <v>0</v>
      </c>
      <c r="BK30" s="190">
        <v>0</v>
      </c>
      <c r="BL30" s="190">
        <v>0</v>
      </c>
      <c r="BM30" s="190">
        <v>0</v>
      </c>
      <c r="BN30" s="190">
        <v>0</v>
      </c>
      <c r="BO30" s="244">
        <v>2.8637628398559367E-10</v>
      </c>
      <c r="BP30" s="190">
        <v>0</v>
      </c>
      <c r="BQ30" s="190">
        <v>0</v>
      </c>
      <c r="BR30" s="190">
        <v>1.1544061001213866E-3</v>
      </c>
      <c r="BS30" s="190">
        <v>9.2505494632388798E-4</v>
      </c>
      <c r="BT30" s="190">
        <v>7.4102706487235088E-4</v>
      </c>
      <c r="BU30" s="190">
        <v>1.8714713502990944E-3</v>
      </c>
      <c r="BV30" s="190">
        <v>3.888358208201868E-4</v>
      </c>
      <c r="BW30" s="190">
        <v>1.108596813368093E-3</v>
      </c>
      <c r="BX30" s="190">
        <v>9.6639480366527244E-4</v>
      </c>
      <c r="BY30" s="190">
        <v>1.3565329498458549E-3</v>
      </c>
      <c r="BZ30" s="190">
        <v>0</v>
      </c>
      <c r="CA30" s="190">
        <v>2.4246524111241517E-4</v>
      </c>
      <c r="CB30" s="190">
        <v>1.9934721153375998E-2</v>
      </c>
      <c r="CC30" s="190">
        <v>2.7755358456663299E-4</v>
      </c>
      <c r="CD30" s="190">
        <v>0</v>
      </c>
      <c r="CE30" s="190">
        <v>7.1290424160725058E-4</v>
      </c>
      <c r="CF30" s="190">
        <v>6.3353734716652046E-4</v>
      </c>
      <c r="CG30" s="190">
        <v>3.9004818612225876E-4</v>
      </c>
      <c r="CH30" s="190">
        <v>0</v>
      </c>
      <c r="CI30" s="190">
        <v>0</v>
      </c>
      <c r="CJ30" s="190">
        <v>0</v>
      </c>
      <c r="CK30" s="190">
        <v>0</v>
      </c>
      <c r="CL30" s="190">
        <v>0</v>
      </c>
      <c r="CM30" s="190">
        <v>0</v>
      </c>
    </row>
    <row r="31" spans="1:91" ht="15" customHeight="1" x14ac:dyDescent="0.4">
      <c r="A31" s="190" t="s">
        <v>278</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244">
        <v>9.5914974291263319E-6</v>
      </c>
      <c r="S31" s="190">
        <v>3.6064142377543646E-5</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2.4378679409009537E-4</v>
      </c>
      <c r="AK31" s="190">
        <v>2.4923780141382254E-4</v>
      </c>
      <c r="AL31" s="190">
        <v>1.2023967181113501E-4</v>
      </c>
      <c r="AM31" s="190">
        <v>6.2333750460109801E-5</v>
      </c>
      <c r="AN31" s="190">
        <v>3.7016066567205699E-5</v>
      </c>
      <c r="AO31" s="190">
        <v>1.5141229807870243E-5</v>
      </c>
      <c r="AP31" s="190">
        <v>1.2284845947408161E-4</v>
      </c>
      <c r="AQ31" s="190">
        <v>1.2848191244788077E-4</v>
      </c>
      <c r="AR31" s="190">
        <v>9.7953336645057997E-5</v>
      </c>
      <c r="AS31" s="190">
        <v>3.33179467779117E-4</v>
      </c>
      <c r="AT31" s="190">
        <v>5.641076783127302E-5</v>
      </c>
      <c r="AU31" s="190">
        <v>2.1574761882455796E-5</v>
      </c>
      <c r="AV31" s="190">
        <v>7.4795761275227716E-5</v>
      </c>
      <c r="AW31" s="244">
        <v>4.1082942241878019E-6</v>
      </c>
      <c r="AX31" s="244">
        <v>2.7404896084721212E-6</v>
      </c>
      <c r="AY31" s="244">
        <v>1.8704111212012281E-6</v>
      </c>
      <c r="AZ31" s="190">
        <v>2.4991604468814106E-5</v>
      </c>
      <c r="BA31" s="190">
        <v>0</v>
      </c>
      <c r="BB31" s="190">
        <v>1.3836786703406508E-5</v>
      </c>
      <c r="BC31" s="190">
        <v>0</v>
      </c>
      <c r="BD31" s="190">
        <v>0</v>
      </c>
      <c r="BE31" s="190">
        <v>0</v>
      </c>
      <c r="BF31" s="190">
        <v>0</v>
      </c>
      <c r="BG31" s="190">
        <v>0</v>
      </c>
      <c r="BH31" s="190">
        <v>0</v>
      </c>
      <c r="BI31" s="190">
        <v>0</v>
      </c>
      <c r="BJ31" s="190">
        <v>0</v>
      </c>
      <c r="BK31" s="190">
        <v>0</v>
      </c>
      <c r="BL31" s="190">
        <v>0</v>
      </c>
      <c r="BM31" s="190">
        <v>0</v>
      </c>
      <c r="BN31" s="190">
        <v>0</v>
      </c>
      <c r="BO31" s="190">
        <v>1.4842441967791566E-11</v>
      </c>
      <c r="BP31" s="190">
        <v>0</v>
      </c>
      <c r="BQ31" s="190">
        <v>0</v>
      </c>
      <c r="BR31" s="190">
        <v>3.0569381005836002E-4</v>
      </c>
      <c r="BS31" s="190">
        <v>2.4496047301279859E-4</v>
      </c>
      <c r="BT31" s="190">
        <v>1.9622854980432089E-4</v>
      </c>
      <c r="BU31" s="190">
        <v>7.8062221112943533E-5</v>
      </c>
      <c r="BV31" s="190">
        <v>1.0296860589331055E-4</v>
      </c>
      <c r="BW31" s="190">
        <v>2.9356321514707767E-4</v>
      </c>
      <c r="BX31" s="190">
        <v>2.5590729335327048E-4</v>
      </c>
      <c r="BY31" s="190">
        <v>5.6583282921303474E-5</v>
      </c>
      <c r="BZ31" s="190">
        <v>0</v>
      </c>
      <c r="CA31" s="190">
        <v>6.4206282359088979E-5</v>
      </c>
      <c r="CB31" s="190">
        <v>5.4751904348628196E-4</v>
      </c>
      <c r="CC31" s="190">
        <v>1.0756782775034801E-3</v>
      </c>
      <c r="CD31" s="190">
        <v>0</v>
      </c>
      <c r="CE31" s="190">
        <v>1.8878157135963534E-4</v>
      </c>
      <c r="CF31" s="190">
        <v>5.8954665950331526E-5</v>
      </c>
      <c r="CG31" s="190">
        <v>3.6296408153051104E-5</v>
      </c>
      <c r="CH31" s="190">
        <v>0</v>
      </c>
      <c r="CI31" s="190">
        <v>0</v>
      </c>
      <c r="CJ31" s="190">
        <v>0</v>
      </c>
      <c r="CK31" s="190">
        <v>0</v>
      </c>
      <c r="CL31" s="190">
        <v>0</v>
      </c>
      <c r="CM31" s="190">
        <v>0</v>
      </c>
    </row>
    <row r="32" spans="1:91" ht="15" customHeight="1" x14ac:dyDescent="0.4">
      <c r="A32" s="190" t="s">
        <v>279</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244">
        <v>4.2531408624857729E-5</v>
      </c>
      <c r="S32" s="244">
        <v>8.9586064933651479E-5</v>
      </c>
      <c r="T32" s="190">
        <v>0</v>
      </c>
      <c r="U32" s="190">
        <v>0</v>
      </c>
      <c r="V32" s="190">
        <v>0</v>
      </c>
      <c r="W32" s="190">
        <v>0</v>
      </c>
      <c r="X32" s="190">
        <v>0</v>
      </c>
      <c r="Y32" s="190">
        <v>0</v>
      </c>
      <c r="Z32" s="190">
        <v>1.8757060868954199E-4</v>
      </c>
      <c r="AA32" s="190">
        <v>0</v>
      </c>
      <c r="AB32" s="190">
        <v>0</v>
      </c>
      <c r="AC32" s="190">
        <v>0</v>
      </c>
      <c r="AD32" s="190">
        <v>0</v>
      </c>
      <c r="AE32" s="190">
        <v>1.6727484479236201E-4</v>
      </c>
      <c r="AF32" s="190">
        <v>1.7842430858826E-4</v>
      </c>
      <c r="AG32" s="244">
        <v>4.2761300023945303E-5</v>
      </c>
      <c r="AH32" s="190">
        <v>0</v>
      </c>
      <c r="AI32" s="190">
        <v>0</v>
      </c>
      <c r="AJ32" s="190">
        <v>5.5722214529659237E-4</v>
      </c>
      <c r="AK32" s="190">
        <v>5.6968160964102651E-4</v>
      </c>
      <c r="AL32" s="190">
        <v>2.7484098077980215E-4</v>
      </c>
      <c r="AM32" s="190">
        <v>1.4247128057218622E-4</v>
      </c>
      <c r="AN32" s="190">
        <v>1.08881653861399E-3</v>
      </c>
      <c r="AO32" s="244">
        <v>3.463200194238005E-5</v>
      </c>
      <c r="AP32" s="190">
        <v>2.8080461793718949E-4</v>
      </c>
      <c r="AQ32" s="190">
        <v>2.6826858941379022E-5</v>
      </c>
      <c r="AR32" s="190">
        <v>4.38176716443468E-4</v>
      </c>
      <c r="AS32" s="190">
        <v>7.6154668023940711E-4</v>
      </c>
      <c r="AT32" s="190">
        <v>1.2893449002535033E-4</v>
      </c>
      <c r="AU32" s="244">
        <v>4.9315065845076236E-5</v>
      </c>
      <c r="AV32" s="190">
        <v>1.7095306589987337E-4</v>
      </c>
      <c r="AW32" s="244">
        <v>9.4171629627622267E-6</v>
      </c>
      <c r="AX32" s="244">
        <v>1.3592448999495098E-5</v>
      </c>
      <c r="AY32" s="244">
        <v>4.2726169576174573E-6</v>
      </c>
      <c r="AZ32" s="244">
        <v>5.7123915107697317E-5</v>
      </c>
      <c r="BA32" s="190">
        <v>0</v>
      </c>
      <c r="BB32" s="244">
        <v>6.841022526996321E-5</v>
      </c>
      <c r="BC32" s="190">
        <v>0</v>
      </c>
      <c r="BD32" s="190">
        <v>0</v>
      </c>
      <c r="BE32" s="190">
        <v>0</v>
      </c>
      <c r="BF32" s="190">
        <v>0</v>
      </c>
      <c r="BG32" s="190">
        <v>0</v>
      </c>
      <c r="BH32" s="190">
        <v>0</v>
      </c>
      <c r="BI32" s="190">
        <v>0</v>
      </c>
      <c r="BJ32" s="190">
        <v>0</v>
      </c>
      <c r="BK32" s="190">
        <v>0</v>
      </c>
      <c r="BL32" s="190">
        <v>0</v>
      </c>
      <c r="BM32" s="190">
        <v>0</v>
      </c>
      <c r="BN32" s="190">
        <v>0</v>
      </c>
      <c r="BO32" s="244">
        <v>1.7333394973113637E-10</v>
      </c>
      <c r="BP32" s="190">
        <v>0</v>
      </c>
      <c r="BQ32" s="190">
        <v>0</v>
      </c>
      <c r="BR32" s="190">
        <v>6.9872325369590884E-4</v>
      </c>
      <c r="BS32" s="190">
        <v>5.5990470067245513E-4</v>
      </c>
      <c r="BT32" s="190">
        <v>4.4851880268988013E-4</v>
      </c>
      <c r="BU32" s="190">
        <v>1.1327387744591436E-3</v>
      </c>
      <c r="BV32" s="190">
        <v>2.3534926734052432E-4</v>
      </c>
      <c r="BW32" s="190">
        <v>6.7099643045200475E-4</v>
      </c>
      <c r="BX32" s="190">
        <v>5.8492632835257521E-4</v>
      </c>
      <c r="BY32" s="190">
        <v>8.2106384950871155E-4</v>
      </c>
      <c r="BZ32" s="190">
        <v>0</v>
      </c>
      <c r="CA32" s="190">
        <v>1.4675606977511253E-4</v>
      </c>
      <c r="CB32" s="190">
        <v>1.9934721153375998E-2</v>
      </c>
      <c r="CC32" s="190">
        <v>2.7755358456663299E-4</v>
      </c>
      <c r="CD32" s="190">
        <v>0</v>
      </c>
      <c r="CE32" s="190">
        <v>4.314970019796798E-4</v>
      </c>
      <c r="CF32" s="190">
        <v>3.8345888548537549E-4</v>
      </c>
      <c r="CG32" s="190">
        <v>2.3608307135320467E-4</v>
      </c>
      <c r="CH32" s="190">
        <v>0</v>
      </c>
      <c r="CI32" s="190">
        <v>0</v>
      </c>
      <c r="CJ32" s="190">
        <v>0</v>
      </c>
      <c r="CK32" s="190">
        <v>0</v>
      </c>
      <c r="CL32" s="190">
        <v>0</v>
      </c>
      <c r="CM32" s="190">
        <v>0</v>
      </c>
    </row>
    <row r="33" spans="1:91" ht="15" customHeight="1" x14ac:dyDescent="0.4">
      <c r="A33" s="190" t="s">
        <v>200</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244">
        <v>2.1157466826192429E-5</v>
      </c>
      <c r="S33" s="244">
        <v>4.4565046355296735E-5</v>
      </c>
      <c r="T33" s="190">
        <v>0</v>
      </c>
      <c r="U33" s="190">
        <v>0</v>
      </c>
      <c r="V33" s="190">
        <v>0</v>
      </c>
      <c r="W33" s="190">
        <v>0</v>
      </c>
      <c r="X33" s="190">
        <v>0</v>
      </c>
      <c r="Y33" s="190">
        <v>0</v>
      </c>
      <c r="Z33" s="244">
        <v>6.3376216236946803E-5</v>
      </c>
      <c r="AA33" s="190">
        <v>0</v>
      </c>
      <c r="AB33" s="190">
        <v>0</v>
      </c>
      <c r="AC33" s="190">
        <v>0</v>
      </c>
      <c r="AD33" s="190">
        <v>0</v>
      </c>
      <c r="AE33" s="244">
        <v>5.6499947575958599E-5</v>
      </c>
      <c r="AF33" s="244">
        <v>6.0278482631169101E-5</v>
      </c>
      <c r="AG33" s="244">
        <v>1.44936137100391E-5</v>
      </c>
      <c r="AH33" s="190">
        <v>0</v>
      </c>
      <c r="AI33" s="190">
        <v>0</v>
      </c>
      <c r="AJ33" s="190">
        <v>2.771930071237293E-4</v>
      </c>
      <c r="AK33" s="190">
        <v>2.8339103140890247E-4</v>
      </c>
      <c r="AL33" s="244">
        <v>1.3672105207275639E-4</v>
      </c>
      <c r="AM33" s="244">
        <v>7.0873067454188201E-5</v>
      </c>
      <c r="AN33" s="244">
        <v>5.3654759061342E-4</v>
      </c>
      <c r="AO33" s="244">
        <v>1.7227866555830272E-5</v>
      </c>
      <c r="AP33" s="244">
        <v>1.3968769388877957E-4</v>
      </c>
      <c r="AQ33" s="190">
        <v>9.0718584756867986E-6</v>
      </c>
      <c r="AR33" s="190">
        <v>1.682277378267128E-4</v>
      </c>
      <c r="AS33" s="190">
        <v>3.788352924277528E-4</v>
      </c>
      <c r="AT33" s="244">
        <v>6.4139121737647663E-5</v>
      </c>
      <c r="AU33" s="244">
        <v>2.4532031817984159E-5</v>
      </c>
      <c r="AV33" s="244">
        <v>8.5041477288352031E-5</v>
      </c>
      <c r="AW33" s="244">
        <v>4.68461589736863E-6</v>
      </c>
      <c r="AX33" s="244">
        <v>6.7616332985842173E-6</v>
      </c>
      <c r="AY33" s="244">
        <v>2.1254351657891027E-6</v>
      </c>
      <c r="AZ33" s="244">
        <v>2.8416583836514799E-5</v>
      </c>
      <c r="BA33" s="190">
        <v>0</v>
      </c>
      <c r="BB33" s="244">
        <v>3.4031016571495912E-5</v>
      </c>
      <c r="BC33" s="190">
        <v>0</v>
      </c>
      <c r="BD33" s="190">
        <v>0</v>
      </c>
      <c r="BE33" s="190">
        <v>0</v>
      </c>
      <c r="BF33" s="190">
        <v>0</v>
      </c>
      <c r="BG33" s="190">
        <v>0</v>
      </c>
      <c r="BH33" s="190">
        <v>0</v>
      </c>
      <c r="BI33" s="190">
        <v>0</v>
      </c>
      <c r="BJ33" s="190">
        <v>0</v>
      </c>
      <c r="BK33" s="190">
        <v>0</v>
      </c>
      <c r="BL33" s="190">
        <v>0</v>
      </c>
      <c r="BM33" s="190">
        <v>0</v>
      </c>
      <c r="BN33" s="190">
        <v>0</v>
      </c>
      <c r="BO33" s="244">
        <v>8.6225860131659117E-11</v>
      </c>
      <c r="BP33" s="190">
        <v>0</v>
      </c>
      <c r="BQ33" s="190">
        <v>0</v>
      </c>
      <c r="BR33" s="190">
        <v>3.4758345746677876E-4</v>
      </c>
      <c r="BS33" s="190">
        <v>2.78527458020356E-4</v>
      </c>
      <c r="BT33" s="190">
        <v>2.2311797317920194E-4</v>
      </c>
      <c r="BU33" s="190">
        <v>5.6348669884764173E-4</v>
      </c>
      <c r="BV33" s="244">
        <v>1.1707569716878834E-4</v>
      </c>
      <c r="BW33" s="190">
        <v>3.3379060738384633E-4</v>
      </c>
      <c r="BX33" s="190">
        <v>2.9097459472934509E-4</v>
      </c>
      <c r="BY33" s="190">
        <v>4.0844241279169537E-4</v>
      </c>
      <c r="BZ33" s="190">
        <v>0</v>
      </c>
      <c r="CA33" s="244">
        <v>7.3004557765683704E-5</v>
      </c>
      <c r="CB33" s="190">
        <v>1.10714783395319E-4</v>
      </c>
      <c r="CC33" s="190">
        <v>2.10826054411012E-4</v>
      </c>
      <c r="CD33" s="190">
        <v>0</v>
      </c>
      <c r="CE33" s="190">
        <v>2.1465039132634892E-4</v>
      </c>
      <c r="CF33" s="190">
        <v>1.907535844962316E-4</v>
      </c>
      <c r="CG33" s="244">
        <v>1.1744073172929753E-4</v>
      </c>
      <c r="CH33" s="190">
        <v>0</v>
      </c>
      <c r="CI33" s="190">
        <v>0</v>
      </c>
      <c r="CJ33" s="190">
        <v>0</v>
      </c>
      <c r="CK33" s="190">
        <v>0</v>
      </c>
      <c r="CL33" s="190">
        <v>0</v>
      </c>
      <c r="CM33" s="190">
        <v>0</v>
      </c>
    </row>
    <row r="34" spans="1:91" ht="15" customHeight="1" x14ac:dyDescent="0.4">
      <c r="A34" s="190" t="s">
        <v>201</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9.99748515256026E-3</v>
      </c>
      <c r="S34" s="190">
        <v>2.5036900335116099E-2</v>
      </c>
      <c r="T34" s="190">
        <v>0</v>
      </c>
      <c r="U34" s="190">
        <v>0</v>
      </c>
      <c r="V34" s="190">
        <v>0</v>
      </c>
      <c r="W34" s="190">
        <v>0</v>
      </c>
      <c r="X34" s="190">
        <v>0</v>
      </c>
      <c r="Y34" s="190">
        <v>0</v>
      </c>
      <c r="Z34" s="190">
        <v>0</v>
      </c>
      <c r="AA34" s="190">
        <v>0</v>
      </c>
      <c r="AB34" s="190">
        <v>0</v>
      </c>
      <c r="AC34" s="190">
        <v>0</v>
      </c>
      <c r="AD34" s="190">
        <v>0</v>
      </c>
      <c r="AE34" s="190">
        <v>1.6025289130775201E-2</v>
      </c>
      <c r="AF34" s="190">
        <v>3.9985726455170198E-3</v>
      </c>
      <c r="AG34" s="190">
        <v>0</v>
      </c>
      <c r="AH34" s="190">
        <v>0</v>
      </c>
      <c r="AI34" s="190">
        <v>5.04783886991838E-2</v>
      </c>
      <c r="AJ34" s="190">
        <v>0</v>
      </c>
      <c r="AK34" s="190">
        <v>0</v>
      </c>
      <c r="AL34" s="190">
        <v>2.7866916927136099E-2</v>
      </c>
      <c r="AM34" s="190">
        <v>4.2407277166916502E-2</v>
      </c>
      <c r="AN34" s="190">
        <v>4.3564800294343597E-3</v>
      </c>
      <c r="AO34" s="190">
        <v>0</v>
      </c>
      <c r="AP34" s="190">
        <v>4.9810381894139499E-3</v>
      </c>
      <c r="AQ34" s="190">
        <v>0</v>
      </c>
      <c r="AR34" s="190">
        <v>1.0360093104979499E-3</v>
      </c>
      <c r="AS34" s="190">
        <v>3.6294228744614701E-2</v>
      </c>
      <c r="AT34" s="190">
        <v>9.7666150336175993E-3</v>
      </c>
      <c r="AU34" s="190">
        <v>0</v>
      </c>
      <c r="AV34" s="190">
        <v>1.19959673281201E-2</v>
      </c>
      <c r="AW34" s="190">
        <v>0</v>
      </c>
      <c r="AX34" s="190">
        <v>0</v>
      </c>
      <c r="AY34" s="190">
        <v>1.8355784028042089E-2</v>
      </c>
      <c r="AZ34" s="190">
        <v>0</v>
      </c>
      <c r="BA34" s="190">
        <v>0</v>
      </c>
      <c r="BB34" s="190">
        <v>0</v>
      </c>
      <c r="BC34" s="190">
        <v>0.05</v>
      </c>
      <c r="BD34" s="190">
        <v>0</v>
      </c>
      <c r="BE34" s="190">
        <v>0</v>
      </c>
      <c r="BF34" s="190">
        <v>0</v>
      </c>
      <c r="BG34" s="190">
        <v>0</v>
      </c>
      <c r="BH34" s="190">
        <v>0</v>
      </c>
      <c r="BI34" s="190">
        <v>0</v>
      </c>
      <c r="BJ34" s="190">
        <v>0</v>
      </c>
      <c r="BK34" s="190">
        <v>0</v>
      </c>
      <c r="BL34" s="190">
        <v>0</v>
      </c>
      <c r="BM34" s="190">
        <v>0</v>
      </c>
      <c r="BN34" s="190">
        <v>0</v>
      </c>
      <c r="BO34" s="190">
        <v>0</v>
      </c>
      <c r="BP34" s="190">
        <v>0</v>
      </c>
      <c r="BQ34" s="190">
        <v>0</v>
      </c>
      <c r="BR34" s="190">
        <v>0</v>
      </c>
      <c r="BS34" s="190">
        <v>0</v>
      </c>
      <c r="BT34" s="190">
        <v>0</v>
      </c>
      <c r="BU34" s="190">
        <v>0</v>
      </c>
      <c r="BV34" s="190">
        <v>0</v>
      </c>
      <c r="BW34" s="190">
        <v>0</v>
      </c>
      <c r="BX34" s="190">
        <v>0</v>
      </c>
      <c r="BY34" s="190">
        <v>0</v>
      </c>
      <c r="BZ34" s="190">
        <v>0</v>
      </c>
      <c r="CA34" s="190">
        <v>0</v>
      </c>
      <c r="CB34" s="190">
        <v>1.0405277708576701E-3</v>
      </c>
      <c r="CC34" s="190">
        <v>0</v>
      </c>
      <c r="CD34" s="190">
        <v>1.6699900224585305E-2</v>
      </c>
      <c r="CE34" s="190">
        <v>0.245194405691953</v>
      </c>
      <c r="CF34" s="190">
        <v>9.98274783515678E-2</v>
      </c>
      <c r="CG34" s="190">
        <v>0</v>
      </c>
      <c r="CH34" s="190">
        <v>0</v>
      </c>
      <c r="CI34" s="190">
        <v>0</v>
      </c>
      <c r="CJ34" s="190">
        <v>0</v>
      </c>
      <c r="CK34" s="190">
        <v>0</v>
      </c>
      <c r="CL34" s="190">
        <v>0</v>
      </c>
      <c r="CM34" s="190">
        <v>0</v>
      </c>
    </row>
    <row r="35" spans="1:91" ht="15" customHeight="1" x14ac:dyDescent="0.4">
      <c r="A35" s="190" t="s">
        <v>202</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5.7595243057837898E-2</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9.5929539330657804E-3</v>
      </c>
      <c r="AN35" s="190">
        <v>0</v>
      </c>
      <c r="AO35" s="190">
        <v>0</v>
      </c>
      <c r="AP35" s="190">
        <v>1.6858789848250701E-2</v>
      </c>
      <c r="AQ35" s="190">
        <v>6.2593803321699297E-3</v>
      </c>
      <c r="AR35" s="190">
        <v>0</v>
      </c>
      <c r="AS35" s="190">
        <v>6.7093987247179802E-3</v>
      </c>
      <c r="AT35" s="190">
        <v>5.81730016119223E-2</v>
      </c>
      <c r="AU35" s="190">
        <v>6.2545086509664893E-2</v>
      </c>
      <c r="AV35" s="190">
        <v>2.6749888788696399E-2</v>
      </c>
      <c r="AW35" s="190">
        <v>0</v>
      </c>
      <c r="AX35" s="190">
        <v>0</v>
      </c>
      <c r="AY35" s="190">
        <v>9.3145386031003626E-4</v>
      </c>
      <c r="AZ35" s="190">
        <v>0</v>
      </c>
      <c r="BA35" s="190">
        <v>0</v>
      </c>
      <c r="BB35" s="190">
        <v>0</v>
      </c>
      <c r="BC35" s="190">
        <v>0</v>
      </c>
      <c r="BD35" s="190">
        <v>0</v>
      </c>
      <c r="BE35" s="190">
        <v>0</v>
      </c>
      <c r="BF35" s="190">
        <v>0</v>
      </c>
      <c r="BG35" s="190">
        <v>0</v>
      </c>
      <c r="BH35" s="190">
        <v>0</v>
      </c>
      <c r="BI35" s="190">
        <v>0</v>
      </c>
      <c r="BJ35" s="190">
        <v>0</v>
      </c>
      <c r="BK35" s="190">
        <v>0</v>
      </c>
      <c r="BL35" s="190">
        <v>0</v>
      </c>
      <c r="BM35" s="190">
        <v>0</v>
      </c>
      <c r="BN35" s="190">
        <v>0</v>
      </c>
      <c r="BO35" s="190">
        <v>0</v>
      </c>
      <c r="BP35" s="190">
        <v>0</v>
      </c>
      <c r="BQ35" s="190">
        <v>0</v>
      </c>
      <c r="BR35" s="190">
        <v>0</v>
      </c>
      <c r="BS35" s="190">
        <v>0</v>
      </c>
      <c r="BT35" s="190">
        <v>0</v>
      </c>
      <c r="BU35" s="190">
        <v>0</v>
      </c>
      <c r="BV35" s="190">
        <v>0</v>
      </c>
      <c r="BW35" s="190">
        <v>0</v>
      </c>
      <c r="BX35" s="190">
        <v>0</v>
      </c>
      <c r="BY35" s="190">
        <v>0</v>
      </c>
      <c r="BZ35" s="190">
        <v>0</v>
      </c>
      <c r="CA35" s="190">
        <v>0</v>
      </c>
      <c r="CB35" s="190">
        <v>2.1345919151059899E-2</v>
      </c>
      <c r="CC35" s="190">
        <v>4.5406933520420599E-2</v>
      </c>
      <c r="CD35" s="190">
        <v>6.7335513521327136E-3</v>
      </c>
      <c r="CE35" s="190">
        <v>1.84329634904102E-3</v>
      </c>
      <c r="CF35" s="190">
        <v>2.1695304603974001E-2</v>
      </c>
      <c r="CG35" s="190">
        <v>7.8822191036207693E-3</v>
      </c>
      <c r="CH35" s="190">
        <v>0</v>
      </c>
      <c r="CI35" s="190">
        <v>0</v>
      </c>
      <c r="CJ35" s="190">
        <v>0</v>
      </c>
      <c r="CK35" s="190">
        <v>0</v>
      </c>
      <c r="CL35" s="190">
        <v>0</v>
      </c>
      <c r="CM35" s="190">
        <v>0</v>
      </c>
    </row>
    <row r="36" spans="1:91" ht="15" customHeight="1" x14ac:dyDescent="0.4">
      <c r="A36" s="190" t="s">
        <v>203</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2.1242873456120033E-2</v>
      </c>
      <c r="AN36" s="190">
        <v>0</v>
      </c>
      <c r="AO36" s="190">
        <v>0</v>
      </c>
      <c r="AP36" s="190">
        <v>0</v>
      </c>
      <c r="AQ36" s="190">
        <v>0</v>
      </c>
      <c r="AR36" s="190">
        <v>0</v>
      </c>
      <c r="AS36" s="190">
        <v>0</v>
      </c>
      <c r="AT36" s="190">
        <v>2.7661261661375471E-3</v>
      </c>
      <c r="AU36" s="190">
        <v>0</v>
      </c>
      <c r="AV36" s="190">
        <v>2.2683468512672899E-2</v>
      </c>
      <c r="AW36" s="190">
        <v>0</v>
      </c>
      <c r="AX36" s="190">
        <v>0</v>
      </c>
      <c r="AY36" s="190">
        <v>0</v>
      </c>
      <c r="AZ36" s="190">
        <v>0</v>
      </c>
      <c r="BA36" s="190">
        <v>0</v>
      </c>
      <c r="BB36" s="190">
        <v>0</v>
      </c>
      <c r="BC36" s="190">
        <v>0</v>
      </c>
      <c r="BD36" s="190">
        <v>0</v>
      </c>
      <c r="BE36" s="190">
        <v>0</v>
      </c>
      <c r="BF36" s="190">
        <v>0</v>
      </c>
      <c r="BG36" s="190">
        <v>0</v>
      </c>
      <c r="BH36" s="190">
        <v>0</v>
      </c>
      <c r="BI36" s="190">
        <v>0</v>
      </c>
      <c r="BJ36" s="190">
        <v>0</v>
      </c>
      <c r="BK36" s="190">
        <v>0</v>
      </c>
      <c r="BL36" s="190">
        <v>0</v>
      </c>
      <c r="BM36" s="190">
        <v>0</v>
      </c>
      <c r="BN36" s="190">
        <v>0</v>
      </c>
      <c r="BO36" s="190">
        <v>0</v>
      </c>
      <c r="BP36" s="190">
        <v>0</v>
      </c>
      <c r="BQ36" s="190">
        <v>0</v>
      </c>
      <c r="BR36" s="190">
        <v>0</v>
      </c>
      <c r="BS36" s="190">
        <v>0</v>
      </c>
      <c r="BT36" s="190">
        <v>0</v>
      </c>
      <c r="BU36" s="190">
        <v>0</v>
      </c>
      <c r="BV36" s="190">
        <v>0</v>
      </c>
      <c r="BW36" s="190">
        <v>0</v>
      </c>
      <c r="BX36" s="190">
        <v>0</v>
      </c>
      <c r="BY36" s="190">
        <v>0</v>
      </c>
      <c r="BZ36" s="190">
        <v>0</v>
      </c>
      <c r="CA36" s="190">
        <v>0</v>
      </c>
      <c r="CB36" s="190">
        <v>3.8699753563284305E-2</v>
      </c>
      <c r="CC36" s="190">
        <v>4.8368553925052404E-2</v>
      </c>
      <c r="CD36" s="190">
        <v>0</v>
      </c>
      <c r="CE36" s="190">
        <v>4.5846744202357903E-2</v>
      </c>
      <c r="CF36" s="190">
        <v>1.6740957159494606E-2</v>
      </c>
      <c r="CG36" s="190">
        <v>0.17411649987880964</v>
      </c>
      <c r="CH36" s="190">
        <v>2.1001001001001E-2</v>
      </c>
      <c r="CI36" s="190">
        <v>0</v>
      </c>
      <c r="CJ36" s="190">
        <v>0</v>
      </c>
      <c r="CK36" s="190">
        <v>0</v>
      </c>
      <c r="CL36" s="190">
        <v>0</v>
      </c>
      <c r="CM36" s="190">
        <v>0</v>
      </c>
    </row>
    <row r="37" spans="1:91" ht="15" customHeight="1" x14ac:dyDescent="0.4">
      <c r="A37" s="190" t="s">
        <v>204</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2.3849650109977988E-3</v>
      </c>
      <c r="AN37" s="190">
        <v>0</v>
      </c>
      <c r="AO37" s="190">
        <v>0</v>
      </c>
      <c r="AP37" s="190">
        <v>0</v>
      </c>
      <c r="AQ37" s="190">
        <v>0</v>
      </c>
      <c r="AR37" s="190">
        <v>0</v>
      </c>
      <c r="AS37" s="190">
        <v>0</v>
      </c>
      <c r="AT37" s="190">
        <v>3.6807805066034157E-4</v>
      </c>
      <c r="AU37" s="190">
        <v>0</v>
      </c>
      <c r="AV37" s="190">
        <v>1.1133499025095901E-3</v>
      </c>
      <c r="AW37" s="190">
        <v>0</v>
      </c>
      <c r="AX37" s="190">
        <v>0</v>
      </c>
      <c r="AY37" s="190">
        <v>0</v>
      </c>
      <c r="AZ37" s="190">
        <v>0</v>
      </c>
      <c r="BA37" s="190">
        <v>0</v>
      </c>
      <c r="BB37" s="190">
        <v>0</v>
      </c>
      <c r="BC37" s="190">
        <v>0</v>
      </c>
      <c r="BD37" s="190">
        <v>0</v>
      </c>
      <c r="BE37" s="190">
        <v>0</v>
      </c>
      <c r="BF37" s="190">
        <v>0</v>
      </c>
      <c r="BG37" s="190">
        <v>0</v>
      </c>
      <c r="BH37" s="190">
        <v>0</v>
      </c>
      <c r="BI37" s="190">
        <v>0</v>
      </c>
      <c r="BJ37" s="190">
        <v>0</v>
      </c>
      <c r="BK37" s="190">
        <v>0</v>
      </c>
      <c r="BL37" s="190">
        <v>0</v>
      </c>
      <c r="BM37" s="190">
        <v>0</v>
      </c>
      <c r="BN37" s="190">
        <v>0</v>
      </c>
      <c r="BO37" s="190">
        <v>0</v>
      </c>
      <c r="BP37" s="190">
        <v>0</v>
      </c>
      <c r="BQ37" s="190">
        <v>0</v>
      </c>
      <c r="BR37" s="190">
        <v>0</v>
      </c>
      <c r="BS37" s="190">
        <v>0</v>
      </c>
      <c r="BT37" s="190">
        <v>0</v>
      </c>
      <c r="BU37" s="190">
        <v>0</v>
      </c>
      <c r="BV37" s="190">
        <v>0</v>
      </c>
      <c r="BW37" s="190">
        <v>0</v>
      </c>
      <c r="BX37" s="190">
        <v>0</v>
      </c>
      <c r="BY37" s="190">
        <v>0</v>
      </c>
      <c r="BZ37" s="190">
        <v>0</v>
      </c>
      <c r="CA37" s="190">
        <v>0</v>
      </c>
      <c r="CB37" s="190">
        <v>1.9288175529183602E-3</v>
      </c>
      <c r="CC37" s="190">
        <v>1.2424454815963401E-2</v>
      </c>
      <c r="CD37" s="190">
        <v>0</v>
      </c>
      <c r="CE37" s="190">
        <v>5.0494310364292997E-3</v>
      </c>
      <c r="CF37" s="190">
        <v>1.4760681492732267E-3</v>
      </c>
      <c r="CG37" s="190">
        <v>3.3248790577943471E-2</v>
      </c>
      <c r="CH37" s="190">
        <v>0.60367367367367397</v>
      </c>
      <c r="CI37" s="190">
        <v>0</v>
      </c>
      <c r="CJ37" s="190">
        <v>0</v>
      </c>
      <c r="CK37" s="190">
        <v>0</v>
      </c>
      <c r="CL37" s="190">
        <v>0</v>
      </c>
      <c r="CM37" s="190">
        <v>0</v>
      </c>
    </row>
    <row r="38" spans="1:91" ht="15" customHeight="1" x14ac:dyDescent="0.4">
      <c r="A38" s="190" t="s">
        <v>205</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1.1320076805825142E-3</v>
      </c>
      <c r="AN38" s="190">
        <v>0</v>
      </c>
      <c r="AO38" s="190">
        <v>0</v>
      </c>
      <c r="AP38" s="190">
        <v>0</v>
      </c>
      <c r="AQ38" s="190">
        <v>0</v>
      </c>
      <c r="AR38" s="190">
        <v>0</v>
      </c>
      <c r="AS38" s="190">
        <v>0</v>
      </c>
      <c r="AT38" s="190">
        <v>1.6763577160293071E-4</v>
      </c>
      <c r="AU38" s="190">
        <v>0</v>
      </c>
      <c r="AV38" s="190">
        <v>1.1439316904072127E-3</v>
      </c>
      <c r="AW38" s="190">
        <v>0</v>
      </c>
      <c r="AX38" s="190">
        <v>0</v>
      </c>
      <c r="AY38" s="190">
        <v>0</v>
      </c>
      <c r="AZ38" s="190">
        <v>0</v>
      </c>
      <c r="BA38" s="190">
        <v>0</v>
      </c>
      <c r="BB38" s="190">
        <v>0</v>
      </c>
      <c r="BC38" s="190">
        <v>0</v>
      </c>
      <c r="BD38" s="190">
        <v>0</v>
      </c>
      <c r="BE38" s="190">
        <v>0</v>
      </c>
      <c r="BF38" s="190">
        <v>0</v>
      </c>
      <c r="BG38" s="190">
        <v>0</v>
      </c>
      <c r="BH38" s="190">
        <v>0</v>
      </c>
      <c r="BI38" s="190">
        <v>0</v>
      </c>
      <c r="BJ38" s="190">
        <v>0</v>
      </c>
      <c r="BK38" s="190">
        <v>0</v>
      </c>
      <c r="BL38" s="190">
        <v>0</v>
      </c>
      <c r="BM38" s="190">
        <v>0</v>
      </c>
      <c r="BN38" s="190">
        <v>0</v>
      </c>
      <c r="BO38" s="190">
        <v>0</v>
      </c>
      <c r="BP38" s="190">
        <v>0</v>
      </c>
      <c r="BQ38" s="190">
        <v>0</v>
      </c>
      <c r="BR38" s="190">
        <v>0</v>
      </c>
      <c r="BS38" s="190">
        <v>0</v>
      </c>
      <c r="BT38" s="190">
        <v>0</v>
      </c>
      <c r="BU38" s="190">
        <v>0</v>
      </c>
      <c r="BV38" s="190">
        <v>0</v>
      </c>
      <c r="BW38" s="190">
        <v>0</v>
      </c>
      <c r="BX38" s="190">
        <v>0</v>
      </c>
      <c r="BY38" s="190">
        <v>0</v>
      </c>
      <c r="BZ38" s="190">
        <v>0</v>
      </c>
      <c r="CA38" s="190">
        <v>0</v>
      </c>
      <c r="CB38" s="190">
        <v>1.00695552658159E-2</v>
      </c>
      <c r="CC38" s="190">
        <v>2.6587635540263302E-3</v>
      </c>
      <c r="CD38" s="190">
        <v>0</v>
      </c>
      <c r="CE38" s="190">
        <v>3.59147047053574E-3</v>
      </c>
      <c r="CF38" s="190">
        <v>7.5019557803004521E-4</v>
      </c>
      <c r="CG38" s="190">
        <v>1.4097375511392778E-2</v>
      </c>
      <c r="CH38" s="190">
        <v>0.1501001001001</v>
      </c>
      <c r="CI38" s="190">
        <v>0</v>
      </c>
      <c r="CJ38" s="190">
        <v>0</v>
      </c>
      <c r="CK38" s="190">
        <v>0</v>
      </c>
      <c r="CL38" s="190">
        <v>0</v>
      </c>
      <c r="CM38" s="190">
        <v>0</v>
      </c>
    </row>
    <row r="39" spans="1:91" ht="15" customHeight="1" x14ac:dyDescent="0.4">
      <c r="A39" s="190" t="s">
        <v>206</v>
      </c>
      <c r="B39" s="190">
        <v>0</v>
      </c>
      <c r="C39" s="190">
        <v>0</v>
      </c>
      <c r="D39" s="190">
        <v>0</v>
      </c>
      <c r="E39" s="190">
        <v>0</v>
      </c>
      <c r="F39" s="190">
        <v>0</v>
      </c>
      <c r="G39" s="190">
        <v>0</v>
      </c>
      <c r="H39" s="190">
        <v>0</v>
      </c>
      <c r="I39" s="190">
        <v>0</v>
      </c>
      <c r="J39" s="190">
        <v>0</v>
      </c>
      <c r="K39" s="190">
        <v>0</v>
      </c>
      <c r="L39" s="190">
        <v>0</v>
      </c>
      <c r="M39" s="190">
        <v>0</v>
      </c>
      <c r="N39" s="190">
        <v>0</v>
      </c>
      <c r="O39" s="190">
        <v>0</v>
      </c>
      <c r="P39" s="190">
        <v>0</v>
      </c>
      <c r="Q39" s="190">
        <v>0</v>
      </c>
      <c r="R39" s="190">
        <v>0</v>
      </c>
      <c r="S39" s="190">
        <v>0</v>
      </c>
      <c r="T39" s="190">
        <v>0</v>
      </c>
      <c r="U39" s="190">
        <v>0</v>
      </c>
      <c r="V39" s="190">
        <v>0</v>
      </c>
      <c r="W39" s="190">
        <v>0</v>
      </c>
      <c r="X39" s="190">
        <v>0</v>
      </c>
      <c r="Y39" s="190">
        <v>0</v>
      </c>
      <c r="Z39" s="190">
        <v>0</v>
      </c>
      <c r="AA39" s="190">
        <v>0</v>
      </c>
      <c r="AB39" s="190">
        <v>0</v>
      </c>
      <c r="AC39" s="190">
        <v>0</v>
      </c>
      <c r="AD39" s="190">
        <v>0</v>
      </c>
      <c r="AE39" s="190">
        <v>0</v>
      </c>
      <c r="AF39" s="190">
        <v>0</v>
      </c>
      <c r="AG39" s="190">
        <v>0</v>
      </c>
      <c r="AH39" s="190">
        <v>0</v>
      </c>
      <c r="AI39" s="190">
        <v>0</v>
      </c>
      <c r="AJ39" s="190">
        <v>0</v>
      </c>
      <c r="AK39" s="190">
        <v>0</v>
      </c>
      <c r="AL39" s="190">
        <v>0</v>
      </c>
      <c r="AM39" s="190">
        <v>6.5961993298782398E-3</v>
      </c>
      <c r="AN39" s="190">
        <v>0</v>
      </c>
      <c r="AO39" s="190">
        <v>0</v>
      </c>
      <c r="AP39" s="190">
        <v>0</v>
      </c>
      <c r="AQ39" s="190">
        <v>0</v>
      </c>
      <c r="AR39" s="190">
        <v>0</v>
      </c>
      <c r="AS39" s="190">
        <v>0</v>
      </c>
      <c r="AT39" s="190">
        <v>0</v>
      </c>
      <c r="AU39" s="190">
        <v>0</v>
      </c>
      <c r="AV39" s="190">
        <v>0</v>
      </c>
      <c r="AW39" s="190">
        <v>0</v>
      </c>
      <c r="AX39" s="190">
        <v>0</v>
      </c>
      <c r="AY39" s="190">
        <v>0</v>
      </c>
      <c r="AZ39" s="190">
        <v>0</v>
      </c>
      <c r="BA39" s="190">
        <v>0</v>
      </c>
      <c r="BB39" s="190">
        <v>0</v>
      </c>
      <c r="BC39" s="190">
        <v>0</v>
      </c>
      <c r="BD39" s="190">
        <v>0</v>
      </c>
      <c r="BE39" s="190">
        <v>0</v>
      </c>
      <c r="BF39" s="190">
        <v>0</v>
      </c>
      <c r="BG39" s="190">
        <v>0</v>
      </c>
      <c r="BH39" s="190">
        <v>0</v>
      </c>
      <c r="BI39" s="190">
        <v>0</v>
      </c>
      <c r="BJ39" s="190">
        <v>0</v>
      </c>
      <c r="BK39" s="190">
        <v>0</v>
      </c>
      <c r="BL39" s="190">
        <v>0</v>
      </c>
      <c r="BM39" s="190">
        <v>0</v>
      </c>
      <c r="BN39" s="190">
        <v>0</v>
      </c>
      <c r="BO39" s="190">
        <v>0</v>
      </c>
      <c r="BP39" s="190">
        <v>0</v>
      </c>
      <c r="BQ39" s="190">
        <v>0</v>
      </c>
      <c r="BR39" s="190">
        <v>0</v>
      </c>
      <c r="BS39" s="190">
        <v>0</v>
      </c>
      <c r="BT39" s="190">
        <v>0</v>
      </c>
      <c r="BU39" s="190">
        <v>0</v>
      </c>
      <c r="BV39" s="190">
        <v>0</v>
      </c>
      <c r="BW39" s="190">
        <v>0</v>
      </c>
      <c r="BX39" s="190">
        <v>0</v>
      </c>
      <c r="BY39" s="190">
        <v>0</v>
      </c>
      <c r="BZ39" s="190">
        <v>0</v>
      </c>
      <c r="CA39" s="190">
        <v>0</v>
      </c>
      <c r="CB39" s="190">
        <v>0</v>
      </c>
      <c r="CC39" s="190">
        <v>2.6810504693829698E-4</v>
      </c>
      <c r="CD39" s="190">
        <v>0</v>
      </c>
      <c r="CE39" s="190">
        <v>0</v>
      </c>
      <c r="CF39" s="190">
        <v>9.9827478351567807E-4</v>
      </c>
      <c r="CG39" s="190">
        <v>3.0627815506232899E-2</v>
      </c>
      <c r="CH39" s="190">
        <v>0</v>
      </c>
      <c r="CI39" s="190">
        <v>0</v>
      </c>
      <c r="CJ39" s="190">
        <v>0</v>
      </c>
      <c r="CK39" s="190">
        <v>0</v>
      </c>
      <c r="CL39" s="190">
        <v>0</v>
      </c>
      <c r="CM39" s="190">
        <v>0</v>
      </c>
    </row>
    <row r="40" spans="1:91" ht="15" customHeight="1" x14ac:dyDescent="0.4">
      <c r="A40" s="190" t="s">
        <v>207</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0</v>
      </c>
      <c r="S40" s="190">
        <v>3.77251908197875E-3</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6.3947387349516202E-2</v>
      </c>
      <c r="AN40" s="190">
        <v>0</v>
      </c>
      <c r="AO40" s="190">
        <v>0</v>
      </c>
      <c r="AP40" s="190">
        <v>0</v>
      </c>
      <c r="AQ40" s="190">
        <v>0.01</v>
      </c>
      <c r="AR40" s="190">
        <v>5.0000000000000001E-3</v>
      </c>
      <c r="AS40" s="190">
        <v>3.73548928720802E-4</v>
      </c>
      <c r="AT40" s="190">
        <v>0</v>
      </c>
      <c r="AU40" s="190">
        <v>0</v>
      </c>
      <c r="AV40" s="190">
        <v>0</v>
      </c>
      <c r="AW40" s="190">
        <v>0</v>
      </c>
      <c r="AX40" s="190">
        <v>0</v>
      </c>
      <c r="AY40" s="190">
        <v>0</v>
      </c>
      <c r="AZ40" s="190">
        <v>0</v>
      </c>
      <c r="BA40" s="190">
        <v>0</v>
      </c>
      <c r="BB40" s="190">
        <v>0</v>
      </c>
      <c r="BC40" s="190">
        <v>0</v>
      </c>
      <c r="BD40" s="190">
        <v>0</v>
      </c>
      <c r="BE40" s="190">
        <v>0</v>
      </c>
      <c r="BF40" s="190">
        <v>0</v>
      </c>
      <c r="BG40" s="190">
        <v>0</v>
      </c>
      <c r="BH40" s="190">
        <v>0</v>
      </c>
      <c r="BI40" s="190">
        <v>0</v>
      </c>
      <c r="BJ40" s="190">
        <v>0</v>
      </c>
      <c r="BK40" s="190">
        <v>0</v>
      </c>
      <c r="BL40" s="190">
        <v>0</v>
      </c>
      <c r="BM40" s="190">
        <v>0</v>
      </c>
      <c r="BN40" s="190">
        <v>0</v>
      </c>
      <c r="BO40" s="190">
        <v>0</v>
      </c>
      <c r="BP40" s="190">
        <v>0</v>
      </c>
      <c r="BQ40" s="190">
        <v>0</v>
      </c>
      <c r="BR40" s="190">
        <v>0</v>
      </c>
      <c r="BS40" s="190">
        <v>0</v>
      </c>
      <c r="BT40" s="190">
        <v>0</v>
      </c>
      <c r="BU40" s="190">
        <v>0</v>
      </c>
      <c r="BV40" s="190">
        <v>0</v>
      </c>
      <c r="BW40" s="190">
        <v>0</v>
      </c>
      <c r="BX40" s="190">
        <v>1.9930728659052301E-2</v>
      </c>
      <c r="BY40" s="190">
        <v>0</v>
      </c>
      <c r="BZ40" s="190">
        <v>0</v>
      </c>
      <c r="CA40" s="190">
        <v>3.9232257707018502E-3</v>
      </c>
      <c r="CB40" s="190">
        <v>0</v>
      </c>
      <c r="CC40" s="190">
        <v>4.4372715421409803E-2</v>
      </c>
      <c r="CD40" s="190">
        <v>0</v>
      </c>
      <c r="CE40" s="190">
        <v>4.1050545478709E-3</v>
      </c>
      <c r="CF40" s="190">
        <v>1.47057864892009E-2</v>
      </c>
      <c r="CG40" s="190">
        <v>5.0671491992487903E-2</v>
      </c>
      <c r="CH40" s="190">
        <v>0</v>
      </c>
      <c r="CI40" s="190">
        <v>0</v>
      </c>
      <c r="CJ40" s="190">
        <v>0</v>
      </c>
      <c r="CK40" s="190">
        <v>0</v>
      </c>
      <c r="CL40" s="190">
        <v>0</v>
      </c>
      <c r="CM40" s="190">
        <v>0</v>
      </c>
    </row>
    <row r="41" spans="1:91" ht="15" customHeight="1" x14ac:dyDescent="0.4">
      <c r="A41" s="190" t="s">
        <v>208</v>
      </c>
      <c r="B41" s="190">
        <v>0</v>
      </c>
      <c r="C41" s="190">
        <v>0</v>
      </c>
      <c r="D41" s="190">
        <v>0</v>
      </c>
      <c r="E41" s="190">
        <v>0</v>
      </c>
      <c r="F41" s="190">
        <v>0</v>
      </c>
      <c r="G41" s="190">
        <v>0</v>
      </c>
      <c r="H41" s="190">
        <v>0</v>
      </c>
      <c r="I41" s="190">
        <v>0</v>
      </c>
      <c r="J41" s="190">
        <v>0</v>
      </c>
      <c r="K41" s="190">
        <v>0</v>
      </c>
      <c r="L41" s="190">
        <v>0</v>
      </c>
      <c r="M41" s="190">
        <v>0</v>
      </c>
      <c r="N41" s="190">
        <v>0</v>
      </c>
      <c r="O41" s="190">
        <v>0</v>
      </c>
      <c r="P41" s="190">
        <v>0</v>
      </c>
      <c r="Q41" s="190">
        <v>0</v>
      </c>
      <c r="R41" s="190">
        <v>0</v>
      </c>
      <c r="S41" s="190">
        <v>6.2422410520676999E-3</v>
      </c>
      <c r="T41" s="190">
        <v>0</v>
      </c>
      <c r="U41" s="190">
        <v>0</v>
      </c>
      <c r="V41" s="190">
        <v>0</v>
      </c>
      <c r="W41" s="190">
        <v>0</v>
      </c>
      <c r="X41" s="190">
        <v>0</v>
      </c>
      <c r="Y41" s="190">
        <v>0</v>
      </c>
      <c r="Z41" s="190">
        <v>0</v>
      </c>
      <c r="AA41" s="190">
        <v>0</v>
      </c>
      <c r="AB41" s="190">
        <v>0</v>
      </c>
      <c r="AC41" s="190">
        <v>0</v>
      </c>
      <c r="AD41" s="190">
        <v>0</v>
      </c>
      <c r="AE41" s="190">
        <v>0</v>
      </c>
      <c r="AF41" s="190">
        <v>0</v>
      </c>
      <c r="AG41" s="190">
        <v>0</v>
      </c>
      <c r="AH41" s="190">
        <v>0</v>
      </c>
      <c r="AI41" s="190">
        <v>0</v>
      </c>
      <c r="AJ41" s="190">
        <v>0</v>
      </c>
      <c r="AK41" s="190">
        <v>0</v>
      </c>
      <c r="AL41" s="190">
        <v>0</v>
      </c>
      <c r="AM41" s="190">
        <v>2.29215819125781E-2</v>
      </c>
      <c r="AN41" s="190">
        <v>0</v>
      </c>
      <c r="AO41" s="190">
        <v>0</v>
      </c>
      <c r="AP41" s="190">
        <v>0</v>
      </c>
      <c r="AQ41" s="190">
        <v>0.01</v>
      </c>
      <c r="AR41" s="190">
        <v>5.0000000000000001E-3</v>
      </c>
      <c r="AS41" s="190">
        <v>6.1809666539435198E-4</v>
      </c>
      <c r="AT41" s="190">
        <v>0</v>
      </c>
      <c r="AU41" s="190">
        <v>0</v>
      </c>
      <c r="AV41" s="190">
        <v>0</v>
      </c>
      <c r="AW41" s="190">
        <v>0</v>
      </c>
      <c r="AX41" s="190">
        <v>0</v>
      </c>
      <c r="AY41" s="190">
        <v>0</v>
      </c>
      <c r="AZ41" s="190">
        <v>0</v>
      </c>
      <c r="BA41" s="190">
        <v>0</v>
      </c>
      <c r="BB41" s="190">
        <v>0</v>
      </c>
      <c r="BC41" s="190">
        <v>0</v>
      </c>
      <c r="BD41" s="190">
        <v>0</v>
      </c>
      <c r="BE41" s="190">
        <v>0</v>
      </c>
      <c r="BF41" s="190">
        <v>0</v>
      </c>
      <c r="BG41" s="190">
        <v>0</v>
      </c>
      <c r="BH41" s="190">
        <v>0</v>
      </c>
      <c r="BI41" s="190">
        <v>0</v>
      </c>
      <c r="BJ41" s="190">
        <v>0</v>
      </c>
      <c r="BK41" s="190">
        <v>0</v>
      </c>
      <c r="BL41" s="190">
        <v>0</v>
      </c>
      <c r="BM41" s="190">
        <v>0</v>
      </c>
      <c r="BN41" s="190">
        <v>0</v>
      </c>
      <c r="BO41" s="190">
        <v>0</v>
      </c>
      <c r="BP41" s="190">
        <v>0</v>
      </c>
      <c r="BQ41" s="190">
        <v>0</v>
      </c>
      <c r="BR41" s="190">
        <v>0</v>
      </c>
      <c r="BS41" s="190">
        <v>0</v>
      </c>
      <c r="BT41" s="190">
        <v>0</v>
      </c>
      <c r="BU41" s="190">
        <v>0</v>
      </c>
      <c r="BV41" s="190">
        <v>0</v>
      </c>
      <c r="BW41" s="190">
        <v>0</v>
      </c>
      <c r="BX41" s="190">
        <v>0</v>
      </c>
      <c r="BY41" s="190">
        <v>0</v>
      </c>
      <c r="BZ41" s="190">
        <v>0</v>
      </c>
      <c r="CA41" s="190">
        <v>6.4916095665074197E-3</v>
      </c>
      <c r="CB41" s="190">
        <v>9.3598552263257401E-4</v>
      </c>
      <c r="CC41" s="190">
        <v>7.1744485800907101E-2</v>
      </c>
      <c r="CD41" s="190">
        <v>0</v>
      </c>
      <c r="CE41" s="190">
        <v>6.79247459399367E-3</v>
      </c>
      <c r="CF41" s="190">
        <v>1.52424570162694E-2</v>
      </c>
      <c r="CG41" s="190">
        <v>5.2520686405435398E-2</v>
      </c>
      <c r="CH41" s="190">
        <v>0</v>
      </c>
      <c r="CI41" s="190">
        <v>0</v>
      </c>
      <c r="CJ41" s="190">
        <v>0</v>
      </c>
      <c r="CK41" s="190">
        <v>0</v>
      </c>
      <c r="CL41" s="190">
        <v>0</v>
      </c>
      <c r="CM41" s="190">
        <v>0</v>
      </c>
    </row>
    <row r="42" spans="1:91" ht="15" customHeight="1" x14ac:dyDescent="0.4">
      <c r="A42" s="190" t="s">
        <v>209</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8.4029707175564197E-2</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3.2972873941174499E-2</v>
      </c>
      <c r="AN42" s="190">
        <v>0</v>
      </c>
      <c r="AO42" s="190">
        <v>0</v>
      </c>
      <c r="AP42" s="190">
        <v>2.4596460846081102E-2</v>
      </c>
      <c r="AQ42" s="190">
        <v>6.8373975899488704E-3</v>
      </c>
      <c r="AR42" s="190">
        <v>0</v>
      </c>
      <c r="AS42" s="190">
        <v>9.7888093369858497E-3</v>
      </c>
      <c r="AT42" s="190">
        <v>1.1924160488597201E-2</v>
      </c>
      <c r="AU42" s="190">
        <v>4.7124703088789202E-2</v>
      </c>
      <c r="AV42" s="190">
        <v>9.8478831128321898E-3</v>
      </c>
      <c r="AW42" s="190">
        <v>0</v>
      </c>
      <c r="AX42" s="190">
        <v>0</v>
      </c>
      <c r="AY42" s="190">
        <v>1.3589630145373727E-3</v>
      </c>
      <c r="AZ42" s="190">
        <v>0</v>
      </c>
      <c r="BA42" s="190">
        <v>0</v>
      </c>
      <c r="BB42" s="190">
        <v>0</v>
      </c>
      <c r="BC42" s="190">
        <v>0</v>
      </c>
      <c r="BD42" s="190">
        <v>0</v>
      </c>
      <c r="BE42" s="190">
        <v>0</v>
      </c>
      <c r="BF42" s="190">
        <v>0</v>
      </c>
      <c r="BG42" s="190">
        <v>0</v>
      </c>
      <c r="BH42" s="190">
        <v>0</v>
      </c>
      <c r="BI42" s="190">
        <v>0</v>
      </c>
      <c r="BJ42" s="190">
        <v>0</v>
      </c>
      <c r="BK42" s="190">
        <v>0</v>
      </c>
      <c r="BL42" s="190">
        <v>0</v>
      </c>
      <c r="BM42" s="190">
        <v>0</v>
      </c>
      <c r="BN42" s="190">
        <v>0</v>
      </c>
      <c r="BO42" s="190">
        <v>0</v>
      </c>
      <c r="BP42" s="190">
        <v>0</v>
      </c>
      <c r="BQ42" s="190">
        <v>0</v>
      </c>
      <c r="BR42" s="190">
        <v>0</v>
      </c>
      <c r="BS42" s="190">
        <v>0</v>
      </c>
      <c r="BT42" s="190">
        <v>0</v>
      </c>
      <c r="BU42" s="190">
        <v>0</v>
      </c>
      <c r="BV42" s="190">
        <v>0</v>
      </c>
      <c r="BW42" s="190">
        <v>0</v>
      </c>
      <c r="BX42" s="190">
        <v>0</v>
      </c>
      <c r="BY42" s="190">
        <v>0</v>
      </c>
      <c r="BZ42" s="190">
        <v>0</v>
      </c>
      <c r="CA42" s="190">
        <v>0</v>
      </c>
      <c r="CB42" s="190">
        <v>1.5926371188474502E-2</v>
      </c>
      <c r="CC42" s="190">
        <v>3.5532107268132801E-2</v>
      </c>
      <c r="CD42" s="190">
        <v>3.221941693306122E-3</v>
      </c>
      <c r="CE42" s="190">
        <v>2.68931294693471E-3</v>
      </c>
      <c r="CF42" s="190">
        <v>2.1799473194025001E-2</v>
      </c>
      <c r="CG42" s="190">
        <v>1.16927292941268E-2</v>
      </c>
      <c r="CH42" s="190">
        <v>0</v>
      </c>
      <c r="CI42" s="190">
        <v>0</v>
      </c>
      <c r="CJ42" s="190">
        <v>0</v>
      </c>
      <c r="CK42" s="190">
        <v>0</v>
      </c>
      <c r="CL42" s="190">
        <v>0</v>
      </c>
      <c r="CM42" s="190">
        <v>0</v>
      </c>
    </row>
    <row r="43" spans="1:91" ht="15" customHeight="1" x14ac:dyDescent="0.4">
      <c r="A43" s="190" t="s">
        <v>210</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4.4150624985359096E-3</v>
      </c>
      <c r="AN43" s="190">
        <v>0</v>
      </c>
      <c r="AO43" s="190">
        <v>0</v>
      </c>
      <c r="AP43" s="190">
        <v>0</v>
      </c>
      <c r="AQ43" s="190">
        <v>1E-3</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v>0</v>
      </c>
      <c r="BI43" s="190">
        <v>0</v>
      </c>
      <c r="BJ43" s="190">
        <v>0</v>
      </c>
      <c r="BK43" s="190">
        <v>0</v>
      </c>
      <c r="BL43" s="190">
        <v>0</v>
      </c>
      <c r="BM43" s="190">
        <v>0</v>
      </c>
      <c r="BN43" s="190">
        <v>0</v>
      </c>
      <c r="BO43" s="190">
        <v>0</v>
      </c>
      <c r="BP43" s="190">
        <v>0</v>
      </c>
      <c r="BQ43" s="190">
        <v>0</v>
      </c>
      <c r="BR43" s="190">
        <v>0</v>
      </c>
      <c r="BS43" s="190">
        <v>0</v>
      </c>
      <c r="BT43" s="190">
        <v>0</v>
      </c>
      <c r="BU43" s="190">
        <v>0</v>
      </c>
      <c r="BV43" s="190">
        <v>0</v>
      </c>
      <c r="BW43" s="190">
        <v>0</v>
      </c>
      <c r="BX43" s="190">
        <v>0</v>
      </c>
      <c r="BY43" s="190">
        <v>0</v>
      </c>
      <c r="BZ43" s="190">
        <v>0</v>
      </c>
      <c r="CA43" s="190">
        <v>0</v>
      </c>
      <c r="CB43" s="190">
        <v>2.2881699806170198E-2</v>
      </c>
      <c r="CC43" s="190">
        <v>0.10767257860908699</v>
      </c>
      <c r="CD43" s="190">
        <v>6.1346572253578617E-3</v>
      </c>
      <c r="CE43" s="190">
        <v>0</v>
      </c>
      <c r="CF43" s="190">
        <v>4.9913739175783903E-3</v>
      </c>
      <c r="CG43" s="190">
        <v>9.4239432326870595E-3</v>
      </c>
      <c r="CH43" s="190">
        <v>0</v>
      </c>
      <c r="CI43" s="190">
        <v>0</v>
      </c>
      <c r="CJ43" s="190">
        <v>0</v>
      </c>
      <c r="CK43" s="190">
        <v>0</v>
      </c>
      <c r="CL43" s="190">
        <v>0</v>
      </c>
      <c r="CM43" s="190">
        <v>0</v>
      </c>
    </row>
    <row r="44" spans="1:91" s="190" customFormat="1" ht="15" customHeight="1" x14ac:dyDescent="0.4">
      <c r="A44" s="190" t="s">
        <v>211</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0.28041328375329999</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9.9419305555488603E-3</v>
      </c>
      <c r="AL44" s="190">
        <v>0</v>
      </c>
      <c r="AM44" s="190">
        <v>0.13039122240172901</v>
      </c>
      <c r="AN44" s="190">
        <v>1E-4</v>
      </c>
      <c r="AO44" s="190">
        <v>1.18274095137825E-2</v>
      </c>
      <c r="AP44" s="190">
        <v>0</v>
      </c>
      <c r="AQ44" s="190">
        <v>0.100555074128396</v>
      </c>
      <c r="AR44" s="190">
        <v>0</v>
      </c>
      <c r="AS44" s="190">
        <v>1.9832911882303101E-3</v>
      </c>
      <c r="AT44" s="190">
        <v>0.100052598889532</v>
      </c>
      <c r="AU44" s="190">
        <v>0.12533158039220699</v>
      </c>
      <c r="AV44" s="190">
        <v>0.15940750105589699</v>
      </c>
      <c r="AW44" s="190">
        <v>3.6358072317536454E-2</v>
      </c>
      <c r="AX44" s="190">
        <v>0</v>
      </c>
      <c r="AY44" s="190">
        <v>0</v>
      </c>
      <c r="AZ44" s="190">
        <v>0</v>
      </c>
      <c r="BA44" s="190">
        <v>0</v>
      </c>
      <c r="BB44" s="190">
        <v>0</v>
      </c>
      <c r="BC44" s="190">
        <v>5.0000000000000001E-3</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9.9336918420599805E-3</v>
      </c>
      <c r="BT44" s="190">
        <v>0</v>
      </c>
      <c r="BU44" s="190">
        <v>2.0251643113419399E-4</v>
      </c>
      <c r="BV44" s="190">
        <v>0</v>
      </c>
      <c r="BW44" s="190">
        <v>0</v>
      </c>
      <c r="BX44" s="190">
        <v>1.9861457318104598E-3</v>
      </c>
      <c r="BY44" s="190">
        <v>0</v>
      </c>
      <c r="BZ44" s="190">
        <v>0</v>
      </c>
      <c r="CA44" s="190">
        <v>0</v>
      </c>
      <c r="CB44" s="190">
        <v>8.1828530603884106E-2</v>
      </c>
      <c r="CC44" s="190">
        <v>0.17921226408815599</v>
      </c>
      <c r="CD44" s="190">
        <v>6.6288379462894703E-2</v>
      </c>
      <c r="CE44" s="190">
        <v>2.7243822854661402E-2</v>
      </c>
      <c r="CF44" s="190">
        <v>9.98274783515678E-2</v>
      </c>
      <c r="CG44" s="190">
        <v>7.5391545861496503E-2</v>
      </c>
      <c r="CH44" s="190">
        <v>0</v>
      </c>
      <c r="CI44" s="190">
        <v>0</v>
      </c>
      <c r="CJ44" s="190">
        <v>0</v>
      </c>
      <c r="CK44" s="190">
        <v>0</v>
      </c>
      <c r="CL44" s="190">
        <v>0</v>
      </c>
      <c r="CM44" s="190">
        <v>0</v>
      </c>
    </row>
    <row r="45" spans="1:91" ht="15" customHeight="1" x14ac:dyDescent="0.4">
      <c r="A45" s="190" t="s">
        <v>212</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6.84744465766709E-2</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c r="BH45" s="190">
        <v>0</v>
      </c>
      <c r="BI45" s="190">
        <v>0</v>
      </c>
      <c r="BJ45" s="190">
        <v>0</v>
      </c>
      <c r="BK45" s="190">
        <v>0</v>
      </c>
      <c r="BL45" s="190">
        <v>0</v>
      </c>
      <c r="BM45" s="190">
        <v>0</v>
      </c>
      <c r="BN45" s="190">
        <v>0</v>
      </c>
      <c r="BO45" s="190">
        <v>0</v>
      </c>
      <c r="BP45" s="190">
        <v>0</v>
      </c>
      <c r="BQ45" s="190">
        <v>0</v>
      </c>
      <c r="BR45" s="190">
        <v>0</v>
      </c>
      <c r="BS45" s="190">
        <v>0</v>
      </c>
      <c r="BT45" s="190">
        <v>0</v>
      </c>
      <c r="BU45" s="190">
        <v>0</v>
      </c>
      <c r="BV45" s="190">
        <v>0</v>
      </c>
      <c r="BW45" s="190">
        <v>0</v>
      </c>
      <c r="BX45" s="190">
        <v>0</v>
      </c>
      <c r="BY45" s="190">
        <v>0</v>
      </c>
      <c r="BZ45" s="190">
        <v>0</v>
      </c>
      <c r="CA45" s="190">
        <v>0</v>
      </c>
      <c r="CB45" s="190">
        <v>0</v>
      </c>
      <c r="CC45" s="190">
        <v>0</v>
      </c>
      <c r="CD45" s="190">
        <v>0</v>
      </c>
      <c r="CE45" s="190">
        <v>1.0897529141864601E-3</v>
      </c>
      <c r="CF45" s="190">
        <v>9.9827478351567807E-4</v>
      </c>
      <c r="CG45" s="190">
        <v>9.4239432326870595E-3</v>
      </c>
      <c r="CH45" s="190">
        <v>0</v>
      </c>
      <c r="CI45" s="190">
        <v>0</v>
      </c>
      <c r="CJ45" s="190">
        <v>0</v>
      </c>
      <c r="CK45" s="190">
        <v>0</v>
      </c>
      <c r="CL45" s="190">
        <v>0</v>
      </c>
      <c r="CM45" s="190">
        <v>0</v>
      </c>
    </row>
    <row r="46" spans="1:91" ht="15" customHeight="1" x14ac:dyDescent="0.4">
      <c r="A46" s="190" t="s">
        <v>213</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1.26879738647581E-2</v>
      </c>
      <c r="AU46" s="190">
        <v>5.3351280809799902E-2</v>
      </c>
      <c r="AV46" s="190">
        <v>2.5081500211179299E-2</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c r="BW46" s="190">
        <v>0</v>
      </c>
      <c r="BX46" s="190">
        <v>0</v>
      </c>
      <c r="BY46" s="190">
        <v>0</v>
      </c>
      <c r="BZ46" s="190">
        <v>0</v>
      </c>
      <c r="CA46" s="190">
        <v>0</v>
      </c>
      <c r="CB46" s="244">
        <v>5.8498927971239802E-5</v>
      </c>
      <c r="CC46" s="190">
        <v>0</v>
      </c>
      <c r="CD46" s="190">
        <v>0</v>
      </c>
      <c r="CE46" s="190">
        <v>0</v>
      </c>
      <c r="CF46" s="190">
        <v>1.99654956703136E-2</v>
      </c>
      <c r="CG46" s="190">
        <v>6.5967602628809402E-3</v>
      </c>
      <c r="CH46" s="190">
        <v>0</v>
      </c>
      <c r="CI46" s="190">
        <v>0</v>
      </c>
      <c r="CJ46" s="190">
        <v>0</v>
      </c>
      <c r="CK46" s="190">
        <v>0</v>
      </c>
      <c r="CL46" s="190">
        <v>0</v>
      </c>
      <c r="CM46" s="190">
        <v>0</v>
      </c>
    </row>
    <row r="47" spans="1:91" ht="15" customHeight="1" x14ac:dyDescent="0.4">
      <c r="A47" s="190" t="s">
        <v>214</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9.9074127291252697E-3</v>
      </c>
      <c r="AN47" s="190">
        <v>8.2994695599021995E-4</v>
      </c>
      <c r="AO47" s="190">
        <v>0</v>
      </c>
      <c r="AP47" s="190">
        <v>0</v>
      </c>
      <c r="AQ47" s="190">
        <v>2.693085524233029E-3</v>
      </c>
      <c r="AR47" s="190">
        <v>0</v>
      </c>
      <c r="AS47" s="190">
        <v>0</v>
      </c>
      <c r="AT47" s="190">
        <v>3.29466636114812E-3</v>
      </c>
      <c r="AU47" s="190">
        <v>5.0000000000000001E-3</v>
      </c>
      <c r="AV47" s="190">
        <v>4.9899178214854196E-3</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7.6463380242084572E-4</v>
      </c>
      <c r="BP47" s="190">
        <v>0</v>
      </c>
      <c r="BQ47" s="190">
        <v>0</v>
      </c>
      <c r="BR47" s="190">
        <v>0</v>
      </c>
      <c r="BS47" s="190">
        <v>1.9867383684120002E-3</v>
      </c>
      <c r="BT47" s="190">
        <v>0</v>
      </c>
      <c r="BU47" s="190">
        <v>2.0251643113419399E-4</v>
      </c>
      <c r="BV47" s="190">
        <v>0</v>
      </c>
      <c r="BW47" s="190">
        <v>0</v>
      </c>
      <c r="BX47" s="190">
        <v>0</v>
      </c>
      <c r="BY47" s="190">
        <v>0</v>
      </c>
      <c r="BZ47" s="190">
        <v>0</v>
      </c>
      <c r="CA47" s="190">
        <v>0</v>
      </c>
      <c r="CB47" s="190">
        <v>4.2918941331734198E-2</v>
      </c>
      <c r="CC47" s="190">
        <v>1.92365773722134E-2</v>
      </c>
      <c r="CD47" s="190">
        <v>0</v>
      </c>
      <c r="CE47" s="190">
        <v>0</v>
      </c>
      <c r="CF47" s="190">
        <v>0</v>
      </c>
      <c r="CG47" s="190">
        <v>1.8847886465374101E-3</v>
      </c>
      <c r="CH47" s="190">
        <v>0.148148148148148</v>
      </c>
      <c r="CI47" s="190">
        <v>0</v>
      </c>
      <c r="CJ47" s="190">
        <v>0</v>
      </c>
      <c r="CK47" s="190">
        <v>0</v>
      </c>
      <c r="CL47" s="190">
        <v>0</v>
      </c>
      <c r="CM47" s="190">
        <v>0</v>
      </c>
    </row>
    <row r="48" spans="1:91" ht="15" customHeight="1" x14ac:dyDescent="0.4">
      <c r="A48" s="190" t="s">
        <v>215</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2.4759846147700399E-2</v>
      </c>
      <c r="AN48" s="190">
        <v>0</v>
      </c>
      <c r="AO48" s="190">
        <v>0</v>
      </c>
      <c r="AP48" s="190">
        <v>1.40372756383955E-2</v>
      </c>
      <c r="AQ48" s="190">
        <v>5.2404915163971798E-2</v>
      </c>
      <c r="AR48" s="190">
        <v>0</v>
      </c>
      <c r="AS48" s="190">
        <v>1.9832911882303101E-3</v>
      </c>
      <c r="AT48" s="190">
        <v>0</v>
      </c>
      <c r="AU48" s="190">
        <v>3.4549979576126801E-2</v>
      </c>
      <c r="AV48" s="190">
        <v>9.9763000422358589E-4</v>
      </c>
      <c r="AW48" s="190">
        <v>1.3634694422533636E-2</v>
      </c>
      <c r="AX48" s="190">
        <v>0</v>
      </c>
      <c r="AY48" s="190">
        <v>1.0686681730963181E-3</v>
      </c>
      <c r="AZ48" s="190">
        <v>6.573828003653491E-3</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c r="BW48" s="190">
        <v>0</v>
      </c>
      <c r="BX48" s="190">
        <v>0</v>
      </c>
      <c r="BY48" s="190">
        <v>0</v>
      </c>
      <c r="BZ48" s="190">
        <v>0</v>
      </c>
      <c r="CA48" s="190">
        <v>0</v>
      </c>
      <c r="CB48" s="190">
        <v>3.3885783866907403E-2</v>
      </c>
      <c r="CC48" s="190">
        <v>5.1817865004950099E-3</v>
      </c>
      <c r="CD48" s="190">
        <v>3.2915053998602785E-4</v>
      </c>
      <c r="CE48" s="190">
        <v>0</v>
      </c>
      <c r="CF48" s="190">
        <v>9.9827478351567807E-3</v>
      </c>
      <c r="CG48" s="190">
        <v>2.45022524049863E-2</v>
      </c>
      <c r="CH48" s="190">
        <v>7.3073073073073105E-2</v>
      </c>
      <c r="CI48" s="190">
        <v>0</v>
      </c>
      <c r="CJ48" s="190">
        <v>0</v>
      </c>
      <c r="CK48" s="190">
        <v>0</v>
      </c>
      <c r="CL48" s="190">
        <v>0</v>
      </c>
      <c r="CM48" s="190">
        <v>0</v>
      </c>
    </row>
    <row r="49" spans="1:91" ht="15" customHeight="1" x14ac:dyDescent="0.4">
      <c r="A49" s="190" t="s">
        <v>216</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1.5444101521235501E-3</v>
      </c>
      <c r="AN49" s="190">
        <v>0</v>
      </c>
      <c r="AO49" s="190">
        <v>0</v>
      </c>
      <c r="AP49" s="190">
        <v>0</v>
      </c>
      <c r="AQ49" s="190">
        <v>1E-3</v>
      </c>
      <c r="AR49" s="190">
        <v>0</v>
      </c>
      <c r="AS49" s="190">
        <v>0</v>
      </c>
      <c r="AT49" s="190">
        <v>6.9656883301713298E-3</v>
      </c>
      <c r="AU49" s="190">
        <v>7.8323141544577501E-4</v>
      </c>
      <c r="AV49" s="190">
        <v>0</v>
      </c>
      <c r="AW49" s="190">
        <v>0</v>
      </c>
      <c r="AX49" s="190">
        <v>0</v>
      </c>
      <c r="AY49" s="190">
        <v>0</v>
      </c>
      <c r="AZ49" s="190">
        <v>0</v>
      </c>
      <c r="BA49" s="190">
        <v>0</v>
      </c>
      <c r="BB49" s="190">
        <v>0</v>
      </c>
      <c r="BC49" s="190">
        <v>0</v>
      </c>
      <c r="BD49" s="190">
        <v>0</v>
      </c>
      <c r="BE49" s="190">
        <v>0</v>
      </c>
      <c r="BF49" s="190">
        <v>0</v>
      </c>
      <c r="BG49" s="190">
        <v>0</v>
      </c>
      <c r="BH49" s="190">
        <v>0</v>
      </c>
      <c r="BI49" s="190">
        <v>0</v>
      </c>
      <c r="BJ49" s="190">
        <v>0</v>
      </c>
      <c r="BK49" s="190">
        <v>0</v>
      </c>
      <c r="BL49" s="190">
        <v>0</v>
      </c>
      <c r="BM49" s="190">
        <v>0</v>
      </c>
      <c r="BN49" s="190">
        <v>0</v>
      </c>
      <c r="BO49" s="190">
        <v>0</v>
      </c>
      <c r="BP49" s="190">
        <v>0</v>
      </c>
      <c r="BQ49" s="190">
        <v>0</v>
      </c>
      <c r="BR49" s="190">
        <v>0</v>
      </c>
      <c r="BS49" s="190">
        <v>0</v>
      </c>
      <c r="BT49" s="190">
        <v>0</v>
      </c>
      <c r="BU49" s="190">
        <v>0</v>
      </c>
      <c r="BV49" s="190">
        <v>0</v>
      </c>
      <c r="BW49" s="190">
        <v>0</v>
      </c>
      <c r="BX49" s="190">
        <v>0</v>
      </c>
      <c r="BY49" s="190">
        <v>0</v>
      </c>
      <c r="BZ49" s="190">
        <v>0</v>
      </c>
      <c r="CA49" s="190">
        <v>0</v>
      </c>
      <c r="CB49" s="190">
        <v>1.24341239207299E-2</v>
      </c>
      <c r="CC49" s="190">
        <v>7.4466937114931603E-2</v>
      </c>
      <c r="CD49" s="190">
        <v>4.4305857738695656E-3</v>
      </c>
      <c r="CE49" s="190">
        <v>0</v>
      </c>
      <c r="CF49" s="190">
        <v>4.9913739175783903E-3</v>
      </c>
      <c r="CG49" s="190">
        <v>4.7119716163435299E-2</v>
      </c>
      <c r="CH49" s="190">
        <v>3.0030030030029999E-3</v>
      </c>
      <c r="CI49" s="190">
        <v>0</v>
      </c>
      <c r="CJ49" s="190">
        <v>0</v>
      </c>
      <c r="CK49" s="190">
        <v>0</v>
      </c>
      <c r="CL49" s="190">
        <v>0</v>
      </c>
      <c r="CM49" s="190">
        <v>0</v>
      </c>
    </row>
    <row r="50" spans="1:91" ht="15" customHeight="1" x14ac:dyDescent="0.4">
      <c r="A50" s="190" t="s">
        <v>217</v>
      </c>
      <c r="B50" s="190">
        <v>0</v>
      </c>
      <c r="C50" s="190">
        <v>0</v>
      </c>
      <c r="D50" s="190">
        <v>0</v>
      </c>
      <c r="E50" s="190">
        <v>0</v>
      </c>
      <c r="F50" s="190">
        <v>0</v>
      </c>
      <c r="G50" s="190">
        <v>0</v>
      </c>
      <c r="H50" s="190">
        <v>0</v>
      </c>
      <c r="I50" s="190">
        <v>0</v>
      </c>
      <c r="J50" s="190">
        <v>0</v>
      </c>
      <c r="K50" s="190">
        <v>0</v>
      </c>
      <c r="L50" s="190">
        <v>0</v>
      </c>
      <c r="M50" s="190">
        <v>0</v>
      </c>
      <c r="N50" s="190">
        <v>0</v>
      </c>
      <c r="O50" s="190">
        <v>0</v>
      </c>
      <c r="P50" s="190">
        <v>0</v>
      </c>
      <c r="Q50" s="190">
        <v>0</v>
      </c>
      <c r="R50" s="190">
        <v>0</v>
      </c>
      <c r="S50" s="190">
        <v>0</v>
      </c>
      <c r="T50" s="190">
        <v>0</v>
      </c>
      <c r="U50" s="190">
        <v>0</v>
      </c>
      <c r="V50" s="190">
        <v>0</v>
      </c>
      <c r="W50" s="190">
        <v>7.9803638683912798E-3</v>
      </c>
      <c r="X50" s="190">
        <v>0</v>
      </c>
      <c r="Y50" s="190">
        <v>0.18318411780860699</v>
      </c>
      <c r="Z50" s="190">
        <v>0</v>
      </c>
      <c r="AA50" s="190">
        <v>0</v>
      </c>
      <c r="AB50" s="190">
        <v>0</v>
      </c>
      <c r="AC50" s="190">
        <v>0</v>
      </c>
      <c r="AD50" s="190">
        <v>0</v>
      </c>
      <c r="AE50" s="190">
        <v>0</v>
      </c>
      <c r="AF50" s="190">
        <v>0</v>
      </c>
      <c r="AG50" s="190">
        <v>0</v>
      </c>
      <c r="AH50" s="190">
        <v>0</v>
      </c>
      <c r="AI50" s="190">
        <v>1.00956775395173E-2</v>
      </c>
      <c r="AJ50" s="190">
        <v>0</v>
      </c>
      <c r="AK50" s="190">
        <v>4.9709652777744301E-3</v>
      </c>
      <c r="AL50" s="190">
        <v>0</v>
      </c>
      <c r="AM50" s="244">
        <v>4.2988380383203897E-6</v>
      </c>
      <c r="AN50" s="190">
        <v>6.75368008078123E-4</v>
      </c>
      <c r="AO50" s="190">
        <v>5.8019446777923204E-3</v>
      </c>
      <c r="AP50" s="190">
        <v>9.9620763788279103E-3</v>
      </c>
      <c r="AQ50" s="190">
        <v>3.7207587889501403E-2</v>
      </c>
      <c r="AR50" s="190">
        <v>3.0060093104979499E-3</v>
      </c>
      <c r="AS50" s="190">
        <v>0</v>
      </c>
      <c r="AT50" s="190">
        <v>8.0195637827881097E-2</v>
      </c>
      <c r="AU50" s="190">
        <v>0.14161748339543501</v>
      </c>
      <c r="AV50" s="190">
        <v>0.12979836042022799</v>
      </c>
      <c r="AW50" s="190">
        <v>3.6358072317536454E-2</v>
      </c>
      <c r="AX50" s="190">
        <v>0</v>
      </c>
      <c r="AY50" s="190">
        <v>2.7533675586791543E-2</v>
      </c>
      <c r="AZ50" s="190">
        <v>2.3379536255176817E-2</v>
      </c>
      <c r="BA50" s="190">
        <v>0</v>
      </c>
      <c r="BB50" s="190">
        <v>1.33558529006525E-2</v>
      </c>
      <c r="BC50" s="190">
        <v>0.05</v>
      </c>
      <c r="BD50" s="190">
        <v>0</v>
      </c>
      <c r="BE50" s="190">
        <v>0</v>
      </c>
      <c r="BF50" s="190">
        <v>0</v>
      </c>
      <c r="BG50" s="190">
        <v>0</v>
      </c>
      <c r="BH50" s="190">
        <v>0</v>
      </c>
      <c r="BI50" s="190">
        <v>0</v>
      </c>
      <c r="BJ50" s="190">
        <v>0</v>
      </c>
      <c r="BK50" s="190">
        <v>0</v>
      </c>
      <c r="BL50" s="190">
        <v>0</v>
      </c>
      <c r="BM50" s="190">
        <v>0</v>
      </c>
      <c r="BN50" s="190">
        <v>0</v>
      </c>
      <c r="BO50" s="190">
        <v>7.6463380242084572E-4</v>
      </c>
      <c r="BP50" s="190">
        <v>0</v>
      </c>
      <c r="BQ50" s="190">
        <v>0</v>
      </c>
      <c r="BR50" s="190">
        <v>0</v>
      </c>
      <c r="BS50" s="190">
        <v>1.4900537763090001E-4</v>
      </c>
      <c r="BT50" s="190">
        <v>4.9734415189090896E-4</v>
      </c>
      <c r="BU50" s="190">
        <v>5.0629117777736701E-4</v>
      </c>
      <c r="BV50" s="190">
        <v>0</v>
      </c>
      <c r="BW50" s="190">
        <v>0</v>
      </c>
      <c r="BX50" s="190">
        <v>9.9307286590523004E-3</v>
      </c>
      <c r="BY50" s="190">
        <v>0</v>
      </c>
      <c r="BZ50" s="190">
        <v>0</v>
      </c>
      <c r="CA50" s="190">
        <v>0</v>
      </c>
      <c r="CB50" s="190">
        <v>0.131201186712437</v>
      </c>
      <c r="CC50" s="190">
        <v>6.0481618460074098E-2</v>
      </c>
      <c r="CD50" s="190">
        <v>1.7722343095478262E-2</v>
      </c>
      <c r="CE50" s="190">
        <v>0</v>
      </c>
      <c r="CF50" s="190">
        <v>9.9827478351567807E-3</v>
      </c>
      <c r="CG50" s="190">
        <v>0</v>
      </c>
      <c r="CH50" s="190">
        <v>0</v>
      </c>
      <c r="CI50" s="190">
        <v>0</v>
      </c>
      <c r="CJ50" s="190">
        <v>0</v>
      </c>
      <c r="CK50" s="190">
        <v>0</v>
      </c>
      <c r="CL50" s="190">
        <v>0</v>
      </c>
      <c r="CM50" s="190">
        <v>0</v>
      </c>
    </row>
    <row r="51" spans="1:91" ht="15" customHeight="1" x14ac:dyDescent="0.4">
      <c r="A51" s="190" t="s">
        <v>218</v>
      </c>
      <c r="B51" s="190">
        <v>0</v>
      </c>
      <c r="C51" s="190">
        <v>0</v>
      </c>
      <c r="D51" s="190">
        <v>0</v>
      </c>
      <c r="E51" s="190">
        <v>0</v>
      </c>
      <c r="F51" s="190">
        <v>0</v>
      </c>
      <c r="G51" s="190">
        <v>0</v>
      </c>
      <c r="H51" s="190">
        <v>0</v>
      </c>
      <c r="I51" s="190">
        <v>0</v>
      </c>
      <c r="J51" s="190">
        <v>0</v>
      </c>
      <c r="K51" s="190">
        <v>0</v>
      </c>
      <c r="L51" s="190">
        <v>0</v>
      </c>
      <c r="M51" s="190">
        <v>0</v>
      </c>
      <c r="N51" s="190">
        <v>0</v>
      </c>
      <c r="O51" s="190">
        <v>0</v>
      </c>
      <c r="P51" s="190">
        <v>0</v>
      </c>
      <c r="Q51" s="190">
        <v>0</v>
      </c>
      <c r="R51" s="190">
        <v>0</v>
      </c>
      <c r="S51" s="190">
        <v>1.86259720453874E-2</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4.1645785014976996E-3</v>
      </c>
      <c r="AN51" s="190">
        <v>0</v>
      </c>
      <c r="AO51" s="190">
        <v>0</v>
      </c>
      <c r="AP51" s="190">
        <v>8.3791513816083695E-3</v>
      </c>
      <c r="AQ51" s="190">
        <v>5.2272720527153371E-3</v>
      </c>
      <c r="AR51" s="190">
        <v>0</v>
      </c>
      <c r="AS51" s="190">
        <v>3.3347038205992501E-3</v>
      </c>
      <c r="AT51" s="190">
        <v>6.4215999771621901E-2</v>
      </c>
      <c r="AU51" s="190">
        <v>1.54593940931704E-2</v>
      </c>
      <c r="AV51" s="190">
        <v>3.3548281829430698E-3</v>
      </c>
      <c r="AW51" s="190">
        <v>0</v>
      </c>
      <c r="AX51" s="190">
        <v>0</v>
      </c>
      <c r="AY51" s="190">
        <v>4.6295113910336454E-4</v>
      </c>
      <c r="AZ51" s="190">
        <v>0</v>
      </c>
      <c r="BA51" s="190">
        <v>0</v>
      </c>
      <c r="BB51" s="190">
        <v>0</v>
      </c>
      <c r="BC51" s="190">
        <v>0</v>
      </c>
      <c r="BD51" s="190">
        <v>0</v>
      </c>
      <c r="BE51" s="190">
        <v>0</v>
      </c>
      <c r="BF51" s="190">
        <v>0</v>
      </c>
      <c r="BG51" s="190">
        <v>0</v>
      </c>
      <c r="BH51" s="190">
        <v>0</v>
      </c>
      <c r="BI51" s="190">
        <v>0</v>
      </c>
      <c r="BJ51" s="190">
        <v>0</v>
      </c>
      <c r="BK51" s="190">
        <v>0</v>
      </c>
      <c r="BL51" s="190">
        <v>0</v>
      </c>
      <c r="BM51" s="190">
        <v>0</v>
      </c>
      <c r="BN51" s="190">
        <v>0</v>
      </c>
      <c r="BO51" s="190">
        <v>0</v>
      </c>
      <c r="BP51" s="190">
        <v>0</v>
      </c>
      <c r="BQ51" s="190">
        <v>0</v>
      </c>
      <c r="BR51" s="190">
        <v>0</v>
      </c>
      <c r="BS51" s="190">
        <v>0</v>
      </c>
      <c r="BT51" s="190">
        <v>0</v>
      </c>
      <c r="BU51" s="190">
        <v>0</v>
      </c>
      <c r="BV51" s="190">
        <v>0</v>
      </c>
      <c r="BW51" s="190">
        <v>0</v>
      </c>
      <c r="BX51" s="190">
        <v>0</v>
      </c>
      <c r="BY51" s="190">
        <v>0</v>
      </c>
      <c r="BZ51" s="190">
        <v>0</v>
      </c>
      <c r="CA51" s="190">
        <v>0</v>
      </c>
      <c r="CB51" s="190">
        <v>1.0490975446633001E-3</v>
      </c>
      <c r="CC51" s="190">
        <v>9.6535191936609997E-3</v>
      </c>
      <c r="CD51" s="190">
        <v>4.1883000019140347E-3</v>
      </c>
      <c r="CE51" s="190">
        <v>9.1615418520364102E-4</v>
      </c>
      <c r="CF51" s="190">
        <v>4.2931267669076999E-4</v>
      </c>
      <c r="CG51" s="190">
        <v>3.9849096839701097E-3</v>
      </c>
      <c r="CH51" s="190">
        <v>0</v>
      </c>
      <c r="CI51" s="190">
        <v>0</v>
      </c>
      <c r="CJ51" s="190">
        <v>0</v>
      </c>
      <c r="CK51" s="190">
        <v>0</v>
      </c>
      <c r="CL51" s="190">
        <v>0</v>
      </c>
      <c r="CM51" s="190">
        <v>0</v>
      </c>
    </row>
    <row r="52" spans="1:91" s="190" customFormat="1" ht="15" customHeight="1" x14ac:dyDescent="0.4">
      <c r="A52" s="190" t="s">
        <v>219</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9.962076378827909E-4</v>
      </c>
      <c r="AQ52" s="190">
        <v>7.9619120321812339E-5</v>
      </c>
      <c r="AR52" s="190">
        <v>0</v>
      </c>
      <c r="AS52" s="190">
        <v>0</v>
      </c>
      <c r="AT52" s="190">
        <v>2.7455552162942202E-3</v>
      </c>
      <c r="AU52" s="190">
        <v>1.5287417077810999E-3</v>
      </c>
      <c r="AV52" s="190">
        <v>0</v>
      </c>
      <c r="AW52" s="190">
        <v>0</v>
      </c>
      <c r="AX52" s="190">
        <v>0</v>
      </c>
      <c r="AY52" s="190">
        <v>0</v>
      </c>
      <c r="AZ52" s="190">
        <v>4.35181815419736E-4</v>
      </c>
      <c r="BA52" s="190">
        <v>0</v>
      </c>
      <c r="BB52" s="190">
        <v>0</v>
      </c>
      <c r="BC52" s="190">
        <v>0</v>
      </c>
      <c r="BD52" s="190">
        <v>0</v>
      </c>
      <c r="BE52" s="190">
        <v>0</v>
      </c>
      <c r="BF52" s="190">
        <v>0</v>
      </c>
      <c r="BG52" s="190">
        <v>0</v>
      </c>
      <c r="BH52" s="190">
        <v>0</v>
      </c>
      <c r="BI52" s="190">
        <v>0</v>
      </c>
      <c r="BJ52" s="190">
        <v>0</v>
      </c>
      <c r="BK52" s="190">
        <v>0</v>
      </c>
      <c r="BL52" s="190">
        <v>0</v>
      </c>
      <c r="BM52" s="190">
        <v>0</v>
      </c>
      <c r="BN52" s="190">
        <v>0</v>
      </c>
      <c r="BO52" s="190">
        <v>0</v>
      </c>
      <c r="BP52" s="190">
        <v>0</v>
      </c>
      <c r="BQ52" s="190">
        <v>0</v>
      </c>
      <c r="BR52" s="190">
        <v>0</v>
      </c>
      <c r="BS52" s="190">
        <v>9.6684592102999004E-4</v>
      </c>
      <c r="BT52" s="190">
        <v>0</v>
      </c>
      <c r="BU52" s="190">
        <v>0</v>
      </c>
      <c r="BV52" s="190">
        <v>0</v>
      </c>
      <c r="BW52" s="190">
        <v>0</v>
      </c>
      <c r="BX52" s="190">
        <v>1.9861457318104601E-2</v>
      </c>
      <c r="BY52" s="190">
        <v>0</v>
      </c>
      <c r="BZ52" s="190">
        <v>0</v>
      </c>
      <c r="CA52" s="190">
        <v>0</v>
      </c>
      <c r="CB52" s="190">
        <v>2.0570737346532499E-2</v>
      </c>
      <c r="CC52" s="190">
        <v>2.5669373750401001E-3</v>
      </c>
      <c r="CD52" s="190">
        <v>0</v>
      </c>
      <c r="CE52" s="190">
        <v>0</v>
      </c>
      <c r="CF52" s="190">
        <v>0</v>
      </c>
      <c r="CG52" s="190">
        <v>1.8847886465374101E-3</v>
      </c>
      <c r="CH52" s="190">
        <v>0</v>
      </c>
      <c r="CI52" s="190">
        <v>0</v>
      </c>
      <c r="CJ52" s="190">
        <v>0</v>
      </c>
      <c r="CK52" s="190">
        <v>0</v>
      </c>
      <c r="CL52" s="190">
        <v>0</v>
      </c>
      <c r="CM52" s="190">
        <v>0</v>
      </c>
    </row>
    <row r="53" spans="1:91" ht="15" customHeight="1" x14ac:dyDescent="0.4">
      <c r="A53" s="190" t="s">
        <v>220</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0.01</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2.4759846147700399E-2</v>
      </c>
      <c r="AN53" s="190">
        <v>5.2961418031668202E-3</v>
      </c>
      <c r="AO53" s="190">
        <v>0</v>
      </c>
      <c r="AP53" s="190">
        <v>2.3351312429444201E-2</v>
      </c>
      <c r="AQ53" s="190">
        <v>9.8273587939338894E-2</v>
      </c>
      <c r="AR53" s="190">
        <v>0</v>
      </c>
      <c r="AS53" s="190">
        <v>0</v>
      </c>
      <c r="AT53" s="190">
        <v>5.0502528681979998E-2</v>
      </c>
      <c r="AU53" s="190">
        <v>8.7002137910356797E-2</v>
      </c>
      <c r="AV53" s="190">
        <v>5.5205200168943501E-2</v>
      </c>
      <c r="AW53" s="190">
        <v>6.2720707152874811E-2</v>
      </c>
      <c r="AX53" s="190">
        <v>0</v>
      </c>
      <c r="AY53" s="190">
        <v>1.7777528067471089E-3</v>
      </c>
      <c r="AZ53" s="190">
        <v>0</v>
      </c>
      <c r="BA53" s="190">
        <v>0</v>
      </c>
      <c r="BB53" s="190">
        <v>0</v>
      </c>
      <c r="BC53" s="190">
        <v>0</v>
      </c>
      <c r="BD53" s="190">
        <v>0</v>
      </c>
      <c r="BE53" s="190">
        <v>0</v>
      </c>
      <c r="BF53" s="190">
        <v>0</v>
      </c>
      <c r="BG53" s="190">
        <v>0</v>
      </c>
      <c r="BH53" s="190">
        <v>0</v>
      </c>
      <c r="BI53" s="190">
        <v>0</v>
      </c>
      <c r="BJ53" s="190">
        <v>0</v>
      </c>
      <c r="BK53" s="190">
        <v>0</v>
      </c>
      <c r="BL53" s="190">
        <v>0</v>
      </c>
      <c r="BM53" s="190">
        <v>0</v>
      </c>
      <c r="BN53" s="190">
        <v>0</v>
      </c>
      <c r="BO53" s="190">
        <v>0</v>
      </c>
      <c r="BP53" s="190">
        <v>0</v>
      </c>
      <c r="BQ53" s="190">
        <v>0</v>
      </c>
      <c r="BR53" s="190">
        <v>0</v>
      </c>
      <c r="BS53" s="190">
        <v>0</v>
      </c>
      <c r="BT53" s="190">
        <v>0</v>
      </c>
      <c r="BU53" s="190">
        <v>0</v>
      </c>
      <c r="BV53" s="190">
        <v>0</v>
      </c>
      <c r="BW53" s="190">
        <v>0</v>
      </c>
      <c r="BX53" s="190">
        <v>2.9792185977156899E-2</v>
      </c>
      <c r="BY53" s="190">
        <v>0</v>
      </c>
      <c r="BZ53" s="190">
        <v>0</v>
      </c>
      <c r="CA53" s="190">
        <v>0</v>
      </c>
      <c r="CB53" s="190">
        <v>8.9352264643744697E-2</v>
      </c>
      <c r="CC53" s="190">
        <v>8.8269486150583908E-3</v>
      </c>
      <c r="CD53" s="190">
        <v>1.029586598616861E-3</v>
      </c>
      <c r="CE53" s="190">
        <v>0</v>
      </c>
      <c r="CF53" s="190">
        <v>5.9896487010940701E-3</v>
      </c>
      <c r="CG53" s="190">
        <v>1.8847886465374101E-3</v>
      </c>
      <c r="CH53" s="190">
        <v>1.0010010010009999E-3</v>
      </c>
      <c r="CI53" s="190">
        <v>0</v>
      </c>
      <c r="CJ53" s="190">
        <v>0</v>
      </c>
      <c r="CK53" s="190">
        <v>0</v>
      </c>
      <c r="CL53" s="190">
        <v>0</v>
      </c>
      <c r="CM53" s="190">
        <v>0</v>
      </c>
    </row>
    <row r="54" spans="1:91" ht="15" customHeight="1" x14ac:dyDescent="0.4">
      <c r="A54" s="190" t="s">
        <v>221</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1.00147601340464E-2</v>
      </c>
      <c r="T54" s="190">
        <v>0</v>
      </c>
      <c r="U54" s="190">
        <v>0</v>
      </c>
      <c r="V54" s="190">
        <v>0</v>
      </c>
      <c r="W54" s="190">
        <v>0</v>
      </c>
      <c r="X54" s="190">
        <v>2.2861022431018601E-2</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9.9188585960918608E-3</v>
      </c>
      <c r="AN54" s="244">
        <v>8.5704652887408204E-5</v>
      </c>
      <c r="AO54" s="190">
        <v>0</v>
      </c>
      <c r="AP54" s="190">
        <v>2.2412694423288401E-2</v>
      </c>
      <c r="AQ54" s="190">
        <v>4.6462613771935002E-2</v>
      </c>
      <c r="AR54" s="190">
        <v>9.9775587390898003E-4</v>
      </c>
      <c r="AS54" s="190">
        <v>0</v>
      </c>
      <c r="AT54" s="190">
        <v>2.7431499975544098E-2</v>
      </c>
      <c r="AU54" s="190">
        <v>3.9997299076538297E-2</v>
      </c>
      <c r="AV54" s="190">
        <v>5.98815002111793E-2</v>
      </c>
      <c r="AW54" s="190">
        <v>9.9988871907799995E-2</v>
      </c>
      <c r="AX54" s="190">
        <v>9.0901508359771087E-3</v>
      </c>
      <c r="AY54" s="190">
        <v>1.7062951947570545E-3</v>
      </c>
      <c r="AZ54" s="190">
        <v>2.8303981682397E-3</v>
      </c>
      <c r="BA54" s="190">
        <v>1.8197213280652363E-3</v>
      </c>
      <c r="BB54" s="190">
        <v>0</v>
      </c>
      <c r="BC54" s="190">
        <v>0</v>
      </c>
      <c r="BD54" s="190">
        <v>0</v>
      </c>
      <c r="BE54" s="190">
        <v>0</v>
      </c>
      <c r="BF54" s="190">
        <v>0</v>
      </c>
      <c r="BG54" s="190">
        <v>0</v>
      </c>
      <c r="BH54" s="190">
        <v>0</v>
      </c>
      <c r="BI54" s="190">
        <v>0</v>
      </c>
      <c r="BJ54" s="190">
        <v>0</v>
      </c>
      <c r="BK54" s="190">
        <v>0</v>
      </c>
      <c r="BL54" s="190">
        <v>0</v>
      </c>
      <c r="BM54" s="190">
        <v>0</v>
      </c>
      <c r="BN54" s="190">
        <v>0</v>
      </c>
      <c r="BO54" s="190">
        <v>7.6463380242084572E-4</v>
      </c>
      <c r="BP54" s="190">
        <v>0</v>
      </c>
      <c r="BQ54" s="190">
        <v>0</v>
      </c>
      <c r="BR54" s="190">
        <v>0</v>
      </c>
      <c r="BS54" s="190">
        <v>4.9668459210299901E-2</v>
      </c>
      <c r="BT54" s="190">
        <v>4.9734415189090896E-3</v>
      </c>
      <c r="BU54" s="190">
        <v>5.0970359336399802E-3</v>
      </c>
      <c r="BV54" s="190">
        <v>0</v>
      </c>
      <c r="BW54" s="190">
        <v>0</v>
      </c>
      <c r="BX54" s="190">
        <v>4.96536432952615E-2</v>
      </c>
      <c r="BY54" s="190">
        <v>0</v>
      </c>
      <c r="BZ54" s="190">
        <v>0</v>
      </c>
      <c r="CA54" s="190">
        <v>0</v>
      </c>
      <c r="CB54" s="190">
        <v>0.103181450176134</v>
      </c>
      <c r="CC54" s="190">
        <v>1.9768370786306499E-2</v>
      </c>
      <c r="CD54" s="190">
        <v>3.4533431288539916E-4</v>
      </c>
      <c r="CE54" s="190">
        <v>0</v>
      </c>
      <c r="CF54" s="190">
        <v>9.9827478351567807E-3</v>
      </c>
      <c r="CG54" s="190">
        <v>0</v>
      </c>
      <c r="CH54" s="190">
        <v>0</v>
      </c>
      <c r="CI54" s="190">
        <v>0</v>
      </c>
      <c r="CJ54" s="190">
        <v>0</v>
      </c>
      <c r="CK54" s="190">
        <v>0</v>
      </c>
      <c r="CL54" s="190">
        <v>0</v>
      </c>
      <c r="CM54" s="190">
        <v>0</v>
      </c>
    </row>
    <row r="55" spans="1:91" ht="15" customHeight="1" x14ac:dyDescent="0.4">
      <c r="A55" s="190" t="s">
        <v>222</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5.4753353598953195E-4</v>
      </c>
      <c r="AN55" s="190">
        <v>0</v>
      </c>
      <c r="AO55" s="190">
        <v>0</v>
      </c>
      <c r="AP55" s="190">
        <v>0</v>
      </c>
      <c r="AQ55" s="190">
        <v>0</v>
      </c>
      <c r="AR55" s="190">
        <v>0</v>
      </c>
      <c r="AS55" s="190">
        <v>0</v>
      </c>
      <c r="AT55" s="190">
        <v>2.7455552162942202E-3</v>
      </c>
      <c r="AU55" s="190">
        <v>0</v>
      </c>
      <c r="AV55" s="190">
        <v>0</v>
      </c>
      <c r="AW55" s="190">
        <v>0</v>
      </c>
      <c r="AX55" s="190">
        <v>0</v>
      </c>
      <c r="AY55" s="190">
        <v>0</v>
      </c>
      <c r="AZ55" s="190">
        <v>0</v>
      </c>
      <c r="BA55" s="190">
        <v>0</v>
      </c>
      <c r="BB55" s="190">
        <v>0</v>
      </c>
      <c r="BC55" s="190">
        <v>0</v>
      </c>
      <c r="BD55" s="190">
        <v>0</v>
      </c>
      <c r="BE55" s="190">
        <v>0</v>
      </c>
      <c r="BF55" s="190">
        <v>0</v>
      </c>
      <c r="BG55" s="190">
        <v>0</v>
      </c>
      <c r="BH55" s="190">
        <v>0</v>
      </c>
      <c r="BI55" s="190">
        <v>0</v>
      </c>
      <c r="BJ55" s="190">
        <v>0</v>
      </c>
      <c r="BK55" s="190">
        <v>0</v>
      </c>
      <c r="BL55" s="190">
        <v>0</v>
      </c>
      <c r="BM55" s="190">
        <v>0</v>
      </c>
      <c r="BN55" s="190">
        <v>0</v>
      </c>
      <c r="BO55" s="190">
        <v>0</v>
      </c>
      <c r="BP55" s="190">
        <v>0</v>
      </c>
      <c r="BQ55" s="190">
        <v>0</v>
      </c>
      <c r="BR55" s="190">
        <v>0</v>
      </c>
      <c r="BS55" s="190">
        <v>0</v>
      </c>
      <c r="BT55" s="190">
        <v>0</v>
      </c>
      <c r="BU55" s="190">
        <v>0</v>
      </c>
      <c r="BV55" s="190">
        <v>0</v>
      </c>
      <c r="BW55" s="190">
        <v>0</v>
      </c>
      <c r="BX55" s="190">
        <v>0</v>
      </c>
      <c r="BY55" s="190">
        <v>0</v>
      </c>
      <c r="BZ55" s="190">
        <v>0</v>
      </c>
      <c r="CA55" s="190">
        <v>0</v>
      </c>
      <c r="CB55" s="190">
        <v>0</v>
      </c>
      <c r="CC55" s="190">
        <v>0</v>
      </c>
      <c r="CD55" s="190">
        <v>0</v>
      </c>
      <c r="CE55" s="190">
        <v>0</v>
      </c>
      <c r="CF55" s="190">
        <v>0</v>
      </c>
      <c r="CG55" s="190">
        <v>6.5967602628809402E-3</v>
      </c>
      <c r="CH55" s="190">
        <v>0</v>
      </c>
      <c r="CI55" s="190">
        <v>0</v>
      </c>
      <c r="CJ55" s="190">
        <v>0</v>
      </c>
      <c r="CK55" s="190">
        <v>0</v>
      </c>
      <c r="CL55" s="190">
        <v>0</v>
      </c>
      <c r="CM55" s="190">
        <v>0</v>
      </c>
    </row>
    <row r="56" spans="1:91" s="190" customFormat="1" ht="15" customHeight="1" x14ac:dyDescent="0.4">
      <c r="A56" s="190" t="s">
        <v>223</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2.5236014883767699E-3</v>
      </c>
      <c r="S56" s="190">
        <v>5.00738006702322E-3</v>
      </c>
      <c r="T56" s="190">
        <v>0</v>
      </c>
      <c r="U56" s="190">
        <v>0</v>
      </c>
      <c r="V56" s="190">
        <v>0</v>
      </c>
      <c r="W56" s="190">
        <v>0</v>
      </c>
      <c r="X56" s="190">
        <v>0</v>
      </c>
      <c r="Y56" s="190">
        <v>6.02571817976097E-2</v>
      </c>
      <c r="Z56" s="190">
        <v>0.36186419996490099</v>
      </c>
      <c r="AA56" s="190">
        <v>0.268018073806149</v>
      </c>
      <c r="AB56" s="190">
        <v>0.28971675886509701</v>
      </c>
      <c r="AC56" s="190">
        <v>5.1612319948520599E-2</v>
      </c>
      <c r="AD56" s="190">
        <v>1.9082031470692699E-2</v>
      </c>
      <c r="AE56" s="190">
        <v>0.391618001633321</v>
      </c>
      <c r="AF56" s="190">
        <v>4.2984655939308003E-2</v>
      </c>
      <c r="AG56" s="190">
        <v>3.48240420817602E-3</v>
      </c>
      <c r="AH56" s="190">
        <v>3.3872004056630101E-3</v>
      </c>
      <c r="AI56" s="190">
        <v>2.03827111596665E-2</v>
      </c>
      <c r="AJ56" s="190">
        <v>2.5570533973452499E-2</v>
      </c>
      <c r="AK56" s="190">
        <v>4.97096537710758E-2</v>
      </c>
      <c r="AL56" s="190">
        <v>2.7866916927136099E-2</v>
      </c>
      <c r="AM56" s="190">
        <v>1.2879636449217999E-2</v>
      </c>
      <c r="AN56" s="190">
        <v>4.1422482928243397E-3</v>
      </c>
      <c r="AO56" s="190">
        <v>1.21012099304206E-2</v>
      </c>
      <c r="AP56" s="190">
        <v>9.9620763788279103E-3</v>
      </c>
      <c r="AQ56" s="190">
        <v>3.7158394377430409E-3</v>
      </c>
      <c r="AR56" s="190">
        <v>5.0480724884718903E-3</v>
      </c>
      <c r="AS56" s="190">
        <v>2.9749367823454602E-3</v>
      </c>
      <c r="AT56" s="190">
        <v>1.8120664224351699E-2</v>
      </c>
      <c r="AU56" s="190">
        <v>8.5026448010333908E-3</v>
      </c>
      <c r="AV56" s="190">
        <v>5.9879019843604997E-3</v>
      </c>
      <c r="AW56" s="190">
        <v>1.0906531447884909E-2</v>
      </c>
      <c r="AX56" s="190">
        <v>7.2721206687816915E-3</v>
      </c>
      <c r="AY56" s="190">
        <v>6.4245244553418996E-3</v>
      </c>
      <c r="AZ56" s="190">
        <v>2.8055445332275542E-3</v>
      </c>
      <c r="BA56" s="190">
        <v>0</v>
      </c>
      <c r="BB56" s="190">
        <v>2.7533776166544272E-3</v>
      </c>
      <c r="BC56" s="190">
        <v>0</v>
      </c>
      <c r="BD56" s="190">
        <v>6.3640558181871304E-3</v>
      </c>
      <c r="BE56" s="190">
        <v>6.2399772292753399E-3</v>
      </c>
      <c r="BF56" s="190">
        <v>0</v>
      </c>
      <c r="BG56" s="190">
        <v>0</v>
      </c>
      <c r="BH56" s="190">
        <v>0</v>
      </c>
      <c r="BI56" s="190">
        <v>0</v>
      </c>
      <c r="BJ56" s="190">
        <v>0</v>
      </c>
      <c r="BK56" s="190">
        <v>0</v>
      </c>
      <c r="BL56" s="190">
        <v>0</v>
      </c>
      <c r="BM56" s="190">
        <v>0</v>
      </c>
      <c r="BN56" s="190">
        <v>0</v>
      </c>
      <c r="BO56" s="190">
        <v>7.5402497858028685E-6</v>
      </c>
      <c r="BP56" s="190">
        <v>0</v>
      </c>
      <c r="BQ56" s="190">
        <v>0</v>
      </c>
      <c r="BR56" s="190">
        <v>0</v>
      </c>
      <c r="BS56" s="190">
        <v>0</v>
      </c>
      <c r="BT56" s="190">
        <v>0</v>
      </c>
      <c r="BU56" s="190">
        <v>0</v>
      </c>
      <c r="BV56" s="190">
        <v>0</v>
      </c>
      <c r="BW56" s="190">
        <v>0</v>
      </c>
      <c r="BX56" s="190">
        <v>0</v>
      </c>
      <c r="BY56" s="190">
        <v>0</v>
      </c>
      <c r="BZ56" s="190">
        <v>0</v>
      </c>
      <c r="CA56" s="190">
        <v>1.4580769472093E-2</v>
      </c>
      <c r="CB56" s="190">
        <v>0</v>
      </c>
      <c r="CC56" s="190">
        <v>0</v>
      </c>
      <c r="CD56" s="190">
        <v>0</v>
      </c>
      <c r="CE56" s="190">
        <v>2.1795058283729202E-3</v>
      </c>
      <c r="CF56" s="190">
        <v>1.99654956703136E-3</v>
      </c>
      <c r="CG56" s="190">
        <v>0</v>
      </c>
      <c r="CH56" s="190">
        <v>0</v>
      </c>
      <c r="CI56" s="190">
        <v>0</v>
      </c>
      <c r="CJ56" s="190">
        <v>0</v>
      </c>
      <c r="CK56" s="190">
        <v>0</v>
      </c>
      <c r="CL56" s="190">
        <v>0</v>
      </c>
      <c r="CM56" s="190">
        <v>0</v>
      </c>
    </row>
    <row r="57" spans="1:91" ht="15" customHeight="1" x14ac:dyDescent="0.4">
      <c r="A57" s="190" t="s">
        <v>224</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3.23488496381776E-2</v>
      </c>
      <c r="S57" s="190">
        <v>4.0059040536185803E-3</v>
      </c>
      <c r="T57" s="190">
        <v>1.1672920709424699E-2</v>
      </c>
      <c r="U57" s="190">
        <v>0</v>
      </c>
      <c r="V57" s="190">
        <v>5.0612865944025805E-4</v>
      </c>
      <c r="W57" s="190">
        <v>5.0102494657141804E-3</v>
      </c>
      <c r="X57" s="190">
        <v>5.7607376228406202E-4</v>
      </c>
      <c r="Y57" s="190">
        <v>0.12051436309067499</v>
      </c>
      <c r="Z57" s="190">
        <v>0.39385219554190898</v>
      </c>
      <c r="AA57" s="190">
        <v>0.56253861678400896</v>
      </c>
      <c r="AB57" s="190">
        <v>0.54176695295615396</v>
      </c>
      <c r="AC57" s="190">
        <v>0.543956891348222</v>
      </c>
      <c r="AD57" s="190">
        <v>0.82478015929360604</v>
      </c>
      <c r="AE57" s="190">
        <v>0.29145994556597499</v>
      </c>
      <c r="AF57" s="190">
        <v>0.54080695030617698</v>
      </c>
      <c r="AG57" s="190">
        <v>0.105632938269803</v>
      </c>
      <c r="AH57" s="190">
        <v>3.3872004056630101E-3</v>
      </c>
      <c r="AI57" s="190">
        <v>3.01913560806319E-2</v>
      </c>
      <c r="AJ57" s="190">
        <v>4.0456427178762001E-2</v>
      </c>
      <c r="AK57" s="190">
        <v>4.97096537710758E-2</v>
      </c>
      <c r="AL57" s="190">
        <v>2.7866916927136099E-2</v>
      </c>
      <c r="AM57" s="190">
        <v>1.5399421823692199E-2</v>
      </c>
      <c r="AN57" s="190">
        <v>1.0698847009856001E-2</v>
      </c>
      <c r="AO57" s="190">
        <v>2.4728558805271798E-2</v>
      </c>
      <c r="AP57" s="190">
        <v>7.29900641245564E-2</v>
      </c>
      <c r="AQ57" s="190">
        <v>6.1572024876062198E-2</v>
      </c>
      <c r="AR57" s="190">
        <v>3.9977558739089702E-2</v>
      </c>
      <c r="AS57" s="190">
        <v>9.9164559411515397E-4</v>
      </c>
      <c r="AT57" s="190">
        <v>2.0452958671399301E-2</v>
      </c>
      <c r="AU57" s="190">
        <v>1.9998379445923E-2</v>
      </c>
      <c r="AV57" s="190">
        <v>1.9976300042235801E-2</v>
      </c>
      <c r="AW57" s="190">
        <v>1.8179592563378179E-2</v>
      </c>
      <c r="AX57" s="190">
        <v>1.4544241337563364E-2</v>
      </c>
      <c r="AY57" s="190">
        <v>2.7533671034075361E-3</v>
      </c>
      <c r="AZ57" s="190">
        <v>7.0462699688431697E-3</v>
      </c>
      <c r="BA57" s="190">
        <v>0</v>
      </c>
      <c r="BB57" s="190">
        <v>6.4245483787526087E-3</v>
      </c>
      <c r="BC57" s="190">
        <v>0</v>
      </c>
      <c r="BD57" s="190">
        <v>1.484946357577E-2</v>
      </c>
      <c r="BE57" s="190">
        <v>1.45599461968737E-2</v>
      </c>
      <c r="BF57" s="190">
        <v>0</v>
      </c>
      <c r="BG57" s="190">
        <v>0</v>
      </c>
      <c r="BH57" s="190">
        <v>0</v>
      </c>
      <c r="BI57" s="190">
        <v>5.0000000000000001E-3</v>
      </c>
      <c r="BJ57" s="190">
        <v>0</v>
      </c>
      <c r="BK57" s="190">
        <v>0</v>
      </c>
      <c r="BL57" s="190">
        <v>0</v>
      </c>
      <c r="BM57" s="190">
        <v>0</v>
      </c>
      <c r="BN57" s="190">
        <v>0</v>
      </c>
      <c r="BO57" s="190">
        <v>1.1310374678704293E-5</v>
      </c>
      <c r="BP57" s="190">
        <v>0</v>
      </c>
      <c r="BQ57" s="190">
        <v>0</v>
      </c>
      <c r="BR57" s="190">
        <v>0</v>
      </c>
      <c r="BS57" s="190">
        <v>7.9992742591758703E-2</v>
      </c>
      <c r="BT57" s="190">
        <v>0</v>
      </c>
      <c r="BU57" s="190">
        <v>0</v>
      </c>
      <c r="BV57" s="190">
        <v>0</v>
      </c>
      <c r="BW57" s="190">
        <v>0</v>
      </c>
      <c r="BX57" s="190">
        <v>6.7459683540608301E-2</v>
      </c>
      <c r="BY57" s="190">
        <v>0</v>
      </c>
      <c r="BZ57" s="190">
        <v>0</v>
      </c>
      <c r="CA57" s="190">
        <v>1.0414835337209299E-2</v>
      </c>
      <c r="CB57" s="244">
        <v>5.8498927971239802E-5</v>
      </c>
      <c r="CC57" s="190">
        <v>0</v>
      </c>
      <c r="CD57" s="190">
        <v>0</v>
      </c>
      <c r="CE57" s="190">
        <v>2.1795058283729202E-3</v>
      </c>
      <c r="CF57" s="190">
        <v>1.99654956703136E-3</v>
      </c>
      <c r="CG57" s="190">
        <v>0</v>
      </c>
      <c r="CH57" s="190">
        <v>0</v>
      </c>
      <c r="CI57" s="190">
        <v>0</v>
      </c>
      <c r="CJ57" s="190">
        <v>0</v>
      </c>
      <c r="CK57" s="190">
        <v>0</v>
      </c>
      <c r="CL57" s="190">
        <v>0</v>
      </c>
      <c r="CM57" s="190">
        <v>0</v>
      </c>
    </row>
    <row r="58" spans="1:91" ht="15" customHeight="1" x14ac:dyDescent="0.4">
      <c r="A58" s="190" t="s">
        <v>225</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1.0014760134046401E-3</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9.8644805369324292E-3</v>
      </c>
      <c r="AN58" s="190">
        <v>4.4824994826740397E-3</v>
      </c>
      <c r="AO58" s="190">
        <v>2.53723564709177E-3</v>
      </c>
      <c r="AP58" s="190">
        <v>1.99337608303761E-3</v>
      </c>
      <c r="AQ58" s="190">
        <v>8.6142862452935395E-3</v>
      </c>
      <c r="AR58" s="190">
        <v>9.0840667047537606E-3</v>
      </c>
      <c r="AS58" s="190">
        <v>0</v>
      </c>
      <c r="AT58" s="190">
        <v>1.5239259140425499E-2</v>
      </c>
      <c r="AU58" s="190">
        <v>1.4998379445923E-3</v>
      </c>
      <c r="AV58" s="190">
        <v>9.9763000422358589E-4</v>
      </c>
      <c r="AW58" s="190">
        <v>2.4542449960560545E-2</v>
      </c>
      <c r="AX58" s="190">
        <v>9.0901508359771078E-4</v>
      </c>
      <c r="AY58" s="190">
        <v>0</v>
      </c>
      <c r="AZ58" s="190">
        <v>0</v>
      </c>
      <c r="BA58" s="190">
        <v>0</v>
      </c>
      <c r="BB58" s="190">
        <v>0</v>
      </c>
      <c r="BC58" s="190">
        <v>0</v>
      </c>
      <c r="BD58" s="190">
        <v>0</v>
      </c>
      <c r="BE58" s="190">
        <v>0</v>
      </c>
      <c r="BF58" s="190">
        <v>0</v>
      </c>
      <c r="BG58" s="190">
        <v>0</v>
      </c>
      <c r="BH58" s="190">
        <v>0</v>
      </c>
      <c r="BI58" s="190">
        <v>0</v>
      </c>
      <c r="BJ58" s="190">
        <v>0</v>
      </c>
      <c r="BK58" s="190">
        <v>0</v>
      </c>
      <c r="BL58" s="190">
        <v>0</v>
      </c>
      <c r="BM58" s="190">
        <v>0</v>
      </c>
      <c r="BN58" s="190">
        <v>0</v>
      </c>
      <c r="BO58" s="190">
        <v>9.4253122322536056E-6</v>
      </c>
      <c r="BP58" s="190">
        <v>0</v>
      </c>
      <c r="BQ58" s="190">
        <v>0</v>
      </c>
      <c r="BR58" s="190">
        <v>0</v>
      </c>
      <c r="BS58" s="190">
        <v>0</v>
      </c>
      <c r="BT58" s="190">
        <v>0</v>
      </c>
      <c r="BU58" s="190">
        <v>0</v>
      </c>
      <c r="BV58" s="190">
        <v>0</v>
      </c>
      <c r="BW58" s="190">
        <v>0</v>
      </c>
      <c r="BX58" s="190">
        <v>0</v>
      </c>
      <c r="BY58" s="190">
        <v>0</v>
      </c>
      <c r="BZ58" s="190">
        <v>0</v>
      </c>
      <c r="CA58" s="190">
        <v>1.04148353372093E-3</v>
      </c>
      <c r="CB58" s="190">
        <v>0</v>
      </c>
      <c r="CC58" s="190">
        <v>0</v>
      </c>
      <c r="CD58" s="190">
        <v>2.7094736078663913E-2</v>
      </c>
      <c r="CE58" s="190">
        <v>2.1795058283729202E-3</v>
      </c>
      <c r="CF58" s="190">
        <v>9.9827478351567807E-4</v>
      </c>
      <c r="CG58" s="190">
        <v>0</v>
      </c>
      <c r="CH58" s="190">
        <v>0</v>
      </c>
      <c r="CI58" s="190">
        <v>0</v>
      </c>
      <c r="CJ58" s="190">
        <v>0</v>
      </c>
      <c r="CK58" s="190">
        <v>0</v>
      </c>
      <c r="CL58" s="190">
        <v>0</v>
      </c>
      <c r="CM58" s="190">
        <v>0</v>
      </c>
    </row>
    <row r="59" spans="1:91" ht="15" customHeight="1" x14ac:dyDescent="0.4">
      <c r="A59" s="190" t="s">
        <v>226</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244">
        <v>4.2258799271536096E-6</v>
      </c>
      <c r="W59" s="190">
        <v>3.5365456915522898E-4</v>
      </c>
      <c r="X59" s="190">
        <v>0</v>
      </c>
      <c r="Y59" s="244">
        <v>9.6476290094814302E-5</v>
      </c>
      <c r="Z59" s="190">
        <v>0</v>
      </c>
      <c r="AA59" s="190">
        <v>0</v>
      </c>
      <c r="AB59" s="190">
        <v>0</v>
      </c>
      <c r="AC59" s="190">
        <v>0</v>
      </c>
      <c r="AD59" s="190">
        <v>0</v>
      </c>
      <c r="AE59" s="190">
        <v>0</v>
      </c>
      <c r="AF59" s="190">
        <v>0</v>
      </c>
      <c r="AG59" s="190">
        <v>0</v>
      </c>
      <c r="AH59" s="190">
        <v>0</v>
      </c>
      <c r="AI59" s="190">
        <v>0</v>
      </c>
      <c r="AJ59" s="190">
        <v>0</v>
      </c>
      <c r="AK59" s="190">
        <v>0</v>
      </c>
      <c r="AL59" s="190">
        <v>0</v>
      </c>
      <c r="AM59" s="190">
        <v>0</v>
      </c>
      <c r="AN59" s="244">
        <v>4.4959617225393999E-5</v>
      </c>
      <c r="AO59" s="244">
        <v>4.0624318803333599E-6</v>
      </c>
      <c r="AP59" s="190">
        <v>0</v>
      </c>
      <c r="AQ59" s="190">
        <v>9.3109277595807022E-3</v>
      </c>
      <c r="AR59" s="190">
        <v>0</v>
      </c>
      <c r="AS59" s="190">
        <v>0</v>
      </c>
      <c r="AT59" s="190">
        <v>1.73112857304932E-2</v>
      </c>
      <c r="AU59" s="190">
        <v>4.3507209270681802E-4</v>
      </c>
      <c r="AV59" s="190">
        <v>4.9899178214854196E-3</v>
      </c>
      <c r="AW59" s="190">
        <v>1.8179592563378179E-2</v>
      </c>
      <c r="AX59" s="190">
        <v>0.31815527925919906</v>
      </c>
      <c r="AY59" s="190">
        <v>0</v>
      </c>
      <c r="AZ59" s="190">
        <v>4.6759071597321997E-2</v>
      </c>
      <c r="BA59" s="190">
        <v>0.54807994426438456</v>
      </c>
      <c r="BB59" s="190">
        <v>0.11967686491962176</v>
      </c>
      <c r="BC59" s="190">
        <v>0.14499999999999999</v>
      </c>
      <c r="BD59" s="190">
        <v>0</v>
      </c>
      <c r="BE59" s="190">
        <v>1.03999617130745E-2</v>
      </c>
      <c r="BF59" s="190">
        <v>0.05</v>
      </c>
      <c r="BG59" s="190">
        <v>0</v>
      </c>
      <c r="BH59" s="190">
        <v>0.19999999979999999</v>
      </c>
      <c r="BI59" s="190">
        <v>0.29199999999999998</v>
      </c>
      <c r="BJ59" s="190">
        <v>0.249921439849626</v>
      </c>
      <c r="BK59" s="190">
        <v>0</v>
      </c>
      <c r="BL59" s="82">
        <v>0.05</v>
      </c>
      <c r="BM59" s="190">
        <v>0</v>
      </c>
      <c r="BN59" s="190">
        <v>0</v>
      </c>
      <c r="BO59" s="190">
        <v>6.2835414881690629E-2</v>
      </c>
      <c r="BP59" s="190">
        <v>0.4</v>
      </c>
      <c r="BQ59" s="190">
        <v>0.22</v>
      </c>
      <c r="BR59" s="190">
        <v>0</v>
      </c>
      <c r="BS59" s="190">
        <v>0</v>
      </c>
      <c r="BT59" s="190">
        <v>0</v>
      </c>
      <c r="BU59" s="190">
        <v>0</v>
      </c>
      <c r="BV59" s="190">
        <v>0</v>
      </c>
      <c r="BW59" s="190">
        <v>0</v>
      </c>
      <c r="BX59" s="190">
        <v>0</v>
      </c>
      <c r="BY59" s="190">
        <v>0</v>
      </c>
      <c r="BZ59" s="190">
        <v>0.03</v>
      </c>
      <c r="CA59" s="190">
        <v>0</v>
      </c>
      <c r="CB59" s="190">
        <v>0</v>
      </c>
      <c r="CC59" s="190">
        <v>0</v>
      </c>
      <c r="CD59" s="190">
        <v>0</v>
      </c>
      <c r="CE59" s="190">
        <v>0</v>
      </c>
      <c r="CF59" s="190">
        <v>0</v>
      </c>
      <c r="CG59" s="190">
        <v>0</v>
      </c>
      <c r="CH59" s="190">
        <v>0</v>
      </c>
      <c r="CI59" s="190">
        <v>0</v>
      </c>
      <c r="CJ59" s="190">
        <v>0</v>
      </c>
      <c r="CK59" s="190">
        <v>0</v>
      </c>
      <c r="CL59" s="190">
        <v>0</v>
      </c>
      <c r="CM59" s="190">
        <v>0</v>
      </c>
    </row>
    <row r="60" spans="1:91" ht="15" customHeight="1" x14ac:dyDescent="0.4">
      <c r="A60" s="190" t="s">
        <v>227</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3.5992831075168201E-3</v>
      </c>
      <c r="S60" s="190">
        <v>2.5036900335116099E-2</v>
      </c>
      <c r="T60" s="190">
        <v>0</v>
      </c>
      <c r="U60" s="190">
        <v>0</v>
      </c>
      <c r="V60" s="244">
        <v>4.7249218896612602E-5</v>
      </c>
      <c r="W60" s="190">
        <v>1.68612414580321E-3</v>
      </c>
      <c r="X60" s="190">
        <v>1.91125691970002E-2</v>
      </c>
      <c r="Y60" s="190">
        <v>0</v>
      </c>
      <c r="Z60" s="190">
        <v>0</v>
      </c>
      <c r="AA60" s="190">
        <v>8.9899339567387996E-3</v>
      </c>
      <c r="AB60" s="190">
        <v>4.4422656790876697E-3</v>
      </c>
      <c r="AC60" s="190">
        <v>1.19790572575005E-2</v>
      </c>
      <c r="AD60" s="190">
        <v>8.4144951459181596E-4</v>
      </c>
      <c r="AE60" s="190">
        <v>2.9999972164225799E-3</v>
      </c>
      <c r="AF60" s="190">
        <v>9.9964316137925494E-4</v>
      </c>
      <c r="AG60" s="190">
        <v>0</v>
      </c>
      <c r="AH60" s="190">
        <v>0</v>
      </c>
      <c r="AI60" s="190">
        <v>3.02322643168444E-2</v>
      </c>
      <c r="AJ60" s="190">
        <v>0</v>
      </c>
      <c r="AK60" s="190">
        <v>0</v>
      </c>
      <c r="AL60" s="190">
        <v>0</v>
      </c>
      <c r="AM60" s="190">
        <v>0</v>
      </c>
      <c r="AN60" s="190">
        <v>0.11328807291736</v>
      </c>
      <c r="AO60" s="190">
        <v>2.1493231306337901E-2</v>
      </c>
      <c r="AP60" s="190">
        <v>7.98344020759401E-2</v>
      </c>
      <c r="AQ60" s="190">
        <v>0</v>
      </c>
      <c r="AR60" s="190">
        <v>0.137968357822116</v>
      </c>
      <c r="AS60" s="190">
        <v>4.3715644872236803E-3</v>
      </c>
      <c r="AT60" s="190">
        <v>2.1583850927816201E-2</v>
      </c>
      <c r="AU60" s="190">
        <v>2.5456800106311201E-2</v>
      </c>
      <c r="AV60" s="190">
        <v>5.1924160135154801E-2</v>
      </c>
      <c r="AW60" s="190">
        <v>1.8179592563378179E-2</v>
      </c>
      <c r="AX60" s="190">
        <v>2.7270452507931364E-2</v>
      </c>
      <c r="AY60" s="190">
        <v>0.24775881422175816</v>
      </c>
      <c r="AZ60" s="190">
        <v>9.3494442718627266E-2</v>
      </c>
      <c r="BA60" s="190">
        <v>1.8288199347055636E-2</v>
      </c>
      <c r="BB60" s="190">
        <v>4.5855856774585271E-2</v>
      </c>
      <c r="BC60" s="190">
        <v>0.02</v>
      </c>
      <c r="BD60" s="190">
        <v>0</v>
      </c>
      <c r="BE60" s="190">
        <v>0</v>
      </c>
      <c r="BF60" s="190">
        <v>0.05</v>
      </c>
      <c r="BG60" s="190">
        <v>0</v>
      </c>
      <c r="BH60" s="190">
        <v>0</v>
      </c>
      <c r="BI60" s="190">
        <v>0</v>
      </c>
      <c r="BJ60" s="190">
        <v>0</v>
      </c>
      <c r="BK60" s="190">
        <v>0</v>
      </c>
      <c r="BL60" s="190">
        <v>0</v>
      </c>
      <c r="BM60" s="190">
        <v>0</v>
      </c>
      <c r="BN60" s="190">
        <v>5.0000000000000001E-3</v>
      </c>
      <c r="BO60" s="190">
        <v>0</v>
      </c>
      <c r="BP60" s="190">
        <v>0</v>
      </c>
      <c r="BQ60" s="190">
        <v>3.5000000000000003E-2</v>
      </c>
      <c r="BR60" s="190">
        <v>0</v>
      </c>
      <c r="BS60" s="190">
        <v>0</v>
      </c>
      <c r="BT60" s="190">
        <v>0</v>
      </c>
      <c r="BU60" s="190">
        <v>0</v>
      </c>
      <c r="BV60" s="190">
        <v>0</v>
      </c>
      <c r="BW60" s="190">
        <v>0</v>
      </c>
      <c r="BX60" s="190">
        <v>0</v>
      </c>
      <c r="BY60" s="190">
        <v>0</v>
      </c>
      <c r="BZ60" s="190">
        <v>0.08</v>
      </c>
      <c r="CA60" s="190">
        <v>5.20741766860464E-2</v>
      </c>
      <c r="CB60" s="190">
        <v>3.4666896832403499E-3</v>
      </c>
      <c r="CC60" s="190">
        <v>0</v>
      </c>
      <c r="CD60" s="190">
        <v>0</v>
      </c>
      <c r="CE60" s="190">
        <v>0</v>
      </c>
      <c r="CF60" s="190">
        <v>0</v>
      </c>
      <c r="CG60" s="190">
        <v>0</v>
      </c>
      <c r="CH60" s="190">
        <v>0</v>
      </c>
      <c r="CI60" s="190">
        <v>0</v>
      </c>
      <c r="CJ60" s="190">
        <v>0</v>
      </c>
      <c r="CK60" s="190">
        <v>0</v>
      </c>
      <c r="CL60" s="190">
        <v>0</v>
      </c>
      <c r="CM60" s="190">
        <v>0</v>
      </c>
    </row>
    <row r="61" spans="1:91" ht="15" customHeight="1" x14ac:dyDescent="0.4">
      <c r="A61" s="190" t="s">
        <v>228</v>
      </c>
      <c r="B61" s="190">
        <v>0</v>
      </c>
      <c r="C61" s="190">
        <v>0</v>
      </c>
      <c r="D61" s="190">
        <v>0</v>
      </c>
      <c r="E61" s="190">
        <v>0</v>
      </c>
      <c r="F61" s="190">
        <v>0</v>
      </c>
      <c r="G61" s="190">
        <v>0</v>
      </c>
      <c r="H61" s="190">
        <v>0</v>
      </c>
      <c r="I61" s="190">
        <v>0</v>
      </c>
      <c r="J61" s="190">
        <v>0</v>
      </c>
      <c r="K61" s="190">
        <v>0</v>
      </c>
      <c r="L61" s="190">
        <v>0</v>
      </c>
      <c r="M61" s="190">
        <v>0</v>
      </c>
      <c r="N61" s="190">
        <v>0</v>
      </c>
      <c r="O61" s="190">
        <v>0</v>
      </c>
      <c r="P61" s="190">
        <v>0</v>
      </c>
      <c r="Q61" s="190">
        <v>0</v>
      </c>
      <c r="R61" s="190">
        <v>1.6117460684927799E-2</v>
      </c>
      <c r="S61" s="190">
        <v>0</v>
      </c>
      <c r="T61" s="190">
        <v>0</v>
      </c>
      <c r="U61" s="190">
        <v>0</v>
      </c>
      <c r="V61" s="190">
        <v>0</v>
      </c>
      <c r="W61" s="190">
        <v>0</v>
      </c>
      <c r="X61" s="190">
        <v>0</v>
      </c>
      <c r="Y61" s="190">
        <v>0</v>
      </c>
      <c r="Z61" s="190">
        <v>0</v>
      </c>
      <c r="AA61" s="190">
        <v>1.13383898464017E-3</v>
      </c>
      <c r="AB61" s="190">
        <v>7.8297917043672902E-4</v>
      </c>
      <c r="AC61" s="190">
        <v>2.73882996120434E-3</v>
      </c>
      <c r="AD61" s="190">
        <v>1.4593138724492401E-3</v>
      </c>
      <c r="AE61" s="190">
        <v>0</v>
      </c>
      <c r="AF61" s="190">
        <v>1.9992863227585099E-3</v>
      </c>
      <c r="AG61" s="190">
        <v>1.0279158659602201E-3</v>
      </c>
      <c r="AH61" s="190">
        <v>0</v>
      </c>
      <c r="AI61" s="190">
        <v>2.0232264316844401E-2</v>
      </c>
      <c r="AJ61" s="190">
        <v>0</v>
      </c>
      <c r="AK61" s="190">
        <v>0</v>
      </c>
      <c r="AL61" s="190">
        <v>0</v>
      </c>
      <c r="AM61" s="190">
        <v>0</v>
      </c>
      <c r="AN61" s="190">
        <v>3.9824994826740401E-3</v>
      </c>
      <c r="AO61" s="190">
        <v>1.5781605724910799E-2</v>
      </c>
      <c r="AP61" s="190">
        <v>9.9668804151880307E-3</v>
      </c>
      <c r="AQ61" s="190">
        <v>0</v>
      </c>
      <c r="AR61" s="190">
        <v>2.4988779369544901E-2</v>
      </c>
      <c r="AS61" s="190">
        <v>1.9575709756203E-2</v>
      </c>
      <c r="AT61" s="190">
        <v>1.1175456702978699E-3</v>
      </c>
      <c r="AU61" s="190">
        <v>5.1106869962707002E-3</v>
      </c>
      <c r="AV61" s="190">
        <v>4.9881500211179298E-2</v>
      </c>
      <c r="AW61" s="190">
        <v>9.0897962816890984E-2</v>
      </c>
      <c r="AX61" s="190">
        <v>8.1811357523793996E-2</v>
      </c>
      <c r="AY61" s="190">
        <v>0.12301439103770544</v>
      </c>
      <c r="AZ61" s="190">
        <v>9.3494442718627266E-2</v>
      </c>
      <c r="BA61" s="190">
        <v>9.1350010668874548E-2</v>
      </c>
      <c r="BB61" s="190">
        <v>0.12391999390274816</v>
      </c>
      <c r="BC61" s="190">
        <v>0.05</v>
      </c>
      <c r="BD61" s="190">
        <v>0</v>
      </c>
      <c r="BE61" s="190">
        <v>5.23719617109847E-3</v>
      </c>
      <c r="BF61" s="190">
        <v>0.05</v>
      </c>
      <c r="BG61" s="190">
        <v>0</v>
      </c>
      <c r="BH61" s="190">
        <v>5.999999994E-2</v>
      </c>
      <c r="BI61" s="190">
        <v>1E-3</v>
      </c>
      <c r="BJ61" s="190">
        <v>1.99989436357982E-2</v>
      </c>
      <c r="BK61" s="190">
        <v>0</v>
      </c>
      <c r="BL61" s="190">
        <v>0</v>
      </c>
      <c r="BM61" s="190">
        <v>0</v>
      </c>
      <c r="BN61" s="190">
        <v>0.01</v>
      </c>
      <c r="BO61" s="190">
        <v>3.7348971722618897E-2</v>
      </c>
      <c r="BP61" s="190">
        <v>0.01</v>
      </c>
      <c r="BQ61" s="190">
        <v>0.03</v>
      </c>
      <c r="BR61" s="190">
        <v>0</v>
      </c>
      <c r="BS61" s="190">
        <v>0</v>
      </c>
      <c r="BT61" s="190">
        <v>0</v>
      </c>
      <c r="BU61" s="190">
        <v>1.9988376210352899E-3</v>
      </c>
      <c r="BV61" s="190">
        <v>0</v>
      </c>
      <c r="BW61" s="190">
        <v>0</v>
      </c>
      <c r="BX61" s="190">
        <v>0</v>
      </c>
      <c r="BY61" s="190">
        <v>0</v>
      </c>
      <c r="BZ61" s="190">
        <v>0.08</v>
      </c>
      <c r="CA61" s="190">
        <v>5.2074176686046402E-3</v>
      </c>
      <c r="CB61" s="244">
        <v>5.9797480700608601E-5</v>
      </c>
      <c r="CC61" s="190">
        <v>0</v>
      </c>
      <c r="CD61" s="190">
        <v>1.8063157385775915E-2</v>
      </c>
      <c r="CE61" s="190">
        <v>0</v>
      </c>
      <c r="CF61" s="190">
        <v>0</v>
      </c>
      <c r="CG61" s="190">
        <v>0</v>
      </c>
      <c r="CH61" s="190">
        <v>0</v>
      </c>
      <c r="CI61" s="190">
        <v>0</v>
      </c>
      <c r="CJ61" s="190">
        <v>0</v>
      </c>
      <c r="CK61" s="190">
        <v>0</v>
      </c>
      <c r="CL61" s="190">
        <v>0</v>
      </c>
      <c r="CM61" s="190">
        <v>0</v>
      </c>
    </row>
    <row r="62" spans="1:91" ht="15" customHeight="1" x14ac:dyDescent="0.4">
      <c r="A62" s="190" t="s">
        <v>229</v>
      </c>
      <c r="B62" s="190">
        <v>0</v>
      </c>
      <c r="C62" s="190">
        <v>0</v>
      </c>
      <c r="D62" s="190">
        <v>0</v>
      </c>
      <c r="E62" s="190">
        <v>0</v>
      </c>
      <c r="F62" s="190">
        <v>0</v>
      </c>
      <c r="G62" s="190">
        <v>0</v>
      </c>
      <c r="H62" s="190">
        <v>0</v>
      </c>
      <c r="I62" s="190">
        <v>0</v>
      </c>
      <c r="J62" s="190">
        <v>2.05954024002694E-2</v>
      </c>
      <c r="K62" s="190">
        <v>1.01452960531037E-2</v>
      </c>
      <c r="L62" s="190">
        <v>0</v>
      </c>
      <c r="M62" s="190">
        <v>0</v>
      </c>
      <c r="N62" s="190">
        <v>0</v>
      </c>
      <c r="O62" s="190">
        <v>0</v>
      </c>
      <c r="P62" s="190">
        <v>0</v>
      </c>
      <c r="Q62" s="190">
        <v>0</v>
      </c>
      <c r="R62" s="190">
        <v>0</v>
      </c>
      <c r="S62" s="190">
        <v>0</v>
      </c>
      <c r="T62" s="190">
        <v>0</v>
      </c>
      <c r="U62" s="190">
        <v>0</v>
      </c>
      <c r="V62" s="190">
        <v>0</v>
      </c>
      <c r="W62" s="190">
        <v>6.8396052571752697E-4</v>
      </c>
      <c r="X62" s="190">
        <v>0</v>
      </c>
      <c r="Y62" s="190">
        <v>0</v>
      </c>
      <c r="Z62" s="190">
        <v>0</v>
      </c>
      <c r="AA62" s="190">
        <v>1.4475167484615801E-3</v>
      </c>
      <c r="AB62" s="190">
        <v>3.81237122538206E-3</v>
      </c>
      <c r="AC62" s="190">
        <v>1.0436803492938899E-2</v>
      </c>
      <c r="AD62" s="190">
        <v>1.25135563527154E-3</v>
      </c>
      <c r="AE62" s="190">
        <v>3.90616417562651E-2</v>
      </c>
      <c r="AF62" s="190">
        <v>1.39950042593096E-2</v>
      </c>
      <c r="AG62" s="190">
        <v>1.74120230967118E-2</v>
      </c>
      <c r="AH62" s="190">
        <v>0</v>
      </c>
      <c r="AI62" s="190">
        <v>1.0095679542711799E-3</v>
      </c>
      <c r="AJ62" s="190">
        <v>0</v>
      </c>
      <c r="AK62" s="190">
        <v>0</v>
      </c>
      <c r="AL62" s="190">
        <v>0</v>
      </c>
      <c r="AM62" s="190">
        <v>0</v>
      </c>
      <c r="AN62" s="244">
        <v>7.2940146207897795E-7</v>
      </c>
      <c r="AO62" s="190">
        <v>0</v>
      </c>
      <c r="AP62" s="190">
        <v>0</v>
      </c>
      <c r="AQ62" s="190">
        <v>2.3036701731048205E-6</v>
      </c>
      <c r="AR62" s="190">
        <v>5.0000000000000001E-3</v>
      </c>
      <c r="AS62" s="190">
        <v>0</v>
      </c>
      <c r="AT62" s="244">
        <v>4.8583464315147598E-6</v>
      </c>
      <c r="AU62" s="244">
        <v>1.9343857558789701E-5</v>
      </c>
      <c r="AV62" s="190">
        <v>1.9952600084471701E-2</v>
      </c>
      <c r="AW62" s="190">
        <v>4.5448981408445541E-2</v>
      </c>
      <c r="AX62" s="190">
        <v>4.5450754179885547E-2</v>
      </c>
      <c r="AY62" s="190">
        <v>0</v>
      </c>
      <c r="AZ62" s="190">
        <v>1.8703629004141454E-2</v>
      </c>
      <c r="BA62" s="190">
        <v>3.6538663132931089E-2</v>
      </c>
      <c r="BB62" s="190">
        <v>9.1779262683585452E-2</v>
      </c>
      <c r="BC62" s="190">
        <v>0.05</v>
      </c>
      <c r="BD62" s="190">
        <v>0</v>
      </c>
      <c r="BE62" s="190">
        <v>5.1999808565372698E-3</v>
      </c>
      <c r="BF62" s="190">
        <v>0.05</v>
      </c>
      <c r="BG62" s="190">
        <v>0</v>
      </c>
      <c r="BH62" s="190">
        <v>6.9999999930000001E-2</v>
      </c>
      <c r="BI62" s="190">
        <v>0.05</v>
      </c>
      <c r="BJ62" s="190">
        <v>9.9973819282891691E-4</v>
      </c>
      <c r="BK62" s="190">
        <v>0</v>
      </c>
      <c r="BL62" s="190">
        <v>0</v>
      </c>
      <c r="BM62" s="190">
        <v>0</v>
      </c>
      <c r="BN62" s="190">
        <v>0.01</v>
      </c>
      <c r="BO62" s="190">
        <v>3.7348971722618897E-2</v>
      </c>
      <c r="BP62" s="190">
        <v>0.01</v>
      </c>
      <c r="BQ62" s="190">
        <v>0.02</v>
      </c>
      <c r="BR62" s="190">
        <v>0</v>
      </c>
      <c r="BS62" s="190">
        <v>0</v>
      </c>
      <c r="BT62" s="190">
        <v>0</v>
      </c>
      <c r="BU62" s="190">
        <v>2.0251643113419399E-3</v>
      </c>
      <c r="BV62" s="190">
        <v>0</v>
      </c>
      <c r="BW62" s="190">
        <v>0</v>
      </c>
      <c r="BX62" s="190">
        <v>4.9653643295261502E-3</v>
      </c>
      <c r="BY62" s="190">
        <v>0</v>
      </c>
      <c r="BZ62" s="190">
        <v>0.5</v>
      </c>
      <c r="CA62" s="190">
        <v>0.10414835337209299</v>
      </c>
      <c r="CB62" s="190">
        <v>0</v>
      </c>
      <c r="CC62" s="190">
        <v>0</v>
      </c>
      <c r="CD62" s="190">
        <v>0</v>
      </c>
      <c r="CE62" s="190">
        <v>0</v>
      </c>
      <c r="CF62" s="190">
        <v>0</v>
      </c>
      <c r="CG62" s="190">
        <v>0</v>
      </c>
      <c r="CH62" s="190">
        <v>0</v>
      </c>
      <c r="CI62" s="190">
        <v>0</v>
      </c>
      <c r="CJ62" s="190">
        <v>0</v>
      </c>
      <c r="CK62" s="190">
        <v>0</v>
      </c>
      <c r="CL62" s="190">
        <v>0</v>
      </c>
      <c r="CM62" s="190">
        <v>0</v>
      </c>
    </row>
    <row r="63" spans="1:91" ht="15" customHeight="1" x14ac:dyDescent="0.4">
      <c r="A63" s="190" t="s">
        <v>230</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9.3072623602721198E-4</v>
      </c>
      <c r="AR63" s="190">
        <v>0</v>
      </c>
      <c r="AS63" s="190">
        <v>0</v>
      </c>
      <c r="AT63" s="190">
        <v>1.3119091686276099E-3</v>
      </c>
      <c r="AU63" s="244">
        <v>8.51072247125951E-5</v>
      </c>
      <c r="AV63" s="190">
        <v>0</v>
      </c>
      <c r="AW63" s="190">
        <v>0</v>
      </c>
      <c r="AX63" s="190">
        <v>9.0901508359771078E-4</v>
      </c>
      <c r="AY63" s="190">
        <v>0</v>
      </c>
      <c r="AZ63" s="190">
        <v>4.6759072510353635E-3</v>
      </c>
      <c r="BA63" s="190">
        <v>0</v>
      </c>
      <c r="BB63" s="190">
        <v>1.8355853810490908E-3</v>
      </c>
      <c r="BC63" s="190">
        <v>0</v>
      </c>
      <c r="BD63" s="190">
        <v>0</v>
      </c>
      <c r="BE63" s="190">
        <v>0</v>
      </c>
      <c r="BF63" s="190">
        <v>0.1</v>
      </c>
      <c r="BG63" s="190">
        <v>0</v>
      </c>
      <c r="BH63" s="190">
        <v>4.9999999949999997E-3</v>
      </c>
      <c r="BI63" s="190">
        <v>0</v>
      </c>
      <c r="BJ63" s="190">
        <v>9.9973819282891691E-4</v>
      </c>
      <c r="BK63" s="190">
        <v>0</v>
      </c>
      <c r="BL63" s="190">
        <v>0</v>
      </c>
      <c r="BM63" s="190">
        <v>0</v>
      </c>
      <c r="BN63" s="190">
        <v>0</v>
      </c>
      <c r="BO63" s="190">
        <v>3.7352388735223042E-2</v>
      </c>
      <c r="BP63" s="190">
        <v>0.02</v>
      </c>
      <c r="BQ63" s="190">
        <v>0.04</v>
      </c>
      <c r="BR63" s="190">
        <v>0</v>
      </c>
      <c r="BS63" s="190">
        <v>0</v>
      </c>
      <c r="BT63" s="190">
        <v>0</v>
      </c>
      <c r="BU63" s="190">
        <v>0</v>
      </c>
      <c r="BV63" s="190">
        <v>0</v>
      </c>
      <c r="BW63" s="190">
        <v>0</v>
      </c>
      <c r="BX63" s="190">
        <v>0</v>
      </c>
      <c r="BY63" s="190">
        <v>0</v>
      </c>
      <c r="BZ63" s="190">
        <v>4.0000000000000001E-3</v>
      </c>
      <c r="CA63" s="190">
        <v>0</v>
      </c>
      <c r="CB63" s="190">
        <v>0</v>
      </c>
      <c r="CC63" s="190">
        <v>4.9863505943878198E-3</v>
      </c>
      <c r="CD63" s="190">
        <v>0</v>
      </c>
      <c r="CE63" s="190">
        <v>0</v>
      </c>
      <c r="CF63" s="190">
        <v>0</v>
      </c>
      <c r="CG63" s="190">
        <v>0</v>
      </c>
      <c r="CH63" s="190">
        <v>0</v>
      </c>
      <c r="CI63" s="190">
        <v>0</v>
      </c>
      <c r="CJ63" s="190">
        <v>0</v>
      </c>
      <c r="CK63" s="190">
        <v>0</v>
      </c>
      <c r="CL63" s="190">
        <v>0</v>
      </c>
      <c r="CM63" s="190">
        <v>0</v>
      </c>
    </row>
    <row r="64" spans="1:91" ht="15" customHeight="1" x14ac:dyDescent="0.4">
      <c r="A64" s="190" t="s">
        <v>231</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2.63560075992801E-4</v>
      </c>
      <c r="AB64" s="190">
        <v>1.4816915243242101E-4</v>
      </c>
      <c r="AC64" s="190">
        <v>1.3441539275619401E-3</v>
      </c>
      <c r="AD64" s="190">
        <v>2.8368869349095502E-4</v>
      </c>
      <c r="AE64" s="190">
        <v>0</v>
      </c>
      <c r="AF64" s="190">
        <v>0</v>
      </c>
      <c r="AG64" s="190">
        <v>1.1608017453639599E-3</v>
      </c>
      <c r="AH64" s="190">
        <v>0</v>
      </c>
      <c r="AI64" s="190">
        <v>0</v>
      </c>
      <c r="AJ64" s="190">
        <v>0</v>
      </c>
      <c r="AK64" s="190">
        <v>0</v>
      </c>
      <c r="AL64" s="190">
        <v>0</v>
      </c>
      <c r="AM64" s="190">
        <v>0</v>
      </c>
      <c r="AN64" s="190">
        <v>1E-4</v>
      </c>
      <c r="AO64" s="190">
        <v>1.7983443411960401E-4</v>
      </c>
      <c r="AP64" s="190">
        <v>0</v>
      </c>
      <c r="AQ64" s="190">
        <v>0</v>
      </c>
      <c r="AR64" s="190">
        <v>0</v>
      </c>
      <c r="AS64" s="190">
        <v>0</v>
      </c>
      <c r="AT64" s="244">
        <v>2.2858121735159602E-5</v>
      </c>
      <c r="AU64" s="190">
        <v>1.4507893169092299E-4</v>
      </c>
      <c r="AV64" s="190">
        <v>0</v>
      </c>
      <c r="AW64" s="190">
        <v>0</v>
      </c>
      <c r="AX64" s="190">
        <v>4.5450754179885543E-3</v>
      </c>
      <c r="AY64" s="190">
        <v>0</v>
      </c>
      <c r="AZ64" s="190">
        <v>4.6759072510353635E-3</v>
      </c>
      <c r="BA64" s="190">
        <v>0</v>
      </c>
      <c r="BB64" s="190">
        <v>4.5889629977035181E-3</v>
      </c>
      <c r="BC64" s="190">
        <v>0</v>
      </c>
      <c r="BD64" s="190">
        <v>0</v>
      </c>
      <c r="BE64" s="190">
        <v>0</v>
      </c>
      <c r="BF64" s="190">
        <v>0.114</v>
      </c>
      <c r="BG64" s="190">
        <v>0</v>
      </c>
      <c r="BH64" s="190">
        <v>4.9999999949999997E-3</v>
      </c>
      <c r="BI64" s="190">
        <v>0.2</v>
      </c>
      <c r="BJ64" s="190">
        <v>9.9973813283208604E-2</v>
      </c>
      <c r="BK64" s="190">
        <v>0.05</v>
      </c>
      <c r="BL64" s="190">
        <v>0</v>
      </c>
      <c r="BM64" s="190">
        <v>0</v>
      </c>
      <c r="BN64" s="190">
        <v>0.01</v>
      </c>
      <c r="BO64" s="190">
        <v>3.7348971722618897E-2</v>
      </c>
      <c r="BP64" s="190">
        <v>0.02</v>
      </c>
      <c r="BQ64" s="190">
        <v>0.1</v>
      </c>
      <c r="BR64" s="190">
        <v>0</v>
      </c>
      <c r="BS64" s="190">
        <v>0</v>
      </c>
      <c r="BT64" s="190">
        <v>0</v>
      </c>
      <c r="BU64" s="190">
        <v>0</v>
      </c>
      <c r="BV64" s="190">
        <v>0</v>
      </c>
      <c r="BW64" s="190">
        <v>0</v>
      </c>
      <c r="BX64" s="190">
        <v>0</v>
      </c>
      <c r="BY64" s="190">
        <v>0</v>
      </c>
      <c r="BZ64" s="190">
        <v>0.1</v>
      </c>
      <c r="CA64" s="190">
        <v>0</v>
      </c>
      <c r="CB64" s="190">
        <v>0</v>
      </c>
      <c r="CC64" s="190">
        <v>0</v>
      </c>
      <c r="CD64" s="190">
        <v>0</v>
      </c>
      <c r="CE64" s="190">
        <v>0</v>
      </c>
      <c r="CF64" s="190">
        <v>0</v>
      </c>
      <c r="CG64" s="190">
        <v>0</v>
      </c>
      <c r="CH64" s="190">
        <v>0</v>
      </c>
      <c r="CI64" s="190">
        <v>0</v>
      </c>
      <c r="CJ64" s="190">
        <v>0</v>
      </c>
      <c r="CK64" s="190">
        <v>0</v>
      </c>
      <c r="CL64" s="190">
        <v>0</v>
      </c>
      <c r="CM64" s="190">
        <v>0</v>
      </c>
    </row>
    <row r="65" spans="1:91" ht="15" customHeight="1" x14ac:dyDescent="0.4">
      <c r="A65" s="190" t="s">
        <v>232</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1.8614531949116749E-4</v>
      </c>
      <c r="AR65" s="190">
        <v>0</v>
      </c>
      <c r="AS65" s="190">
        <v>0</v>
      </c>
      <c r="AT65" s="244">
        <v>5.74462819595896E-5</v>
      </c>
      <c r="AU65" s="190">
        <v>1.01506070649739E-4</v>
      </c>
      <c r="AV65" s="190">
        <v>0</v>
      </c>
      <c r="AW65" s="190">
        <v>0.13634694422533636</v>
      </c>
      <c r="AX65" s="190">
        <v>9.0901508359771078E-4</v>
      </c>
      <c r="AY65" s="190">
        <v>0</v>
      </c>
      <c r="AZ65" s="190">
        <v>4.6759072510353635E-3</v>
      </c>
      <c r="BA65" s="190">
        <v>0</v>
      </c>
      <c r="BB65" s="190">
        <v>1.8355853810490908E-3</v>
      </c>
      <c r="BC65" s="190">
        <v>0</v>
      </c>
      <c r="BD65" s="190">
        <v>0</v>
      </c>
      <c r="BE65" s="190">
        <v>0</v>
      </c>
      <c r="BF65" s="190">
        <v>0.05</v>
      </c>
      <c r="BG65" s="190">
        <v>0</v>
      </c>
      <c r="BH65" s="190">
        <v>1.4999999985E-2</v>
      </c>
      <c r="BI65" s="190">
        <v>0.05</v>
      </c>
      <c r="BJ65" s="190">
        <v>9.9973809283419798E-3</v>
      </c>
      <c r="BK65" s="190">
        <v>0</v>
      </c>
      <c r="BL65" s="190">
        <v>0</v>
      </c>
      <c r="BM65" s="190">
        <v>0</v>
      </c>
      <c r="BN65" s="190">
        <v>0</v>
      </c>
      <c r="BO65" s="190">
        <v>0.1821344128113121</v>
      </c>
      <c r="BP65" s="190">
        <v>0.2</v>
      </c>
      <c r="BQ65" s="190">
        <v>0.1</v>
      </c>
      <c r="BR65" s="190">
        <v>0</v>
      </c>
      <c r="BS65" s="190">
        <v>0</v>
      </c>
      <c r="BT65" s="190">
        <v>4.9893766075636399E-2</v>
      </c>
      <c r="BU65" s="190">
        <v>0</v>
      </c>
      <c r="BV65" s="190">
        <v>0</v>
      </c>
      <c r="BW65" s="190">
        <v>0</v>
      </c>
      <c r="BX65" s="190">
        <v>0</v>
      </c>
      <c r="BY65" s="190">
        <v>0</v>
      </c>
      <c r="BZ65" s="190">
        <v>1E-3</v>
      </c>
      <c r="CA65" s="190">
        <v>0</v>
      </c>
      <c r="CB65" s="190">
        <v>0</v>
      </c>
      <c r="CC65" s="190">
        <v>0</v>
      </c>
      <c r="CD65" s="190">
        <v>0</v>
      </c>
      <c r="CE65" s="190">
        <v>0</v>
      </c>
      <c r="CF65" s="190">
        <v>0</v>
      </c>
      <c r="CG65" s="190">
        <v>0</v>
      </c>
      <c r="CH65" s="190">
        <v>0</v>
      </c>
      <c r="CI65" s="190">
        <v>0</v>
      </c>
      <c r="CJ65" s="190">
        <v>0</v>
      </c>
      <c r="CK65" s="190">
        <v>0</v>
      </c>
      <c r="CL65" s="190">
        <v>0</v>
      </c>
      <c r="CM65" s="190">
        <v>0</v>
      </c>
    </row>
    <row r="66" spans="1:91" ht="15" customHeight="1" x14ac:dyDescent="0.4">
      <c r="A66" s="190" t="s">
        <v>233</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244">
        <v>1.20578440588117E-5</v>
      </c>
      <c r="W66" s="244">
        <v>4.7100358528400998E-5</v>
      </c>
      <c r="X66" s="190">
        <v>4.0397280455200201E-4</v>
      </c>
      <c r="Y66" s="244">
        <v>6.4478320546700702E-5</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5.9944722106172201E-4</v>
      </c>
      <c r="AV66" s="190">
        <v>0</v>
      </c>
      <c r="AW66" s="190">
        <v>0</v>
      </c>
      <c r="AX66" s="190">
        <v>0</v>
      </c>
      <c r="AY66" s="190">
        <v>0</v>
      </c>
      <c r="AZ66" s="190">
        <v>9.3518181541973617E-4</v>
      </c>
      <c r="BA66" s="190">
        <v>0</v>
      </c>
      <c r="BB66" s="190">
        <v>9.177922356053272E-4</v>
      </c>
      <c r="BC66" s="190">
        <v>0</v>
      </c>
      <c r="BD66" s="190">
        <v>0</v>
      </c>
      <c r="BE66" s="190">
        <v>0</v>
      </c>
      <c r="BF66" s="190">
        <v>0.05</v>
      </c>
      <c r="BG66" s="190">
        <v>0</v>
      </c>
      <c r="BH66" s="190">
        <v>4.9999999949999997E-3</v>
      </c>
      <c r="BI66" s="190">
        <v>2E-3</v>
      </c>
      <c r="BJ66" s="190">
        <v>1.9994763856578299E-3</v>
      </c>
      <c r="BK66" s="190">
        <v>0</v>
      </c>
      <c r="BL66" s="82">
        <v>1E-3</v>
      </c>
      <c r="BM66" s="190">
        <v>0</v>
      </c>
      <c r="BN66" s="190">
        <v>0</v>
      </c>
      <c r="BO66" s="190">
        <v>0.15800421784082244</v>
      </c>
      <c r="BP66" s="190">
        <v>0.05</v>
      </c>
      <c r="BQ66" s="190">
        <v>3.4000000000000002E-2</v>
      </c>
      <c r="BR66" s="190">
        <v>0</v>
      </c>
      <c r="BS66" s="190">
        <v>0</v>
      </c>
      <c r="BT66" s="190">
        <v>0</v>
      </c>
      <c r="BU66" s="190">
        <v>0</v>
      </c>
      <c r="BV66" s="190">
        <v>0</v>
      </c>
      <c r="BW66" s="190">
        <v>0</v>
      </c>
      <c r="BX66" s="190">
        <v>0</v>
      </c>
      <c r="BY66" s="190">
        <v>0</v>
      </c>
      <c r="BZ66" s="190">
        <v>8.9999999999999993E-3</v>
      </c>
      <c r="CA66" s="190">
        <v>0</v>
      </c>
      <c r="CB66" s="190">
        <v>0</v>
      </c>
      <c r="CC66" s="190">
        <v>0</v>
      </c>
      <c r="CD66" s="190">
        <v>0</v>
      </c>
      <c r="CE66" s="190">
        <v>0</v>
      </c>
      <c r="CF66" s="190">
        <v>0</v>
      </c>
      <c r="CG66" s="190">
        <v>0</v>
      </c>
      <c r="CH66" s="190">
        <v>0</v>
      </c>
      <c r="CI66" s="190">
        <v>0</v>
      </c>
      <c r="CJ66" s="190">
        <v>0</v>
      </c>
      <c r="CK66" s="190">
        <v>0</v>
      </c>
      <c r="CL66" s="190">
        <v>0</v>
      </c>
      <c r="CM66" s="190">
        <v>0</v>
      </c>
    </row>
    <row r="67" spans="1:91" ht="15" customHeight="1" x14ac:dyDescent="0.4">
      <c r="A67" s="190" t="s">
        <v>234</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244">
        <v>2.6125530810669499E-5</v>
      </c>
      <c r="X67" s="190">
        <v>0</v>
      </c>
      <c r="Y67" s="190">
        <v>5.2617249405249901E-2</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9.6318369079516405E-3</v>
      </c>
      <c r="AO67" s="190">
        <v>2.5278418661166101E-2</v>
      </c>
      <c r="AP67" s="190">
        <v>0</v>
      </c>
      <c r="AQ67" s="190">
        <v>6.8569277461630301E-2</v>
      </c>
      <c r="AR67" s="190">
        <v>0</v>
      </c>
      <c r="AS67" s="190">
        <v>0</v>
      </c>
      <c r="AT67" s="190">
        <v>6.6515333477256099E-3</v>
      </c>
      <c r="AU67" s="190">
        <v>3.1251176787486699E-2</v>
      </c>
      <c r="AV67" s="190">
        <v>1.0084113048854201E-2</v>
      </c>
      <c r="AW67" s="190">
        <v>5.7904167503833905E-2</v>
      </c>
      <c r="AX67" s="190">
        <v>5.4046000843748715E-3</v>
      </c>
      <c r="AY67" s="190">
        <v>0</v>
      </c>
      <c r="AZ67" s="190">
        <v>3.9705457321980178E-2</v>
      </c>
      <c r="BA67" s="190">
        <v>5.4096275302031082E-3</v>
      </c>
      <c r="BB67" s="190">
        <v>7.805128111117444E-3</v>
      </c>
      <c r="BC67" s="190">
        <v>0</v>
      </c>
      <c r="BD67" s="190">
        <v>0</v>
      </c>
      <c r="BE67" s="190">
        <v>0</v>
      </c>
      <c r="BF67" s="190">
        <v>4.2468253999999997E-2</v>
      </c>
      <c r="BG67" s="190">
        <v>0</v>
      </c>
      <c r="BH67" s="190">
        <v>0</v>
      </c>
      <c r="BI67" s="190">
        <v>0</v>
      </c>
      <c r="BJ67" s="190">
        <v>0</v>
      </c>
      <c r="BK67" s="190">
        <v>0</v>
      </c>
      <c r="BL67" s="190">
        <v>0</v>
      </c>
      <c r="BM67" s="190">
        <v>0</v>
      </c>
      <c r="BN67" s="190">
        <v>0</v>
      </c>
      <c r="BO67" s="190">
        <v>0.15210240544865933</v>
      </c>
      <c r="BP67" s="190">
        <v>0</v>
      </c>
      <c r="BQ67" s="190">
        <v>0</v>
      </c>
      <c r="BR67" s="190">
        <v>0</v>
      </c>
      <c r="BS67" s="190">
        <v>0</v>
      </c>
      <c r="BT67" s="190">
        <v>1E-3</v>
      </c>
      <c r="BU67" s="190">
        <v>0</v>
      </c>
      <c r="BV67" s="190">
        <v>0</v>
      </c>
      <c r="BW67" s="190">
        <v>0</v>
      </c>
      <c r="BX67" s="190">
        <v>0</v>
      </c>
      <c r="BY67" s="190">
        <v>0</v>
      </c>
      <c r="BZ67" s="190">
        <v>0</v>
      </c>
      <c r="CA67" s="190">
        <v>0</v>
      </c>
      <c r="CB67" s="190">
        <v>4.1541418024465798E-3</v>
      </c>
      <c r="CC67" s="190">
        <v>4.2352321712372703E-3</v>
      </c>
      <c r="CD67" s="190">
        <v>0</v>
      </c>
      <c r="CE67" s="190">
        <v>0</v>
      </c>
      <c r="CF67" s="190">
        <v>0</v>
      </c>
      <c r="CG67" s="190">
        <v>0</v>
      </c>
      <c r="CH67" s="190">
        <v>0</v>
      </c>
      <c r="CI67" s="190">
        <v>0</v>
      </c>
      <c r="CJ67" s="190">
        <v>0</v>
      </c>
      <c r="CK67" s="190">
        <v>0</v>
      </c>
      <c r="CL67" s="190">
        <v>0</v>
      </c>
      <c r="CM67" s="190">
        <v>0</v>
      </c>
    </row>
    <row r="68" spans="1:91" ht="15" customHeight="1" x14ac:dyDescent="0.4">
      <c r="A68" s="190" t="s">
        <v>235</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5.6451585883575701E-3</v>
      </c>
      <c r="AR68" s="190">
        <v>0</v>
      </c>
      <c r="AS68" s="190">
        <v>0</v>
      </c>
      <c r="AT68" s="190">
        <v>1.47627592365206E-2</v>
      </c>
      <c r="AU68" s="190">
        <v>3.7654661466104199E-3</v>
      </c>
      <c r="AV68" s="190">
        <v>9.0166697648731502E-4</v>
      </c>
      <c r="AW68" s="190">
        <v>1.0269304608834361E-2</v>
      </c>
      <c r="AX68" s="190">
        <v>9.5850550080910904E-4</v>
      </c>
      <c r="AY68" s="190">
        <v>0</v>
      </c>
      <c r="AZ68" s="190">
        <v>7.0417640373335545E-3</v>
      </c>
      <c r="BA68" s="190">
        <v>9.5939711802520903E-4</v>
      </c>
      <c r="BB68" s="190">
        <v>1.3842400123609546E-3</v>
      </c>
      <c r="BC68" s="190">
        <v>0</v>
      </c>
      <c r="BD68" s="190">
        <v>0</v>
      </c>
      <c r="BE68" s="190">
        <v>0</v>
      </c>
      <c r="BF68" s="190">
        <v>7.5317459999999998E-3</v>
      </c>
      <c r="BG68" s="190">
        <v>0</v>
      </c>
      <c r="BH68" s="190">
        <v>0</v>
      </c>
      <c r="BI68" s="190">
        <v>0</v>
      </c>
      <c r="BJ68" s="190">
        <v>0</v>
      </c>
      <c r="BK68" s="190">
        <v>0</v>
      </c>
      <c r="BL68" s="190">
        <v>0</v>
      </c>
      <c r="BM68" s="190">
        <v>0</v>
      </c>
      <c r="BN68" s="190">
        <v>0</v>
      </c>
      <c r="BO68" s="190">
        <v>3.7352388735223044E-4</v>
      </c>
      <c r="BP68" s="190">
        <v>0</v>
      </c>
      <c r="BQ68" s="190">
        <v>1E-3</v>
      </c>
      <c r="BR68" s="190">
        <v>0</v>
      </c>
      <c r="BS68" s="190">
        <v>0</v>
      </c>
      <c r="BT68" s="190">
        <v>0</v>
      </c>
      <c r="BU68" s="190">
        <v>0</v>
      </c>
      <c r="BV68" s="190">
        <v>0</v>
      </c>
      <c r="BW68" s="190">
        <v>0</v>
      </c>
      <c r="BX68" s="190">
        <v>0</v>
      </c>
      <c r="BY68" s="190">
        <v>0</v>
      </c>
      <c r="BZ68" s="190">
        <v>0</v>
      </c>
      <c r="CA68" s="190">
        <v>0</v>
      </c>
      <c r="CB68" s="190">
        <v>7.2232108279295397E-4</v>
      </c>
      <c r="CC68" s="190">
        <v>7.5111842315054905E-4</v>
      </c>
      <c r="CD68" s="190">
        <v>0</v>
      </c>
      <c r="CE68" s="190">
        <v>0</v>
      </c>
      <c r="CF68" s="190">
        <v>0</v>
      </c>
      <c r="CG68" s="190">
        <v>0</v>
      </c>
      <c r="CH68" s="190">
        <v>0</v>
      </c>
      <c r="CI68" s="190">
        <v>0</v>
      </c>
      <c r="CJ68" s="190">
        <v>0</v>
      </c>
      <c r="CK68" s="190">
        <v>0</v>
      </c>
      <c r="CL68" s="190">
        <v>0</v>
      </c>
      <c r="CM68" s="190">
        <v>0</v>
      </c>
    </row>
    <row r="69" spans="1:91" ht="15" customHeight="1" x14ac:dyDescent="0.4">
      <c r="A69" s="190" t="s">
        <v>236</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0.45392033059973702</v>
      </c>
      <c r="S69" s="190">
        <v>0</v>
      </c>
      <c r="T69" s="190">
        <v>1.1672916593202501E-3</v>
      </c>
      <c r="U69" s="190">
        <v>0</v>
      </c>
      <c r="V69" s="190">
        <v>2.30964459742354E-4</v>
      </c>
      <c r="W69" s="190">
        <v>2.54891539764622E-2</v>
      </c>
      <c r="X69" s="190">
        <v>4.9072812803108699E-4</v>
      </c>
      <c r="Y69" s="190">
        <v>0</v>
      </c>
      <c r="Z69" s="190">
        <v>4.9981243089074799E-3</v>
      </c>
      <c r="AA69" s="190">
        <v>1.13203404727832E-3</v>
      </c>
      <c r="AB69" s="190">
        <v>1.0262473793645E-2</v>
      </c>
      <c r="AC69" s="190">
        <v>0</v>
      </c>
      <c r="AD69" s="190">
        <v>7.4470866865207995E-4</v>
      </c>
      <c r="AE69" s="190">
        <v>3.0047412120208202E-3</v>
      </c>
      <c r="AF69" s="190">
        <v>5.9978589682755303E-2</v>
      </c>
      <c r="AG69" s="190">
        <v>9.6346526362723298E-2</v>
      </c>
      <c r="AH69" s="190">
        <v>0</v>
      </c>
      <c r="AI69" s="190">
        <v>6.0574067240298297E-2</v>
      </c>
      <c r="AJ69" s="190">
        <v>0</v>
      </c>
      <c r="AK69" s="190">
        <v>0</v>
      </c>
      <c r="AL69" s="190">
        <v>0</v>
      </c>
      <c r="AM69" s="244">
        <v>7.0127050532963896E-5</v>
      </c>
      <c r="AN69" s="190">
        <v>3.1475657837772002E-2</v>
      </c>
      <c r="AO69" s="190">
        <v>4.1607148621308401E-3</v>
      </c>
      <c r="AP69" s="190">
        <v>9.962076378827909E-4</v>
      </c>
      <c r="AQ69" s="190">
        <v>8.8213486302205005E-3</v>
      </c>
      <c r="AR69" s="190">
        <v>0</v>
      </c>
      <c r="AS69" s="190">
        <v>0</v>
      </c>
      <c r="AT69" s="190">
        <v>3.39068343977224E-2</v>
      </c>
      <c r="AU69" s="190">
        <v>9.9954437601323096E-2</v>
      </c>
      <c r="AV69" s="190">
        <v>5.5887082194474698E-2</v>
      </c>
      <c r="AW69" s="190">
        <v>0.19997551819715997</v>
      </c>
      <c r="AX69" s="190">
        <v>0.36360603343908449</v>
      </c>
      <c r="AY69" s="190">
        <v>0.37996472036609363</v>
      </c>
      <c r="AZ69" s="190">
        <v>0.14027721570499727</v>
      </c>
      <c r="BA69" s="190">
        <v>0.18269331475479542</v>
      </c>
      <c r="BB69" s="190">
        <v>0.22944815807372179</v>
      </c>
      <c r="BC69" s="190">
        <v>0.13</v>
      </c>
      <c r="BD69" s="190">
        <v>0</v>
      </c>
      <c r="BE69" s="190">
        <v>3.1199886146376699E-2</v>
      </c>
      <c r="BF69" s="190">
        <v>0.1</v>
      </c>
      <c r="BG69" s="190">
        <v>0</v>
      </c>
      <c r="BH69" s="190">
        <v>1.9999999979999999E-2</v>
      </c>
      <c r="BI69" s="190">
        <v>0.05</v>
      </c>
      <c r="BJ69" s="190">
        <v>2.4993452820828599E-2</v>
      </c>
      <c r="BK69" s="190">
        <v>0</v>
      </c>
      <c r="BL69" s="82">
        <v>1E-3</v>
      </c>
      <c r="BM69" s="190">
        <v>0</v>
      </c>
      <c r="BN69" s="190">
        <v>3.5000000000000003E-2</v>
      </c>
      <c r="BO69" s="190">
        <v>0.1568579929566403</v>
      </c>
      <c r="BP69" s="190">
        <v>0.15</v>
      </c>
      <c r="BQ69" s="190">
        <v>1E-3</v>
      </c>
      <c r="BR69" s="190">
        <v>0</v>
      </c>
      <c r="BS69" s="190">
        <v>0</v>
      </c>
      <c r="BT69" s="190">
        <v>9.9468830378181793E-3</v>
      </c>
      <c r="BU69" s="190">
        <v>0</v>
      </c>
      <c r="BV69" s="190">
        <v>0</v>
      </c>
      <c r="BW69" s="190">
        <v>0</v>
      </c>
      <c r="BX69" s="190">
        <v>0</v>
      </c>
      <c r="BY69" s="190">
        <v>0</v>
      </c>
      <c r="BZ69" s="190">
        <v>2.5000000000000001E-2</v>
      </c>
      <c r="CA69" s="190">
        <v>0</v>
      </c>
      <c r="CB69" s="190">
        <v>1.8416787409609101E-3</v>
      </c>
      <c r="CC69" s="190">
        <v>8.1255505515663799E-3</v>
      </c>
      <c r="CD69" s="190">
        <v>9.0364913626668694E-2</v>
      </c>
      <c r="CE69" s="190">
        <v>0</v>
      </c>
      <c r="CF69" s="190">
        <v>0</v>
      </c>
      <c r="CG69" s="190">
        <v>0</v>
      </c>
      <c r="CH69" s="190">
        <v>0</v>
      </c>
      <c r="CI69" s="190">
        <v>0</v>
      </c>
      <c r="CJ69" s="190">
        <v>0</v>
      </c>
      <c r="CK69" s="190">
        <v>0</v>
      </c>
      <c r="CL69" s="190">
        <v>0</v>
      </c>
      <c r="CM69" s="190">
        <v>0</v>
      </c>
    </row>
    <row r="70" spans="1:91" ht="15" customHeight="1" x14ac:dyDescent="0.4">
      <c r="A70" s="190" t="s">
        <v>237</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244">
        <v>2.0319320199153999E-5</v>
      </c>
      <c r="AN70" s="190">
        <v>0</v>
      </c>
      <c r="AO70" s="190">
        <v>0</v>
      </c>
      <c r="AP70" s="190">
        <v>0</v>
      </c>
      <c r="AQ70" s="190">
        <v>0</v>
      </c>
      <c r="AR70" s="190">
        <v>0</v>
      </c>
      <c r="AS70" s="190">
        <v>0</v>
      </c>
      <c r="AT70" s="244">
        <v>3.61193923062576E-8</v>
      </c>
      <c r="AU70" s="190">
        <v>0</v>
      </c>
      <c r="AV70" s="190">
        <v>0</v>
      </c>
      <c r="AW70" s="190">
        <v>0</v>
      </c>
      <c r="AX70" s="190">
        <v>0</v>
      </c>
      <c r="AY70" s="190">
        <v>0</v>
      </c>
      <c r="AZ70" s="190">
        <v>0</v>
      </c>
      <c r="BA70" s="190">
        <v>0</v>
      </c>
      <c r="BB70" s="190">
        <v>0</v>
      </c>
      <c r="BC70" s="190">
        <v>0</v>
      </c>
      <c r="BD70" s="190">
        <v>0</v>
      </c>
      <c r="BE70" s="190">
        <v>0</v>
      </c>
      <c r="BF70" s="190">
        <v>0</v>
      </c>
      <c r="BG70" s="190">
        <v>0</v>
      </c>
      <c r="BH70" s="190">
        <v>0</v>
      </c>
      <c r="BI70" s="190">
        <v>0</v>
      </c>
      <c r="BJ70" s="190">
        <v>0</v>
      </c>
      <c r="BK70" s="190">
        <v>0</v>
      </c>
      <c r="BL70" s="190">
        <v>0</v>
      </c>
      <c r="BM70" s="190">
        <v>0</v>
      </c>
      <c r="BN70" s="190">
        <v>0</v>
      </c>
      <c r="BO70" s="190">
        <v>0</v>
      </c>
      <c r="BP70" s="190">
        <v>0</v>
      </c>
      <c r="BQ70" s="190">
        <v>0</v>
      </c>
      <c r="BR70" s="190">
        <v>0</v>
      </c>
      <c r="BS70" s="190">
        <v>0</v>
      </c>
      <c r="BT70" s="190">
        <v>0</v>
      </c>
      <c r="BU70" s="190">
        <v>0</v>
      </c>
      <c r="BV70" s="190">
        <v>0</v>
      </c>
      <c r="BW70" s="190">
        <v>0</v>
      </c>
      <c r="BX70" s="190">
        <v>0</v>
      </c>
      <c r="BY70" s="190">
        <v>0</v>
      </c>
      <c r="BZ70" s="190">
        <v>0</v>
      </c>
      <c r="CA70" s="190">
        <v>0</v>
      </c>
      <c r="CB70" s="190">
        <v>0</v>
      </c>
      <c r="CC70" s="190">
        <v>0</v>
      </c>
      <c r="CD70" s="190">
        <v>0</v>
      </c>
      <c r="CE70" s="190">
        <v>0</v>
      </c>
      <c r="CF70" s="190">
        <v>0</v>
      </c>
      <c r="CG70" s="190">
        <v>4.7119716163435297E-3</v>
      </c>
      <c r="CH70" s="190">
        <v>0</v>
      </c>
      <c r="CI70" s="190">
        <v>0</v>
      </c>
      <c r="CJ70" s="190">
        <v>0</v>
      </c>
      <c r="CK70" s="190">
        <v>0</v>
      </c>
      <c r="CL70" s="190">
        <v>0</v>
      </c>
      <c r="CM70" s="190">
        <v>0</v>
      </c>
    </row>
    <row r="71" spans="1:91" ht="15" customHeight="1" x14ac:dyDescent="0.4">
      <c r="A71" s="190" t="s">
        <v>238</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244">
        <v>1.7987735469975001E-5</v>
      </c>
      <c r="AN71" s="190">
        <v>0</v>
      </c>
      <c r="AO71" s="190">
        <v>0</v>
      </c>
      <c r="AP71" s="190">
        <v>0</v>
      </c>
      <c r="AQ71" s="190">
        <v>0</v>
      </c>
      <c r="AR71" s="190">
        <v>0</v>
      </c>
      <c r="AS71" s="190">
        <v>0</v>
      </c>
      <c r="AT71" s="244">
        <v>3.1974793830369603E-8</v>
      </c>
      <c r="AU71" s="190">
        <v>0</v>
      </c>
      <c r="AV71" s="190">
        <v>0</v>
      </c>
      <c r="AW71" s="190">
        <v>0</v>
      </c>
      <c r="AX71" s="190">
        <v>0</v>
      </c>
      <c r="AY71" s="190">
        <v>0</v>
      </c>
      <c r="AZ71" s="190">
        <v>0</v>
      </c>
      <c r="BA71" s="190">
        <v>0</v>
      </c>
      <c r="BB71" s="190">
        <v>0</v>
      </c>
      <c r="BC71" s="190">
        <v>0</v>
      </c>
      <c r="BD71" s="190">
        <v>0</v>
      </c>
      <c r="BE71" s="190">
        <v>0</v>
      </c>
      <c r="BF71" s="190">
        <v>0</v>
      </c>
      <c r="BG71" s="190">
        <v>0</v>
      </c>
      <c r="BH71" s="190">
        <v>0</v>
      </c>
      <c r="BI71" s="190">
        <v>0</v>
      </c>
      <c r="BJ71" s="190">
        <v>0</v>
      </c>
      <c r="BK71" s="190">
        <v>0</v>
      </c>
      <c r="BL71" s="190">
        <v>0</v>
      </c>
      <c r="BM71" s="190">
        <v>0</v>
      </c>
      <c r="BN71" s="190">
        <v>0</v>
      </c>
      <c r="BO71" s="190">
        <v>0</v>
      </c>
      <c r="BP71" s="190">
        <v>0</v>
      </c>
      <c r="BQ71" s="190">
        <v>0</v>
      </c>
      <c r="BR71" s="190">
        <v>0</v>
      </c>
      <c r="BS71" s="190">
        <v>0</v>
      </c>
      <c r="BT71" s="190">
        <v>7.6120680920522899E-3</v>
      </c>
      <c r="BU71" s="190">
        <v>0</v>
      </c>
      <c r="BV71" s="190">
        <v>0</v>
      </c>
      <c r="BW71" s="190">
        <v>0</v>
      </c>
      <c r="BX71" s="190">
        <v>0</v>
      </c>
      <c r="BY71" s="190">
        <v>0</v>
      </c>
      <c r="BZ71" s="190">
        <v>0</v>
      </c>
      <c r="CA71" s="190">
        <v>0</v>
      </c>
      <c r="CB71" s="190">
        <v>0</v>
      </c>
      <c r="CC71" s="190">
        <v>0</v>
      </c>
      <c r="CD71" s="190">
        <v>0</v>
      </c>
      <c r="CE71" s="190">
        <v>0</v>
      </c>
      <c r="CF71" s="190">
        <v>0</v>
      </c>
      <c r="CG71" s="190">
        <v>2.8271829698061201E-3</v>
      </c>
      <c r="CH71" s="190">
        <v>0</v>
      </c>
      <c r="CI71" s="190">
        <v>0</v>
      </c>
      <c r="CJ71" s="190">
        <v>0</v>
      </c>
      <c r="CK71" s="190">
        <v>0</v>
      </c>
      <c r="CL71" s="190">
        <v>0</v>
      </c>
      <c r="CM71" s="190">
        <v>0</v>
      </c>
    </row>
    <row r="72" spans="1:91" ht="15" customHeight="1" x14ac:dyDescent="0.4">
      <c r="A72" s="190" t="s">
        <v>239</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244">
        <v>1.11826249305283E-6</v>
      </c>
      <c r="AN72" s="190">
        <v>0</v>
      </c>
      <c r="AO72" s="190">
        <v>0</v>
      </c>
      <c r="AP72" s="190">
        <v>0</v>
      </c>
      <c r="AQ72" s="190">
        <v>0</v>
      </c>
      <c r="AR72" s="190">
        <v>0</v>
      </c>
      <c r="AS72" s="190">
        <v>0</v>
      </c>
      <c r="AT72" s="244">
        <v>1.9878106792977498E-9</v>
      </c>
      <c r="AU72" s="190">
        <v>0</v>
      </c>
      <c r="AV72" s="190">
        <v>0</v>
      </c>
      <c r="AW72" s="190">
        <v>0</v>
      </c>
      <c r="AX72" s="190">
        <v>0</v>
      </c>
      <c r="AY72" s="190">
        <v>0</v>
      </c>
      <c r="AZ72" s="190">
        <v>0</v>
      </c>
      <c r="BA72" s="190">
        <v>0</v>
      </c>
      <c r="BB72" s="190">
        <v>0</v>
      </c>
      <c r="BC72" s="190">
        <v>0</v>
      </c>
      <c r="BD72" s="190">
        <v>0</v>
      </c>
      <c r="BE72" s="190">
        <v>0</v>
      </c>
      <c r="BF72" s="190">
        <v>0</v>
      </c>
      <c r="BG72" s="190">
        <v>0</v>
      </c>
      <c r="BH72" s="190">
        <v>0</v>
      </c>
      <c r="BI72" s="190">
        <v>0</v>
      </c>
      <c r="BJ72" s="190">
        <v>0</v>
      </c>
      <c r="BK72" s="190">
        <v>0</v>
      </c>
      <c r="BL72" s="190">
        <v>0</v>
      </c>
      <c r="BM72" s="190">
        <v>0</v>
      </c>
      <c r="BN72" s="190">
        <v>0</v>
      </c>
      <c r="BO72" s="190">
        <v>0</v>
      </c>
      <c r="BP72" s="190">
        <v>0</v>
      </c>
      <c r="BQ72" s="190">
        <v>0</v>
      </c>
      <c r="BR72" s="190">
        <v>0</v>
      </c>
      <c r="BS72" s="190">
        <v>0</v>
      </c>
      <c r="BT72" s="190">
        <v>1.69347971501953E-3</v>
      </c>
      <c r="BU72" s="190">
        <v>0</v>
      </c>
      <c r="BV72" s="190">
        <v>0</v>
      </c>
      <c r="BW72" s="190">
        <v>0</v>
      </c>
      <c r="BX72" s="190">
        <v>0</v>
      </c>
      <c r="BY72" s="190">
        <v>0</v>
      </c>
      <c r="BZ72" s="190">
        <v>0</v>
      </c>
      <c r="CA72" s="190">
        <v>0</v>
      </c>
      <c r="CB72" s="190">
        <v>0</v>
      </c>
      <c r="CC72" s="190">
        <v>0</v>
      </c>
      <c r="CD72" s="190">
        <v>0</v>
      </c>
      <c r="CE72" s="190">
        <v>0</v>
      </c>
      <c r="CF72" s="190">
        <v>0</v>
      </c>
      <c r="CG72" s="190">
        <v>9.4239432326870601E-4</v>
      </c>
      <c r="CH72" s="190">
        <v>0</v>
      </c>
      <c r="CI72" s="190">
        <v>0</v>
      </c>
      <c r="CJ72" s="190">
        <v>0</v>
      </c>
      <c r="CK72" s="190">
        <v>0</v>
      </c>
      <c r="CL72" s="190">
        <v>0</v>
      </c>
      <c r="CM72" s="190">
        <v>0</v>
      </c>
    </row>
    <row r="73" spans="1:91" ht="15" customHeight="1" x14ac:dyDescent="0.4">
      <c r="A73" s="190" t="s">
        <v>240</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244">
        <v>7.6633284045324001E-7</v>
      </c>
      <c r="AN73" s="190">
        <v>0</v>
      </c>
      <c r="AO73" s="190">
        <v>0</v>
      </c>
      <c r="AP73" s="190">
        <v>0</v>
      </c>
      <c r="AQ73" s="190">
        <v>0</v>
      </c>
      <c r="AR73" s="190">
        <v>0</v>
      </c>
      <c r="AS73" s="190">
        <v>0</v>
      </c>
      <c r="AT73" s="244">
        <v>1.36222453459106E-9</v>
      </c>
      <c r="AU73" s="190">
        <v>0</v>
      </c>
      <c r="AV73" s="190">
        <v>0</v>
      </c>
      <c r="AW73" s="190">
        <v>0</v>
      </c>
      <c r="AX73" s="190">
        <v>0</v>
      </c>
      <c r="AY73" s="190">
        <v>0</v>
      </c>
      <c r="AZ73" s="190">
        <v>0</v>
      </c>
      <c r="BA73" s="190">
        <v>0</v>
      </c>
      <c r="BB73" s="190">
        <v>0</v>
      </c>
      <c r="BC73" s="190">
        <v>0</v>
      </c>
      <c r="BD73" s="190">
        <v>0</v>
      </c>
      <c r="BE73" s="190">
        <v>0</v>
      </c>
      <c r="BF73" s="190">
        <v>0</v>
      </c>
      <c r="BG73" s="190">
        <v>0</v>
      </c>
      <c r="BH73" s="190">
        <v>0</v>
      </c>
      <c r="BI73" s="190">
        <v>0</v>
      </c>
      <c r="BJ73" s="190">
        <v>0</v>
      </c>
      <c r="BK73" s="190">
        <v>0</v>
      </c>
      <c r="BL73" s="190">
        <v>0</v>
      </c>
      <c r="BM73" s="190">
        <v>0</v>
      </c>
      <c r="BN73" s="190">
        <v>0</v>
      </c>
      <c r="BO73" s="190">
        <v>0</v>
      </c>
      <c r="BP73" s="190">
        <v>0</v>
      </c>
      <c r="BQ73" s="190">
        <v>0</v>
      </c>
      <c r="BR73" s="190">
        <v>0</v>
      </c>
      <c r="BS73" s="190">
        <v>0</v>
      </c>
      <c r="BT73" s="190">
        <v>2.6587719953596899E-4</v>
      </c>
      <c r="BU73" s="190">
        <v>0</v>
      </c>
      <c r="BV73" s="190">
        <v>0</v>
      </c>
      <c r="BW73" s="190">
        <v>0</v>
      </c>
      <c r="BX73" s="190">
        <v>0</v>
      </c>
      <c r="BY73" s="190">
        <v>0</v>
      </c>
      <c r="BZ73" s="190">
        <v>0</v>
      </c>
      <c r="CA73" s="190">
        <v>0</v>
      </c>
      <c r="CB73" s="190">
        <v>0</v>
      </c>
      <c r="CC73" s="190">
        <v>0</v>
      </c>
      <c r="CD73" s="190">
        <v>0</v>
      </c>
      <c r="CE73" s="190">
        <v>0</v>
      </c>
      <c r="CF73" s="190">
        <v>0</v>
      </c>
      <c r="CG73" s="190">
        <v>0</v>
      </c>
      <c r="CH73" s="190">
        <v>0</v>
      </c>
      <c r="CI73" s="190">
        <v>0</v>
      </c>
      <c r="CJ73" s="190">
        <v>0</v>
      </c>
      <c r="CK73" s="190">
        <v>0</v>
      </c>
      <c r="CL73" s="190">
        <v>0</v>
      </c>
      <c r="CM73" s="190">
        <v>0</v>
      </c>
    </row>
    <row r="74" spans="1:91" ht="15" customHeight="1" x14ac:dyDescent="0.4">
      <c r="A74" s="190" t="s">
        <v>241</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244">
        <v>1.22859907347358E-6</v>
      </c>
      <c r="AN74" s="190">
        <v>0</v>
      </c>
      <c r="AO74" s="190">
        <v>0</v>
      </c>
      <c r="AP74" s="190">
        <v>0</v>
      </c>
      <c r="AQ74" s="190">
        <v>0</v>
      </c>
      <c r="AR74" s="190">
        <v>0</v>
      </c>
      <c r="AS74" s="190">
        <v>0</v>
      </c>
      <c r="AT74" s="244">
        <v>2.18394372877418E-9</v>
      </c>
      <c r="AU74" s="190">
        <v>0</v>
      </c>
      <c r="AV74" s="190">
        <v>0</v>
      </c>
      <c r="AW74" s="190">
        <v>0</v>
      </c>
      <c r="AX74" s="190">
        <v>0</v>
      </c>
      <c r="AY74" s="190">
        <v>0</v>
      </c>
      <c r="AZ74" s="190">
        <v>0</v>
      </c>
      <c r="BA74" s="190">
        <v>0</v>
      </c>
      <c r="BB74" s="190">
        <v>0</v>
      </c>
      <c r="BC74" s="190">
        <v>0</v>
      </c>
      <c r="BD74" s="190">
        <v>0</v>
      </c>
      <c r="BE74" s="190">
        <v>0</v>
      </c>
      <c r="BF74" s="190">
        <v>0</v>
      </c>
      <c r="BG74" s="190">
        <v>0</v>
      </c>
      <c r="BH74" s="190">
        <v>0</v>
      </c>
      <c r="BI74" s="190">
        <v>0</v>
      </c>
      <c r="BJ74" s="190">
        <v>0</v>
      </c>
      <c r="BK74" s="190">
        <v>0</v>
      </c>
      <c r="BL74" s="190">
        <v>0</v>
      </c>
      <c r="BM74" s="190">
        <v>0</v>
      </c>
      <c r="BN74" s="190">
        <v>0</v>
      </c>
      <c r="BO74" s="190">
        <v>0</v>
      </c>
      <c r="BP74" s="190">
        <v>0</v>
      </c>
      <c r="BQ74" s="190">
        <v>0</v>
      </c>
      <c r="BR74" s="190">
        <v>0</v>
      </c>
      <c r="BS74" s="190">
        <v>0</v>
      </c>
      <c r="BT74" s="190">
        <v>0</v>
      </c>
      <c r="BU74" s="190">
        <v>0</v>
      </c>
      <c r="BV74" s="190">
        <v>0</v>
      </c>
      <c r="BW74" s="190">
        <v>0</v>
      </c>
      <c r="BX74" s="190">
        <v>0</v>
      </c>
      <c r="BY74" s="190">
        <v>0</v>
      </c>
      <c r="BZ74" s="190">
        <v>0</v>
      </c>
      <c r="CA74" s="190">
        <v>0</v>
      </c>
      <c r="CB74" s="190">
        <v>0</v>
      </c>
      <c r="CC74" s="190">
        <v>0</v>
      </c>
      <c r="CD74" s="190">
        <v>0</v>
      </c>
      <c r="CE74" s="190">
        <v>0</v>
      </c>
      <c r="CF74" s="190">
        <v>0</v>
      </c>
      <c r="CG74" s="190">
        <v>1.8847886465374101E-3</v>
      </c>
      <c r="CH74" s="190">
        <v>0</v>
      </c>
      <c r="CI74" s="190">
        <v>0</v>
      </c>
      <c r="CJ74" s="190">
        <v>0</v>
      </c>
      <c r="CK74" s="190">
        <v>0</v>
      </c>
      <c r="CL74" s="190">
        <v>0</v>
      </c>
      <c r="CM74" s="190">
        <v>0</v>
      </c>
    </row>
    <row r="75" spans="1:91" ht="15" customHeight="1" x14ac:dyDescent="0.4">
      <c r="A75" s="190" t="s">
        <v>242</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244">
        <v>1.16951512320511E-6</v>
      </c>
      <c r="AN75" s="190">
        <v>0</v>
      </c>
      <c r="AO75" s="190">
        <v>0</v>
      </c>
      <c r="AP75" s="190">
        <v>0</v>
      </c>
      <c r="AQ75" s="190">
        <v>0</v>
      </c>
      <c r="AR75" s="190">
        <v>0</v>
      </c>
      <c r="AS75" s="190">
        <v>0</v>
      </c>
      <c r="AT75" s="244">
        <v>2.0789167712857501E-9</v>
      </c>
      <c r="AU75" s="190">
        <v>0</v>
      </c>
      <c r="AV75" s="190">
        <v>0</v>
      </c>
      <c r="AW75" s="190">
        <v>0</v>
      </c>
      <c r="AX75" s="190">
        <v>0</v>
      </c>
      <c r="AY75" s="190">
        <v>0</v>
      </c>
      <c r="AZ75" s="190">
        <v>0</v>
      </c>
      <c r="BA75" s="190">
        <v>0</v>
      </c>
      <c r="BB75" s="190">
        <v>0</v>
      </c>
      <c r="BC75" s="190">
        <v>0</v>
      </c>
      <c r="BD75" s="190">
        <v>0</v>
      </c>
      <c r="BE75" s="190">
        <v>0</v>
      </c>
      <c r="BF75" s="190">
        <v>0</v>
      </c>
      <c r="BG75" s="190">
        <v>0</v>
      </c>
      <c r="BH75" s="190">
        <v>0</v>
      </c>
      <c r="BI75" s="190">
        <v>0</v>
      </c>
      <c r="BJ75" s="190">
        <v>0</v>
      </c>
      <c r="BK75" s="190">
        <v>0</v>
      </c>
      <c r="BL75" s="190">
        <v>0</v>
      </c>
      <c r="BM75" s="190">
        <v>0</v>
      </c>
      <c r="BN75" s="190">
        <v>0</v>
      </c>
      <c r="BO75" s="190">
        <v>0</v>
      </c>
      <c r="BP75" s="190">
        <v>0</v>
      </c>
      <c r="BQ75" s="190">
        <v>0</v>
      </c>
      <c r="BR75" s="190">
        <v>0</v>
      </c>
      <c r="BS75" s="190">
        <v>0</v>
      </c>
      <c r="BT75" s="190">
        <v>0</v>
      </c>
      <c r="BU75" s="190">
        <v>0</v>
      </c>
      <c r="BV75" s="190">
        <v>0</v>
      </c>
      <c r="BW75" s="190">
        <v>0</v>
      </c>
      <c r="BX75" s="190">
        <v>0</v>
      </c>
      <c r="BY75" s="190">
        <v>0</v>
      </c>
      <c r="BZ75" s="190">
        <v>0</v>
      </c>
      <c r="CA75" s="190">
        <v>0</v>
      </c>
      <c r="CB75" s="190">
        <v>0</v>
      </c>
      <c r="CC75" s="190">
        <v>0</v>
      </c>
      <c r="CD75" s="190">
        <v>0</v>
      </c>
      <c r="CE75" s="190">
        <v>0</v>
      </c>
      <c r="CF75" s="190">
        <v>0</v>
      </c>
      <c r="CG75" s="190">
        <v>9.4239432326870601E-4</v>
      </c>
      <c r="CH75" s="190">
        <v>0</v>
      </c>
      <c r="CI75" s="190">
        <v>0</v>
      </c>
      <c r="CJ75" s="190">
        <v>0</v>
      </c>
      <c r="CK75" s="190">
        <v>0</v>
      </c>
      <c r="CL75" s="190">
        <v>0</v>
      </c>
      <c r="CM75" s="190">
        <v>0</v>
      </c>
    </row>
    <row r="76" spans="1:91" ht="15" customHeight="1" x14ac:dyDescent="0.4">
      <c r="A76" s="190" t="s">
        <v>243</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244">
        <v>8.6918867248863305E-7</v>
      </c>
      <c r="AN76" s="190">
        <v>0</v>
      </c>
      <c r="AO76" s="190">
        <v>0</v>
      </c>
      <c r="AP76" s="190">
        <v>0</v>
      </c>
      <c r="AQ76" s="190">
        <v>0</v>
      </c>
      <c r="AR76" s="190">
        <v>0</v>
      </c>
      <c r="AS76" s="190">
        <v>0</v>
      </c>
      <c r="AT76" s="244">
        <v>1.54505989088549E-9</v>
      </c>
      <c r="AU76" s="190">
        <v>0</v>
      </c>
      <c r="AV76" s="190">
        <v>0</v>
      </c>
      <c r="AW76" s="190">
        <v>0</v>
      </c>
      <c r="AX76" s="190">
        <v>0</v>
      </c>
      <c r="AY76" s="190">
        <v>0</v>
      </c>
      <c r="AZ76" s="190">
        <v>0</v>
      </c>
      <c r="BA76" s="190">
        <v>0</v>
      </c>
      <c r="BB76" s="190">
        <v>0</v>
      </c>
      <c r="BC76" s="190">
        <v>0</v>
      </c>
      <c r="BD76" s="190">
        <v>0</v>
      </c>
      <c r="BE76" s="190">
        <v>0</v>
      </c>
      <c r="BF76" s="190">
        <v>0</v>
      </c>
      <c r="BG76" s="190">
        <v>0</v>
      </c>
      <c r="BH76" s="190">
        <v>0</v>
      </c>
      <c r="BI76" s="190">
        <v>0</v>
      </c>
      <c r="BJ76" s="190">
        <v>0</v>
      </c>
      <c r="BK76" s="190">
        <v>0</v>
      </c>
      <c r="BL76" s="190">
        <v>0</v>
      </c>
      <c r="BM76" s="190">
        <v>0</v>
      </c>
      <c r="BN76" s="190">
        <v>0</v>
      </c>
      <c r="BO76" s="190">
        <v>0</v>
      </c>
      <c r="BP76" s="190">
        <v>0</v>
      </c>
      <c r="BQ76" s="190">
        <v>0</v>
      </c>
      <c r="BR76" s="190">
        <v>0</v>
      </c>
      <c r="BS76" s="190">
        <v>0</v>
      </c>
      <c r="BT76" s="190">
        <v>3.6785960725780698E-4</v>
      </c>
      <c r="BU76" s="190">
        <v>0</v>
      </c>
      <c r="BV76" s="190">
        <v>0</v>
      </c>
      <c r="BW76" s="190">
        <v>0</v>
      </c>
      <c r="BX76" s="190">
        <v>0</v>
      </c>
      <c r="BY76" s="190">
        <v>0</v>
      </c>
      <c r="BZ76" s="190">
        <v>0</v>
      </c>
      <c r="CA76" s="190">
        <v>0</v>
      </c>
      <c r="CB76" s="190">
        <v>0</v>
      </c>
      <c r="CC76" s="190">
        <v>0</v>
      </c>
      <c r="CD76" s="190">
        <v>0</v>
      </c>
      <c r="CE76" s="190">
        <v>0</v>
      </c>
      <c r="CF76" s="190">
        <v>0</v>
      </c>
      <c r="CG76" s="190">
        <v>0</v>
      </c>
      <c r="CH76" s="190">
        <v>0</v>
      </c>
      <c r="CI76" s="190">
        <v>0</v>
      </c>
      <c r="CJ76" s="190">
        <v>0</v>
      </c>
      <c r="CK76" s="190">
        <v>0</v>
      </c>
      <c r="CL76" s="190">
        <v>0</v>
      </c>
      <c r="CM76" s="190">
        <v>0</v>
      </c>
    </row>
    <row r="77" spans="1:91" ht="15" customHeight="1" x14ac:dyDescent="0.4">
      <c r="A77" s="190" t="s">
        <v>244</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244">
        <v>3.6298962526910299E-8</v>
      </c>
      <c r="AN77" s="190">
        <v>0</v>
      </c>
      <c r="AO77" s="190">
        <v>0</v>
      </c>
      <c r="AP77" s="190">
        <v>0</v>
      </c>
      <c r="AQ77" s="190">
        <v>0</v>
      </c>
      <c r="AR77" s="190">
        <v>0</v>
      </c>
      <c r="AS77" s="190">
        <v>0</v>
      </c>
      <c r="AT77" s="244">
        <v>6.4524622623655E-11</v>
      </c>
      <c r="AU77" s="190">
        <v>0</v>
      </c>
      <c r="AV77" s="190">
        <v>0</v>
      </c>
      <c r="AW77" s="190">
        <v>0</v>
      </c>
      <c r="AX77" s="190">
        <v>0</v>
      </c>
      <c r="AY77" s="190">
        <v>0</v>
      </c>
      <c r="AZ77" s="190">
        <v>0</v>
      </c>
      <c r="BA77" s="190">
        <v>0</v>
      </c>
      <c r="BB77" s="190">
        <v>0</v>
      </c>
      <c r="BC77" s="190">
        <v>0</v>
      </c>
      <c r="BD77" s="190">
        <v>0</v>
      </c>
      <c r="BE77" s="190">
        <v>0</v>
      </c>
      <c r="BF77" s="190">
        <v>0</v>
      </c>
      <c r="BG77" s="190">
        <v>0</v>
      </c>
      <c r="BH77" s="190">
        <v>0</v>
      </c>
      <c r="BI77" s="190">
        <v>0</v>
      </c>
      <c r="BJ77" s="190">
        <v>0</v>
      </c>
      <c r="BK77" s="190">
        <v>0</v>
      </c>
      <c r="BL77" s="190">
        <v>0</v>
      </c>
      <c r="BM77" s="190">
        <v>0</v>
      </c>
      <c r="BN77" s="190">
        <v>0</v>
      </c>
      <c r="BO77" s="190">
        <v>0</v>
      </c>
      <c r="BP77" s="190">
        <v>0</v>
      </c>
      <c r="BQ77" s="190">
        <v>0</v>
      </c>
      <c r="BR77" s="190">
        <v>0</v>
      </c>
      <c r="BS77" s="190">
        <v>0</v>
      </c>
      <c r="BT77" s="244">
        <v>7.5994186408930898E-6</v>
      </c>
      <c r="BU77" s="190">
        <v>0</v>
      </c>
      <c r="BV77" s="190">
        <v>0</v>
      </c>
      <c r="BW77" s="190">
        <v>0</v>
      </c>
      <c r="BX77" s="190">
        <v>0</v>
      </c>
      <c r="BY77" s="190">
        <v>0</v>
      </c>
      <c r="BZ77" s="190">
        <v>0</v>
      </c>
      <c r="CA77" s="190">
        <v>0</v>
      </c>
      <c r="CB77" s="190">
        <v>0</v>
      </c>
      <c r="CC77" s="190">
        <v>0</v>
      </c>
      <c r="CD77" s="190">
        <v>0</v>
      </c>
      <c r="CE77" s="190">
        <v>0</v>
      </c>
      <c r="CF77" s="190">
        <v>0</v>
      </c>
      <c r="CG77" s="190">
        <v>0</v>
      </c>
      <c r="CH77" s="190">
        <v>0</v>
      </c>
      <c r="CI77" s="190">
        <v>0</v>
      </c>
      <c r="CJ77" s="190">
        <v>0</v>
      </c>
      <c r="CK77" s="190">
        <v>0</v>
      </c>
      <c r="CL77" s="190">
        <v>0</v>
      </c>
      <c r="CM77" s="190">
        <v>0</v>
      </c>
    </row>
    <row r="78" spans="1:91" ht="15" customHeight="1" x14ac:dyDescent="0.4">
      <c r="A78" s="190" t="s">
        <v>245</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c r="BH78" s="190">
        <v>0</v>
      </c>
      <c r="BI78" s="190">
        <v>0</v>
      </c>
      <c r="BJ78" s="190">
        <v>0</v>
      </c>
      <c r="BK78" s="190">
        <v>0</v>
      </c>
      <c r="BL78" s="190">
        <v>0</v>
      </c>
      <c r="BM78" s="190">
        <v>0</v>
      </c>
      <c r="BN78" s="190">
        <v>0</v>
      </c>
      <c r="BO78" s="190">
        <v>0</v>
      </c>
      <c r="BP78" s="190">
        <v>0</v>
      </c>
      <c r="BQ78" s="190">
        <v>0</v>
      </c>
      <c r="BR78" s="190">
        <v>0</v>
      </c>
      <c r="BS78" s="190">
        <v>0</v>
      </c>
      <c r="BT78" s="190">
        <v>0</v>
      </c>
      <c r="BU78" s="190">
        <v>0</v>
      </c>
      <c r="BV78" s="190">
        <v>0</v>
      </c>
      <c r="BW78" s="190">
        <v>0</v>
      </c>
      <c r="BX78" s="190">
        <v>0</v>
      </c>
      <c r="BY78" s="190">
        <v>0</v>
      </c>
      <c r="BZ78" s="190">
        <v>0</v>
      </c>
      <c r="CA78" s="190">
        <v>0</v>
      </c>
      <c r="CB78" s="190">
        <v>0</v>
      </c>
      <c r="CC78" s="190">
        <v>0</v>
      </c>
      <c r="CD78" s="190">
        <v>0</v>
      </c>
      <c r="CE78" s="190">
        <v>0</v>
      </c>
      <c r="CF78" s="190">
        <v>0</v>
      </c>
      <c r="CG78" s="190">
        <v>4.7119716163435297E-3</v>
      </c>
      <c r="CH78" s="190">
        <v>0</v>
      </c>
      <c r="CI78" s="190">
        <v>0</v>
      </c>
      <c r="CJ78" s="190">
        <v>0</v>
      </c>
      <c r="CK78" s="190">
        <v>0</v>
      </c>
      <c r="CL78" s="190">
        <v>0</v>
      </c>
      <c r="CM78" s="190">
        <v>0</v>
      </c>
    </row>
    <row r="79" spans="1:91" ht="15" customHeight="1" x14ac:dyDescent="0.4">
      <c r="A79" s="190" t="s">
        <v>246</v>
      </c>
      <c r="B79" s="190">
        <v>0</v>
      </c>
      <c r="C79" s="190">
        <v>0</v>
      </c>
      <c r="D79" s="190">
        <v>0</v>
      </c>
      <c r="E79" s="190">
        <v>0</v>
      </c>
      <c r="F79" s="190">
        <v>0</v>
      </c>
      <c r="G79" s="190">
        <v>0</v>
      </c>
      <c r="H79" s="190">
        <v>0</v>
      </c>
      <c r="I79" s="190">
        <v>0</v>
      </c>
      <c r="J79" s="190">
        <v>0</v>
      </c>
      <c r="K79" s="190">
        <v>0</v>
      </c>
      <c r="L79" s="190">
        <v>0</v>
      </c>
      <c r="M79" s="190">
        <v>0</v>
      </c>
      <c r="N79" s="190">
        <v>0</v>
      </c>
      <c r="O79" s="190">
        <v>0</v>
      </c>
      <c r="P79" s="190">
        <v>0</v>
      </c>
      <c r="Q79" s="190">
        <v>0</v>
      </c>
      <c r="R79" s="190">
        <v>0</v>
      </c>
      <c r="S79" s="190">
        <v>0</v>
      </c>
      <c r="T79" s="190">
        <v>0</v>
      </c>
      <c r="U79" s="190">
        <v>0</v>
      </c>
      <c r="V79" s="190">
        <v>0</v>
      </c>
      <c r="W79" s="190">
        <v>0</v>
      </c>
      <c r="X79" s="190">
        <v>0</v>
      </c>
      <c r="Y79" s="190">
        <v>0</v>
      </c>
      <c r="Z79" s="190">
        <v>0</v>
      </c>
      <c r="AA79" s="190">
        <v>0</v>
      </c>
      <c r="AB79" s="190">
        <v>0</v>
      </c>
      <c r="AC79" s="190">
        <v>0</v>
      </c>
      <c r="AD79" s="190">
        <v>0</v>
      </c>
      <c r="AE79" s="190">
        <v>0</v>
      </c>
      <c r="AF79" s="190">
        <v>0</v>
      </c>
      <c r="AG79" s="190">
        <v>0</v>
      </c>
      <c r="AH79" s="190">
        <v>0</v>
      </c>
      <c r="AI79" s="190">
        <v>0</v>
      </c>
      <c r="AJ79" s="190">
        <v>0</v>
      </c>
      <c r="AK79" s="190">
        <v>0</v>
      </c>
      <c r="AL79" s="190">
        <v>0</v>
      </c>
      <c r="AM79" s="190">
        <v>0</v>
      </c>
      <c r="AN79" s="190">
        <v>0</v>
      </c>
      <c r="AO79" s="190">
        <v>0</v>
      </c>
      <c r="AP79" s="190">
        <v>0</v>
      </c>
      <c r="AQ79" s="190">
        <v>0</v>
      </c>
      <c r="AR79" s="190">
        <v>0</v>
      </c>
      <c r="AS79" s="190">
        <v>0</v>
      </c>
      <c r="AT79" s="190">
        <v>0</v>
      </c>
      <c r="AU79" s="190">
        <v>0</v>
      </c>
      <c r="AV79" s="190">
        <v>0</v>
      </c>
      <c r="AW79" s="190">
        <v>0</v>
      </c>
      <c r="AX79" s="190">
        <v>0</v>
      </c>
      <c r="AY79" s="190">
        <v>0</v>
      </c>
      <c r="AZ79" s="190">
        <v>0</v>
      </c>
      <c r="BA79" s="190">
        <v>0</v>
      </c>
      <c r="BB79" s="190">
        <v>0</v>
      </c>
      <c r="BC79" s="190">
        <v>0</v>
      </c>
      <c r="BD79" s="190">
        <v>0</v>
      </c>
      <c r="BE79" s="190">
        <v>0</v>
      </c>
      <c r="BF79" s="190">
        <v>0</v>
      </c>
      <c r="BG79" s="190">
        <v>0</v>
      </c>
      <c r="BH79" s="190">
        <v>0</v>
      </c>
      <c r="BI79" s="190">
        <v>0</v>
      </c>
      <c r="BJ79" s="190">
        <v>0</v>
      </c>
      <c r="BK79" s="190">
        <v>0</v>
      </c>
      <c r="BL79" s="190">
        <v>0</v>
      </c>
      <c r="BM79" s="190">
        <v>0</v>
      </c>
      <c r="BN79" s="190">
        <v>0</v>
      </c>
      <c r="BO79" s="190">
        <v>0</v>
      </c>
      <c r="BP79" s="190">
        <v>0</v>
      </c>
      <c r="BQ79" s="190">
        <v>0</v>
      </c>
      <c r="BR79" s="190">
        <v>0</v>
      </c>
      <c r="BS79" s="190">
        <v>0</v>
      </c>
      <c r="BT79" s="190">
        <v>0</v>
      </c>
      <c r="BU79" s="190">
        <v>0</v>
      </c>
      <c r="BV79" s="190">
        <v>0</v>
      </c>
      <c r="BW79" s="190">
        <v>0</v>
      </c>
      <c r="BX79" s="190">
        <v>0</v>
      </c>
      <c r="BY79" s="190">
        <v>0</v>
      </c>
      <c r="BZ79" s="190">
        <v>0</v>
      </c>
      <c r="CA79" s="190">
        <v>0</v>
      </c>
      <c r="CB79" s="190">
        <v>0</v>
      </c>
      <c r="CC79" s="190">
        <v>0</v>
      </c>
      <c r="CD79" s="190">
        <v>0</v>
      </c>
      <c r="CE79" s="190">
        <v>0</v>
      </c>
      <c r="CF79" s="190">
        <v>0</v>
      </c>
      <c r="CG79" s="190">
        <v>9.4239432326870595E-3</v>
      </c>
      <c r="CH79" s="190">
        <v>0</v>
      </c>
      <c r="CI79" s="190">
        <v>0</v>
      </c>
      <c r="CJ79" s="190">
        <v>0</v>
      </c>
      <c r="CK79" s="190">
        <v>0</v>
      </c>
      <c r="CL79" s="190">
        <v>0</v>
      </c>
      <c r="CM79" s="190">
        <v>0</v>
      </c>
    </row>
    <row r="80" spans="1:91" ht="15" customHeight="1" x14ac:dyDescent="0.4">
      <c r="A80" s="190" t="s">
        <v>247</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c r="BH80" s="190">
        <v>0</v>
      </c>
      <c r="BI80" s="190">
        <v>0</v>
      </c>
      <c r="BJ80" s="190">
        <v>0</v>
      </c>
      <c r="BK80" s="190">
        <v>0</v>
      </c>
      <c r="BL80" s="190">
        <v>0</v>
      </c>
      <c r="BM80" s="190">
        <v>0</v>
      </c>
      <c r="BN80" s="190">
        <v>0</v>
      </c>
      <c r="BO80" s="190">
        <v>0</v>
      </c>
      <c r="BP80" s="190">
        <v>0</v>
      </c>
      <c r="BQ80" s="190">
        <v>0</v>
      </c>
      <c r="BR80" s="190">
        <v>0</v>
      </c>
      <c r="BS80" s="190">
        <v>0</v>
      </c>
      <c r="BT80" s="190">
        <v>0</v>
      </c>
      <c r="BU80" s="190">
        <v>0</v>
      </c>
      <c r="BV80" s="190">
        <v>0</v>
      </c>
      <c r="BW80" s="190">
        <v>0</v>
      </c>
      <c r="BX80" s="190">
        <v>0</v>
      </c>
      <c r="BY80" s="190">
        <v>0</v>
      </c>
      <c r="BZ80" s="190">
        <v>0</v>
      </c>
      <c r="CA80" s="190">
        <v>0</v>
      </c>
      <c r="CB80" s="190">
        <v>0</v>
      </c>
      <c r="CC80" s="190">
        <v>0</v>
      </c>
      <c r="CD80" s="190">
        <v>0</v>
      </c>
      <c r="CE80" s="190">
        <v>0</v>
      </c>
      <c r="CF80" s="190">
        <v>0</v>
      </c>
      <c r="CG80" s="190">
        <v>1.41359148490306E-2</v>
      </c>
      <c r="CH80" s="190">
        <v>0</v>
      </c>
      <c r="CI80" s="190">
        <v>0</v>
      </c>
      <c r="CJ80" s="190">
        <v>0</v>
      </c>
      <c r="CK80" s="190">
        <v>0</v>
      </c>
      <c r="CL80" s="190">
        <v>0</v>
      </c>
      <c r="CM80" s="190">
        <v>0</v>
      </c>
    </row>
    <row r="81" spans="1:91" ht="15" customHeight="1" x14ac:dyDescent="0.4">
      <c r="A81" s="190" t="s">
        <v>280</v>
      </c>
      <c r="B81" s="190">
        <v>0</v>
      </c>
      <c r="C81" s="190">
        <v>0</v>
      </c>
      <c r="D81" s="190">
        <v>0</v>
      </c>
      <c r="E81" s="190">
        <v>0</v>
      </c>
      <c r="F81" s="190">
        <v>0</v>
      </c>
      <c r="G81" s="190">
        <v>0</v>
      </c>
      <c r="H81" s="190">
        <v>0</v>
      </c>
      <c r="I81" s="190">
        <v>0</v>
      </c>
      <c r="J81" s="190">
        <v>0</v>
      </c>
      <c r="K81" s="190">
        <v>0</v>
      </c>
      <c r="L81" s="190">
        <v>0</v>
      </c>
      <c r="M81" s="190">
        <v>0</v>
      </c>
      <c r="N81" s="190">
        <v>0</v>
      </c>
      <c r="O81" s="190">
        <v>0</v>
      </c>
      <c r="P81" s="190">
        <v>0</v>
      </c>
      <c r="Q81" s="190">
        <v>0</v>
      </c>
      <c r="R81" s="190">
        <v>0</v>
      </c>
      <c r="S81" s="190">
        <v>0</v>
      </c>
      <c r="T81" s="190">
        <v>0</v>
      </c>
      <c r="U81" s="190">
        <v>0</v>
      </c>
      <c r="V81" s="190">
        <v>0</v>
      </c>
      <c r="W81" s="190">
        <v>0</v>
      </c>
      <c r="X81" s="190">
        <v>0</v>
      </c>
      <c r="Y81" s="190">
        <v>0</v>
      </c>
      <c r="Z81" s="190">
        <v>0</v>
      </c>
      <c r="AA81" s="190">
        <v>0</v>
      </c>
      <c r="AB81" s="190">
        <v>0</v>
      </c>
      <c r="AC81" s="190">
        <v>0</v>
      </c>
      <c r="AD81" s="190">
        <v>0</v>
      </c>
      <c r="AE81" s="190">
        <v>0</v>
      </c>
      <c r="AF81" s="190">
        <v>0</v>
      </c>
      <c r="AG81" s="190">
        <v>0</v>
      </c>
      <c r="AH81" s="190">
        <v>0</v>
      </c>
      <c r="AI81" s="190">
        <v>0</v>
      </c>
      <c r="AJ81" s="190">
        <v>0</v>
      </c>
      <c r="AK81" s="190">
        <v>0</v>
      </c>
      <c r="AL81" s="190">
        <v>0</v>
      </c>
      <c r="AM81" s="190">
        <v>1.21691939351334E-2</v>
      </c>
      <c r="AN81" s="190">
        <v>0</v>
      </c>
      <c r="AO81" s="190">
        <v>0</v>
      </c>
      <c r="AP81" s="190">
        <v>0</v>
      </c>
      <c r="AQ81" s="190">
        <v>0</v>
      </c>
      <c r="AR81" s="190">
        <v>0</v>
      </c>
      <c r="AS81" s="190">
        <v>0</v>
      </c>
      <c r="AT81" s="190">
        <v>0</v>
      </c>
      <c r="AU81" s="190">
        <v>0</v>
      </c>
      <c r="AV81" s="190">
        <v>0</v>
      </c>
      <c r="AW81" s="190">
        <v>0</v>
      </c>
      <c r="AX81" s="190">
        <v>0</v>
      </c>
      <c r="AY81" s="190">
        <v>0</v>
      </c>
      <c r="AZ81" s="190">
        <v>0</v>
      </c>
      <c r="BA81" s="190">
        <v>0</v>
      </c>
      <c r="BB81" s="190">
        <v>0</v>
      </c>
      <c r="BC81" s="190">
        <v>0</v>
      </c>
      <c r="BD81" s="190">
        <v>0</v>
      </c>
      <c r="BE81" s="190">
        <v>0</v>
      </c>
      <c r="BF81" s="190">
        <v>0</v>
      </c>
      <c r="BG81" s="190">
        <v>0</v>
      </c>
      <c r="BH81" s="190">
        <v>0</v>
      </c>
      <c r="BI81" s="190">
        <v>0</v>
      </c>
      <c r="BJ81" s="190">
        <v>0</v>
      </c>
      <c r="BK81" s="190">
        <v>0</v>
      </c>
      <c r="BL81" s="190">
        <v>0</v>
      </c>
      <c r="BM81" s="190">
        <v>0</v>
      </c>
      <c r="BN81" s="190">
        <v>0</v>
      </c>
      <c r="BO81" s="190">
        <v>0</v>
      </c>
      <c r="BP81" s="190">
        <v>0</v>
      </c>
      <c r="BQ81" s="190">
        <v>0</v>
      </c>
      <c r="BR81" s="190">
        <v>0</v>
      </c>
      <c r="BS81" s="190">
        <v>0</v>
      </c>
      <c r="BT81" s="190">
        <v>0</v>
      </c>
      <c r="BU81" s="190">
        <v>0</v>
      </c>
      <c r="BV81" s="190">
        <v>0</v>
      </c>
      <c r="BW81" s="190">
        <v>0</v>
      </c>
      <c r="BX81" s="190">
        <v>0</v>
      </c>
      <c r="BY81" s="190">
        <v>0</v>
      </c>
      <c r="BZ81" s="190">
        <v>0</v>
      </c>
      <c r="CA81" s="190">
        <v>0</v>
      </c>
      <c r="CB81" s="190">
        <v>0</v>
      </c>
      <c r="CC81" s="190">
        <v>0</v>
      </c>
      <c r="CD81" s="190">
        <v>0</v>
      </c>
      <c r="CE81" s="190">
        <v>0</v>
      </c>
      <c r="CF81" s="190">
        <v>0</v>
      </c>
      <c r="CG81" s="190">
        <v>5.6543659396122298E-2</v>
      </c>
      <c r="CH81" s="190">
        <v>0</v>
      </c>
      <c r="CI81" s="190">
        <v>0</v>
      </c>
      <c r="CJ81" s="190">
        <v>0</v>
      </c>
      <c r="CK81" s="190">
        <v>0</v>
      </c>
      <c r="CL81" s="190">
        <v>0</v>
      </c>
      <c r="CM81" s="190">
        <v>0</v>
      </c>
    </row>
    <row r="82" spans="1:91" ht="15" customHeight="1" x14ac:dyDescent="0.4">
      <c r="A82" s="190" t="s">
        <v>281</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1.21691939351334E-2</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v>0</v>
      </c>
      <c r="BI82" s="190">
        <v>0</v>
      </c>
      <c r="BJ82" s="190">
        <v>0</v>
      </c>
      <c r="BK82" s="190">
        <v>0</v>
      </c>
      <c r="BL82" s="190">
        <v>0</v>
      </c>
      <c r="BM82" s="190">
        <v>0</v>
      </c>
      <c r="BN82" s="190">
        <v>0</v>
      </c>
      <c r="BO82" s="190">
        <v>0</v>
      </c>
      <c r="BP82" s="190">
        <v>0</v>
      </c>
      <c r="BQ82" s="190">
        <v>0</v>
      </c>
      <c r="BR82" s="190">
        <v>0</v>
      </c>
      <c r="BS82" s="190">
        <v>0</v>
      </c>
      <c r="BT82" s="190">
        <v>0</v>
      </c>
      <c r="BU82" s="190">
        <v>0</v>
      </c>
      <c r="BV82" s="190">
        <v>0</v>
      </c>
      <c r="BW82" s="190">
        <v>0</v>
      </c>
      <c r="BX82" s="190">
        <v>0</v>
      </c>
      <c r="BY82" s="190">
        <v>0</v>
      </c>
      <c r="BZ82" s="190">
        <v>0</v>
      </c>
      <c r="CA82" s="190">
        <v>0</v>
      </c>
      <c r="CB82" s="190">
        <v>0</v>
      </c>
      <c r="CC82" s="190">
        <v>0</v>
      </c>
      <c r="CD82" s="190">
        <v>0</v>
      </c>
      <c r="CE82" s="190">
        <v>0</v>
      </c>
      <c r="CF82" s="190">
        <v>0</v>
      </c>
      <c r="CG82" s="190">
        <v>5.6543659396122298E-2</v>
      </c>
      <c r="CH82" s="190">
        <v>0</v>
      </c>
      <c r="CI82" s="190">
        <v>0</v>
      </c>
      <c r="CJ82" s="190">
        <v>0</v>
      </c>
      <c r="CK82" s="190">
        <v>0</v>
      </c>
      <c r="CL82" s="190">
        <v>0</v>
      </c>
      <c r="CM82" s="190">
        <v>0</v>
      </c>
    </row>
    <row r="83" spans="1:91" ht="15" customHeight="1" x14ac:dyDescent="0.4">
      <c r="A83" s="190" t="s">
        <v>248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1.02365123825155E-2</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v>0</v>
      </c>
      <c r="BI83" s="190">
        <v>0</v>
      </c>
      <c r="BJ83" s="190">
        <v>0</v>
      </c>
      <c r="BK83" s="190">
        <v>0</v>
      </c>
      <c r="BL83" s="190">
        <v>0</v>
      </c>
      <c r="BM83" s="190">
        <v>0</v>
      </c>
      <c r="BN83" s="190">
        <v>0</v>
      </c>
      <c r="BO83" s="190">
        <v>0</v>
      </c>
      <c r="BP83" s="190">
        <v>0</v>
      </c>
      <c r="BQ83" s="190">
        <v>0</v>
      </c>
      <c r="BR83" s="190">
        <v>0</v>
      </c>
      <c r="BS83" s="190">
        <v>0</v>
      </c>
      <c r="BT83" s="190">
        <v>0</v>
      </c>
      <c r="BU83" s="190">
        <v>0</v>
      </c>
      <c r="BV83" s="190">
        <v>0</v>
      </c>
      <c r="BW83" s="190">
        <v>0</v>
      </c>
      <c r="BX83" s="190">
        <v>0</v>
      </c>
      <c r="BY83" s="190">
        <v>0</v>
      </c>
      <c r="BZ83" s="190">
        <v>0</v>
      </c>
      <c r="CA83" s="190">
        <v>0</v>
      </c>
      <c r="CB83" s="190">
        <v>0</v>
      </c>
      <c r="CC83" s="190">
        <v>0</v>
      </c>
      <c r="CD83" s="190">
        <v>0</v>
      </c>
      <c r="CE83" s="190">
        <v>0</v>
      </c>
      <c r="CF83" s="190">
        <v>0</v>
      </c>
      <c r="CG83" s="190">
        <v>4.7119716163435299E-2</v>
      </c>
      <c r="CH83" s="190">
        <v>0</v>
      </c>
      <c r="CI83" s="190">
        <v>0</v>
      </c>
      <c r="CJ83" s="190">
        <v>0</v>
      </c>
      <c r="CK83" s="190">
        <v>0</v>
      </c>
      <c r="CL83" s="190">
        <v>0</v>
      </c>
      <c r="CM83" s="190">
        <v>0</v>
      </c>
    </row>
    <row r="84" spans="1:91" ht="15" customHeight="1" x14ac:dyDescent="0.4">
      <c r="A84" s="190" t="s">
        <v>249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v>0</v>
      </c>
      <c r="BI84" s="190">
        <v>0</v>
      </c>
      <c r="BJ84" s="190">
        <v>0</v>
      </c>
      <c r="BK84" s="190">
        <v>0</v>
      </c>
      <c r="BL84" s="190">
        <v>0</v>
      </c>
      <c r="BM84" s="190">
        <v>0</v>
      </c>
      <c r="BN84" s="190">
        <v>0</v>
      </c>
      <c r="BO84" s="190">
        <v>0</v>
      </c>
      <c r="BP84" s="190">
        <v>0</v>
      </c>
      <c r="BQ84" s="190">
        <v>0</v>
      </c>
      <c r="BR84" s="190">
        <v>0</v>
      </c>
      <c r="BS84" s="190">
        <v>0</v>
      </c>
      <c r="BT84" s="190">
        <v>0</v>
      </c>
      <c r="BU84" s="190">
        <v>0</v>
      </c>
      <c r="BV84" s="190">
        <v>0</v>
      </c>
      <c r="BW84" s="190">
        <v>0</v>
      </c>
      <c r="BX84" s="190">
        <v>0</v>
      </c>
      <c r="BY84" s="190">
        <v>0</v>
      </c>
      <c r="BZ84" s="190">
        <v>0</v>
      </c>
      <c r="CA84" s="190">
        <v>0</v>
      </c>
      <c r="CB84" s="190">
        <v>0</v>
      </c>
      <c r="CC84" s="190">
        <v>0</v>
      </c>
      <c r="CD84" s="190">
        <v>0</v>
      </c>
      <c r="CE84" s="190">
        <v>0</v>
      </c>
      <c r="CF84" s="190">
        <v>0</v>
      </c>
      <c r="CG84" s="190">
        <v>1.8847886465374101E-3</v>
      </c>
      <c r="CH84" s="190">
        <v>0</v>
      </c>
      <c r="CI84" s="190">
        <v>0</v>
      </c>
      <c r="CJ84" s="190">
        <v>0</v>
      </c>
      <c r="CK84" s="190">
        <v>0</v>
      </c>
      <c r="CL84" s="190">
        <v>0</v>
      </c>
      <c r="CM84" s="190">
        <v>0</v>
      </c>
    </row>
    <row r="85" spans="1:91" ht="15" customHeight="1" x14ac:dyDescent="0.4">
      <c r="A85" s="190" t="s">
        <v>282</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v>0</v>
      </c>
      <c r="AX85" s="190">
        <v>0</v>
      </c>
      <c r="AY85" s="190">
        <v>0</v>
      </c>
      <c r="AZ85" s="190">
        <v>0</v>
      </c>
      <c r="BA85" s="190">
        <v>0</v>
      </c>
      <c r="BB85" s="190">
        <v>0</v>
      </c>
      <c r="BC85" s="190">
        <v>0</v>
      </c>
      <c r="BD85" s="190">
        <v>0</v>
      </c>
      <c r="BE85" s="190">
        <v>0</v>
      </c>
      <c r="BF85" s="190">
        <v>0</v>
      </c>
      <c r="BG85" s="190">
        <v>0</v>
      </c>
      <c r="BH85" s="190">
        <v>0</v>
      </c>
      <c r="BI85" s="190">
        <v>0</v>
      </c>
      <c r="BJ85" s="190">
        <v>0</v>
      </c>
      <c r="BK85" s="190">
        <v>0</v>
      </c>
      <c r="BL85" s="190">
        <v>0</v>
      </c>
      <c r="BM85" s="190">
        <v>0</v>
      </c>
      <c r="BN85" s="190">
        <v>0</v>
      </c>
      <c r="BO85" s="190">
        <v>0</v>
      </c>
      <c r="BP85" s="190">
        <v>0</v>
      </c>
      <c r="BQ85" s="190">
        <v>0</v>
      </c>
      <c r="BR85" s="190">
        <v>0</v>
      </c>
      <c r="BS85" s="190">
        <v>0</v>
      </c>
      <c r="BT85" s="190">
        <v>0</v>
      </c>
      <c r="BU85" s="190">
        <v>0</v>
      </c>
      <c r="BV85" s="190">
        <v>0</v>
      </c>
      <c r="BW85" s="190">
        <v>0</v>
      </c>
      <c r="BX85" s="190">
        <v>0</v>
      </c>
      <c r="BY85" s="190">
        <v>0</v>
      </c>
      <c r="BZ85" s="190">
        <v>0</v>
      </c>
      <c r="CA85" s="190">
        <v>0</v>
      </c>
      <c r="CB85" s="190">
        <v>0</v>
      </c>
      <c r="CC85" s="190">
        <v>0</v>
      </c>
      <c r="CD85" s="190">
        <v>0</v>
      </c>
      <c r="CE85" s="190">
        <v>0</v>
      </c>
      <c r="CF85" s="190">
        <v>0</v>
      </c>
      <c r="CG85" s="190">
        <v>0</v>
      </c>
      <c r="CH85" s="190">
        <v>0</v>
      </c>
      <c r="CI85" s="190">
        <v>0</v>
      </c>
      <c r="CJ85" s="190">
        <v>0</v>
      </c>
      <c r="CK85" s="190">
        <v>0</v>
      </c>
      <c r="CL85" s="190">
        <v>0</v>
      </c>
      <c r="CM85" s="190">
        <v>0</v>
      </c>
    </row>
    <row r="86" spans="1:91" ht="15" customHeight="1" x14ac:dyDescent="0.4">
      <c r="A86" s="190" t="s">
        <v>283</v>
      </c>
      <c r="B86" s="190">
        <v>0</v>
      </c>
      <c r="C86" s="190">
        <v>0</v>
      </c>
      <c r="D86" s="190">
        <v>0</v>
      </c>
      <c r="E86" s="190">
        <v>0</v>
      </c>
      <c r="F86" s="190">
        <v>0</v>
      </c>
      <c r="G86" s="190">
        <v>0</v>
      </c>
      <c r="H86" s="190">
        <v>0</v>
      </c>
      <c r="I86" s="190">
        <v>0</v>
      </c>
      <c r="J86" s="190">
        <v>0</v>
      </c>
      <c r="K86" s="190">
        <v>0</v>
      </c>
      <c r="L86" s="190">
        <v>0</v>
      </c>
      <c r="M86" s="190">
        <v>0</v>
      </c>
      <c r="N86" s="190">
        <v>0</v>
      </c>
      <c r="O86" s="190">
        <v>0</v>
      </c>
      <c r="P86" s="190">
        <v>0</v>
      </c>
      <c r="Q86" s="190">
        <v>0</v>
      </c>
      <c r="R86" s="190">
        <v>0</v>
      </c>
      <c r="S86" s="190">
        <v>0</v>
      </c>
      <c r="T86" s="190">
        <v>0</v>
      </c>
      <c r="U86" s="190">
        <v>0</v>
      </c>
      <c r="V86" s="190">
        <v>0</v>
      </c>
      <c r="W86" s="190">
        <v>0</v>
      </c>
      <c r="X86" s="190">
        <v>0</v>
      </c>
      <c r="Y86" s="190">
        <v>0</v>
      </c>
      <c r="Z86" s="190">
        <v>0</v>
      </c>
      <c r="AA86" s="190">
        <v>0</v>
      </c>
      <c r="AB86" s="190">
        <v>0</v>
      </c>
      <c r="AC86" s="190">
        <v>0</v>
      </c>
      <c r="AD86" s="190">
        <v>0</v>
      </c>
      <c r="AE86" s="190">
        <v>0</v>
      </c>
      <c r="AF86" s="190">
        <v>0</v>
      </c>
      <c r="AG86" s="190">
        <v>0</v>
      </c>
      <c r="AH86" s="190">
        <v>0</v>
      </c>
      <c r="AI86" s="190">
        <v>0</v>
      </c>
      <c r="AJ86" s="190">
        <v>0</v>
      </c>
      <c r="AK86" s="190">
        <v>0</v>
      </c>
      <c r="AL86" s="190">
        <v>0</v>
      </c>
      <c r="AM86" s="190">
        <v>0</v>
      </c>
      <c r="AN86" s="190">
        <v>0</v>
      </c>
      <c r="AO86" s="190">
        <v>0</v>
      </c>
      <c r="AP86" s="190">
        <v>0</v>
      </c>
      <c r="AQ86" s="190">
        <v>0</v>
      </c>
      <c r="AR86" s="190">
        <v>0</v>
      </c>
      <c r="AS86" s="190">
        <v>0</v>
      </c>
      <c r="AT86" s="190">
        <v>0</v>
      </c>
      <c r="AU86" s="190">
        <v>0</v>
      </c>
      <c r="AV86" s="190">
        <v>0</v>
      </c>
      <c r="AW86" s="190">
        <v>0</v>
      </c>
      <c r="AX86" s="190">
        <v>0</v>
      </c>
      <c r="AY86" s="190">
        <v>0</v>
      </c>
      <c r="AZ86" s="190">
        <v>0</v>
      </c>
      <c r="BA86" s="190">
        <v>0</v>
      </c>
      <c r="BB86" s="190">
        <v>0</v>
      </c>
      <c r="BC86" s="190">
        <v>0</v>
      </c>
      <c r="BD86" s="190">
        <v>0</v>
      </c>
      <c r="BE86" s="190">
        <v>0</v>
      </c>
      <c r="BF86" s="190">
        <v>0</v>
      </c>
      <c r="BG86" s="190">
        <v>0</v>
      </c>
      <c r="BH86" s="190">
        <v>0</v>
      </c>
      <c r="BI86" s="190">
        <v>0</v>
      </c>
      <c r="BJ86" s="190">
        <v>0</v>
      </c>
      <c r="BK86" s="190">
        <v>0</v>
      </c>
      <c r="BL86" s="190">
        <v>0</v>
      </c>
      <c r="BM86" s="190">
        <v>0</v>
      </c>
      <c r="BN86" s="190">
        <v>0</v>
      </c>
      <c r="BO86" s="190">
        <v>0</v>
      </c>
      <c r="BP86" s="190">
        <v>0</v>
      </c>
      <c r="BQ86" s="190">
        <v>0</v>
      </c>
      <c r="BR86" s="190">
        <v>0</v>
      </c>
      <c r="BS86" s="190">
        <v>0</v>
      </c>
      <c r="BT86" s="190">
        <v>0</v>
      </c>
      <c r="BU86" s="190">
        <v>0</v>
      </c>
      <c r="BV86" s="190">
        <v>0</v>
      </c>
      <c r="BW86" s="190">
        <v>0</v>
      </c>
      <c r="BX86" s="190">
        <v>0</v>
      </c>
      <c r="BY86" s="190">
        <v>0</v>
      </c>
      <c r="BZ86" s="190">
        <v>0</v>
      </c>
      <c r="CA86" s="190">
        <v>0</v>
      </c>
      <c r="CB86" s="190">
        <v>0</v>
      </c>
      <c r="CC86" s="190">
        <v>0</v>
      </c>
      <c r="CD86" s="190">
        <v>0</v>
      </c>
      <c r="CE86" s="190">
        <v>0</v>
      </c>
      <c r="CF86" s="190">
        <v>0</v>
      </c>
      <c r="CG86" s="190">
        <v>0</v>
      </c>
      <c r="CH86" s="190">
        <v>0</v>
      </c>
      <c r="CI86" s="190">
        <v>0</v>
      </c>
      <c r="CJ86" s="190">
        <v>0</v>
      </c>
      <c r="CK86" s="190">
        <v>0</v>
      </c>
      <c r="CL86" s="190">
        <v>0</v>
      </c>
      <c r="CM86" s="190">
        <v>0</v>
      </c>
    </row>
    <row r="87" spans="1:91" ht="15" customHeight="1" x14ac:dyDescent="0.4">
      <c r="A87" s="190" t="s">
        <v>250</v>
      </c>
      <c r="B87" s="190">
        <v>0</v>
      </c>
      <c r="C87" s="190">
        <v>0</v>
      </c>
      <c r="D87" s="190">
        <v>0</v>
      </c>
      <c r="E87" s="190">
        <v>0</v>
      </c>
      <c r="F87" s="190">
        <v>0</v>
      </c>
      <c r="G87" s="190">
        <v>0</v>
      </c>
      <c r="H87" s="190">
        <v>0</v>
      </c>
      <c r="I87" s="190">
        <v>2.58023708373393E-2</v>
      </c>
      <c r="J87" s="190">
        <v>3.5297701200134701E-2</v>
      </c>
      <c r="K87" s="190">
        <v>1.5145296053103699E-2</v>
      </c>
      <c r="L87" s="190">
        <v>0</v>
      </c>
      <c r="M87" s="190">
        <v>1.4999999985E-2</v>
      </c>
      <c r="N87" s="190">
        <v>0.23824127128606801</v>
      </c>
      <c r="O87" s="190">
        <v>0</v>
      </c>
      <c r="P87" s="190">
        <v>6.9000000000000006E-2</v>
      </c>
      <c r="Q87" s="190">
        <v>6.5000000000000002E-2</v>
      </c>
      <c r="R87" s="190">
        <v>0</v>
      </c>
      <c r="S87" s="190">
        <v>0</v>
      </c>
      <c r="T87" s="190">
        <v>1.1672916593202501E-3</v>
      </c>
      <c r="U87" s="190">
        <v>0</v>
      </c>
      <c r="V87" s="190">
        <v>4.5551584378943398E-3</v>
      </c>
      <c r="W87" s="190">
        <v>5.0102494657141802E-4</v>
      </c>
      <c r="X87" s="190">
        <v>2.8803698271251598E-3</v>
      </c>
      <c r="Y87" s="190">
        <v>1.09558513276644E-2</v>
      </c>
      <c r="Z87" s="190">
        <v>0</v>
      </c>
      <c r="AA87" s="190">
        <v>0</v>
      </c>
      <c r="AB87" s="190">
        <v>0</v>
      </c>
      <c r="AC87" s="190">
        <v>0</v>
      </c>
      <c r="AD87" s="190">
        <v>0</v>
      </c>
      <c r="AE87" s="190">
        <v>0</v>
      </c>
      <c r="AF87" s="190">
        <v>0</v>
      </c>
      <c r="AG87" s="190">
        <v>1.1608017453639599E-3</v>
      </c>
      <c r="AH87" s="190">
        <v>0</v>
      </c>
      <c r="AI87" s="190">
        <v>0</v>
      </c>
      <c r="AJ87" s="190">
        <v>0</v>
      </c>
      <c r="AK87" s="190">
        <v>0</v>
      </c>
      <c r="AL87" s="190">
        <v>0</v>
      </c>
      <c r="AM87" s="190">
        <v>0</v>
      </c>
      <c r="AN87" s="190">
        <v>7.0004510427114303E-3</v>
      </c>
      <c r="AO87" s="190">
        <v>0</v>
      </c>
      <c r="AP87" s="190">
        <v>0</v>
      </c>
      <c r="AQ87" s="190">
        <v>0</v>
      </c>
      <c r="AR87" s="190">
        <v>0</v>
      </c>
      <c r="AS87" s="190">
        <v>0</v>
      </c>
      <c r="AT87" s="190">
        <v>0</v>
      </c>
      <c r="AU87" s="190">
        <v>0</v>
      </c>
      <c r="AV87" s="190">
        <v>0</v>
      </c>
      <c r="AW87" s="190">
        <v>0</v>
      </c>
      <c r="AX87" s="190">
        <v>0</v>
      </c>
      <c r="AY87" s="190">
        <v>0</v>
      </c>
      <c r="AZ87" s="190">
        <v>0</v>
      </c>
      <c r="BA87" s="190">
        <v>0</v>
      </c>
      <c r="BB87" s="190">
        <v>0</v>
      </c>
      <c r="BC87" s="190">
        <v>0</v>
      </c>
      <c r="BD87" s="190">
        <v>1.06067596969785E-2</v>
      </c>
      <c r="BE87" s="190">
        <v>1.03999617130745E-2</v>
      </c>
      <c r="BF87" s="190">
        <v>1E-3</v>
      </c>
      <c r="BG87" s="190">
        <v>0</v>
      </c>
      <c r="BH87" s="190">
        <v>4.9999999949999997E-3</v>
      </c>
      <c r="BI87" s="190">
        <v>0</v>
      </c>
      <c r="BJ87" s="190">
        <v>9.9973809283419798E-3</v>
      </c>
      <c r="BK87" s="190">
        <v>0</v>
      </c>
      <c r="BL87" s="190">
        <v>0</v>
      </c>
      <c r="BM87" s="190">
        <v>0</v>
      </c>
      <c r="BN87" s="190">
        <v>5.0000000000000001E-3</v>
      </c>
      <c r="BO87" s="190">
        <v>0</v>
      </c>
      <c r="BP87" s="190">
        <v>0</v>
      </c>
      <c r="BQ87" s="190">
        <v>0</v>
      </c>
      <c r="BR87" s="190">
        <v>0</v>
      </c>
      <c r="BS87" s="190">
        <v>0</v>
      </c>
      <c r="BT87" s="190">
        <v>0</v>
      </c>
      <c r="BU87" s="190">
        <v>0</v>
      </c>
      <c r="BV87" s="190">
        <v>0</v>
      </c>
      <c r="BW87" s="190">
        <v>0</v>
      </c>
      <c r="BX87" s="190">
        <v>0</v>
      </c>
      <c r="BY87" s="190">
        <v>0</v>
      </c>
      <c r="BZ87" s="190">
        <v>0</v>
      </c>
      <c r="CA87" s="190">
        <v>0</v>
      </c>
      <c r="CB87" s="190">
        <v>0</v>
      </c>
      <c r="CC87" s="190">
        <v>0</v>
      </c>
      <c r="CD87" s="190">
        <v>0</v>
      </c>
      <c r="CE87" s="190">
        <v>0</v>
      </c>
      <c r="CF87" s="190">
        <v>0</v>
      </c>
      <c r="CG87" s="190">
        <v>0</v>
      </c>
      <c r="CH87" s="190">
        <v>0</v>
      </c>
      <c r="CI87" s="190">
        <v>0</v>
      </c>
      <c r="CJ87" s="190">
        <v>0</v>
      </c>
      <c r="CK87" s="190">
        <v>0</v>
      </c>
      <c r="CL87" s="190">
        <v>0</v>
      </c>
      <c r="CM87" s="190">
        <v>0</v>
      </c>
    </row>
    <row r="88" spans="1:91" ht="15" customHeight="1" x14ac:dyDescent="0.4">
      <c r="A88" s="190" t="s">
        <v>251</v>
      </c>
      <c r="B88" s="190">
        <v>0</v>
      </c>
      <c r="C88" s="190">
        <v>0</v>
      </c>
      <c r="D88" s="190">
        <v>0</v>
      </c>
      <c r="E88" s="190">
        <v>0</v>
      </c>
      <c r="F88" s="190">
        <v>0</v>
      </c>
      <c r="G88" s="190">
        <v>0</v>
      </c>
      <c r="H88" s="190">
        <v>0</v>
      </c>
      <c r="I88" s="190">
        <v>2.0059220610035001E-4</v>
      </c>
      <c r="J88" s="190">
        <v>5.2977012001346998E-3</v>
      </c>
      <c r="K88" s="190">
        <v>5.1452960531037E-3</v>
      </c>
      <c r="L88" s="190">
        <v>0</v>
      </c>
      <c r="M88" s="190">
        <v>1E-3</v>
      </c>
      <c r="N88" s="190">
        <v>2.2166597173380698E-2</v>
      </c>
      <c r="O88" s="190">
        <v>0</v>
      </c>
      <c r="P88" s="190">
        <v>1E-3</v>
      </c>
      <c r="Q88" s="190">
        <v>1E-3</v>
      </c>
      <c r="R88" s="190">
        <v>0</v>
      </c>
      <c r="S88" s="190">
        <v>0</v>
      </c>
      <c r="T88" s="190">
        <v>0</v>
      </c>
      <c r="U88" s="190">
        <v>0</v>
      </c>
      <c r="V88" s="190">
        <v>5.0612865944025805E-4</v>
      </c>
      <c r="W88" s="190">
        <v>2.0040997862856699E-3</v>
      </c>
      <c r="X88" s="190">
        <v>5.7607396542503101E-3</v>
      </c>
      <c r="Y88" s="190">
        <v>2.73896278146166E-2</v>
      </c>
      <c r="Z88" s="190">
        <v>0</v>
      </c>
      <c r="AA88" s="190">
        <v>2.6061197670876601E-4</v>
      </c>
      <c r="AB88" s="190">
        <v>1.41146917719984E-4</v>
      </c>
      <c r="AC88" s="190">
        <v>9.4396566624033195E-4</v>
      </c>
      <c r="AD88" s="190">
        <v>0</v>
      </c>
      <c r="AE88" s="190">
        <v>0</v>
      </c>
      <c r="AF88" s="190">
        <v>0</v>
      </c>
      <c r="AG88" s="190">
        <v>9.7507328108087293E-2</v>
      </c>
      <c r="AH88" s="190">
        <v>0</v>
      </c>
      <c r="AI88" s="190">
        <v>0</v>
      </c>
      <c r="AJ88" s="190">
        <v>0</v>
      </c>
      <c r="AK88" s="190">
        <v>0</v>
      </c>
      <c r="AL88" s="190">
        <v>0</v>
      </c>
      <c r="AM88" s="190">
        <v>0</v>
      </c>
      <c r="AN88" s="190">
        <v>7.0004510427114303E-3</v>
      </c>
      <c r="AO88" s="190">
        <v>0</v>
      </c>
      <c r="AP88" s="190">
        <v>0</v>
      </c>
      <c r="AQ88" s="190">
        <v>0</v>
      </c>
      <c r="AR88" s="190">
        <v>0</v>
      </c>
      <c r="AS88" s="190">
        <v>0</v>
      </c>
      <c r="AT88" s="190">
        <v>0</v>
      </c>
      <c r="AU88" s="190">
        <v>0</v>
      </c>
      <c r="AV88" s="190">
        <v>0</v>
      </c>
      <c r="AW88" s="190">
        <v>0</v>
      </c>
      <c r="AX88" s="190">
        <v>0</v>
      </c>
      <c r="AY88" s="190">
        <v>0</v>
      </c>
      <c r="AZ88" s="190">
        <v>0</v>
      </c>
      <c r="BA88" s="190">
        <v>0</v>
      </c>
      <c r="BB88" s="190">
        <v>0</v>
      </c>
      <c r="BC88" s="190">
        <v>0</v>
      </c>
      <c r="BD88" s="190">
        <v>0</v>
      </c>
      <c r="BE88" s="190">
        <v>1.03999617130745E-2</v>
      </c>
      <c r="BF88" s="190">
        <v>1E-3</v>
      </c>
      <c r="BG88" s="190">
        <v>0</v>
      </c>
      <c r="BH88" s="190">
        <v>4.9999999949999997E-3</v>
      </c>
      <c r="BI88" s="190">
        <v>0</v>
      </c>
      <c r="BJ88" s="190">
        <v>9.9869096414457992E-4</v>
      </c>
      <c r="BK88" s="190">
        <v>0</v>
      </c>
      <c r="BL88" s="190">
        <v>0</v>
      </c>
      <c r="BM88" s="190">
        <v>0</v>
      </c>
      <c r="BN88" s="190">
        <v>0</v>
      </c>
      <c r="BO88" s="190">
        <v>0</v>
      </c>
      <c r="BP88" s="190">
        <v>0</v>
      </c>
      <c r="BQ88" s="190">
        <v>0</v>
      </c>
      <c r="BR88" s="190">
        <v>0</v>
      </c>
      <c r="BS88" s="190">
        <v>0</v>
      </c>
      <c r="BT88" s="190">
        <v>0</v>
      </c>
      <c r="BU88" s="190">
        <v>0</v>
      </c>
      <c r="BV88" s="190">
        <v>5.01072777409066E-3</v>
      </c>
      <c r="BW88" s="190">
        <v>0</v>
      </c>
      <c r="BX88" s="190">
        <v>0</v>
      </c>
      <c r="BY88" s="190">
        <v>2.4255316366162999E-3</v>
      </c>
      <c r="BZ88" s="190">
        <v>1E-3</v>
      </c>
      <c r="CA88" s="190">
        <v>0</v>
      </c>
      <c r="CB88" s="190">
        <v>0</v>
      </c>
      <c r="CC88" s="190">
        <v>0</v>
      </c>
      <c r="CD88" s="190">
        <v>0</v>
      </c>
      <c r="CE88" s="190">
        <v>0</v>
      </c>
      <c r="CF88" s="190">
        <v>0</v>
      </c>
      <c r="CG88" s="190">
        <v>0</v>
      </c>
      <c r="CH88" s="190">
        <v>0</v>
      </c>
      <c r="CI88" s="190">
        <v>0</v>
      </c>
      <c r="CJ88" s="190">
        <v>0</v>
      </c>
      <c r="CK88" s="190">
        <v>0</v>
      </c>
      <c r="CL88" s="190">
        <v>0</v>
      </c>
      <c r="CM88" s="190">
        <v>0</v>
      </c>
    </row>
    <row r="89" spans="1:91" ht="15" customHeight="1" x14ac:dyDescent="0.4">
      <c r="A89" s="190" t="s">
        <v>252</v>
      </c>
      <c r="B89" s="190">
        <v>0</v>
      </c>
      <c r="C89" s="190">
        <v>0</v>
      </c>
      <c r="D89" s="190">
        <v>0.35</v>
      </c>
      <c r="E89" s="190">
        <v>0</v>
      </c>
      <c r="F89" s="190">
        <v>0</v>
      </c>
      <c r="G89" s="190">
        <v>0</v>
      </c>
      <c r="H89" s="190">
        <v>0.02</v>
      </c>
      <c r="I89" s="190">
        <v>1.04011854186697E-2</v>
      </c>
      <c r="J89" s="190">
        <v>0</v>
      </c>
      <c r="K89" s="190">
        <v>1.01452960531037E-2</v>
      </c>
      <c r="L89" s="190">
        <v>0.05</v>
      </c>
      <c r="M89" s="190">
        <v>4.3999999999999997E-2</v>
      </c>
      <c r="N89" s="190">
        <v>0.02</v>
      </c>
      <c r="O89" s="190">
        <v>0</v>
      </c>
      <c r="P89" s="190">
        <v>8.9709999999999998E-2</v>
      </c>
      <c r="Q89" s="190">
        <v>4.9610000000000001E-2</v>
      </c>
      <c r="R89" s="190">
        <v>0</v>
      </c>
      <c r="S89" s="190">
        <v>0</v>
      </c>
      <c r="T89" s="190">
        <v>0</v>
      </c>
      <c r="U89" s="190">
        <v>0</v>
      </c>
      <c r="V89" s="190">
        <v>0</v>
      </c>
      <c r="W89" s="190">
        <v>0</v>
      </c>
      <c r="X89" s="190">
        <v>0</v>
      </c>
      <c r="Y89" s="190">
        <v>0</v>
      </c>
      <c r="Z89" s="190">
        <v>0</v>
      </c>
      <c r="AA89" s="190">
        <v>0</v>
      </c>
      <c r="AB89" s="190">
        <v>0</v>
      </c>
      <c r="AC89" s="190">
        <v>0</v>
      </c>
      <c r="AD89" s="190">
        <v>0</v>
      </c>
      <c r="AE89" s="190">
        <v>0</v>
      </c>
      <c r="AF89" s="190">
        <v>0</v>
      </c>
      <c r="AG89" s="190">
        <v>0</v>
      </c>
      <c r="AH89" s="190">
        <v>0</v>
      </c>
      <c r="AI89" s="190">
        <v>0</v>
      </c>
      <c r="AJ89" s="190">
        <v>0</v>
      </c>
      <c r="AK89" s="190">
        <v>0</v>
      </c>
      <c r="AL89" s="190">
        <v>0</v>
      </c>
      <c r="AM89" s="190">
        <v>0</v>
      </c>
      <c r="AN89" s="190">
        <v>0.02</v>
      </c>
      <c r="AO89" s="190">
        <v>0.05</v>
      </c>
      <c r="AP89" s="190">
        <v>0</v>
      </c>
      <c r="AQ89" s="190">
        <v>0</v>
      </c>
      <c r="AR89" s="190">
        <v>3.669E-2</v>
      </c>
      <c r="AS89" s="190">
        <v>0</v>
      </c>
      <c r="AT89" s="190">
        <v>0</v>
      </c>
      <c r="AU89" s="190">
        <v>0</v>
      </c>
      <c r="AV89" s="190">
        <v>0</v>
      </c>
      <c r="AW89" s="190">
        <v>0</v>
      </c>
      <c r="AX89" s="190">
        <v>0</v>
      </c>
      <c r="AY89" s="190">
        <v>0</v>
      </c>
      <c r="AZ89" s="190">
        <v>0</v>
      </c>
      <c r="BA89" s="190">
        <v>0</v>
      </c>
      <c r="BB89" s="190">
        <v>0</v>
      </c>
      <c r="BC89" s="190">
        <v>0</v>
      </c>
      <c r="BD89" s="190">
        <v>0</v>
      </c>
      <c r="BE89" s="190">
        <v>0</v>
      </c>
      <c r="BF89" s="190">
        <v>0</v>
      </c>
      <c r="BG89" s="190">
        <v>0</v>
      </c>
      <c r="BH89" s="190">
        <v>7.0000000000000007E-2</v>
      </c>
      <c r="BI89" s="190">
        <v>0</v>
      </c>
      <c r="BJ89" s="190">
        <v>0</v>
      </c>
      <c r="BK89" s="190">
        <v>0</v>
      </c>
      <c r="BL89" s="190">
        <v>0</v>
      </c>
      <c r="BM89" s="190">
        <v>0</v>
      </c>
      <c r="BN89" s="190">
        <v>1.4999999999999999E-2</v>
      </c>
      <c r="BO89" s="190">
        <v>0</v>
      </c>
      <c r="BP89" s="190">
        <v>0</v>
      </c>
      <c r="BQ89" s="190">
        <v>0</v>
      </c>
      <c r="BR89" s="190">
        <v>0</v>
      </c>
      <c r="BS89" s="190">
        <v>0</v>
      </c>
      <c r="BT89" s="190">
        <v>0</v>
      </c>
      <c r="BU89" s="190">
        <v>0</v>
      </c>
      <c r="BV89" s="190">
        <v>4.2004290710515098E-2</v>
      </c>
      <c r="BW89" s="190">
        <v>0</v>
      </c>
      <c r="BX89" s="190">
        <v>0</v>
      </c>
      <c r="BY89" s="190">
        <v>0</v>
      </c>
      <c r="BZ89" s="190">
        <v>0</v>
      </c>
      <c r="CA89" s="190">
        <v>0</v>
      </c>
      <c r="CB89" s="190">
        <v>0</v>
      </c>
      <c r="CC89" s="190">
        <v>0</v>
      </c>
      <c r="CD89" s="190">
        <v>0</v>
      </c>
      <c r="CE89" s="190">
        <v>0</v>
      </c>
      <c r="CF89" s="190">
        <v>0</v>
      </c>
      <c r="CG89" s="190">
        <v>0</v>
      </c>
      <c r="CH89" s="190">
        <v>0</v>
      </c>
      <c r="CI89" s="190">
        <v>0</v>
      </c>
      <c r="CJ89" s="190">
        <v>0</v>
      </c>
      <c r="CK89" s="190">
        <v>0</v>
      </c>
      <c r="CL89" s="190">
        <v>0</v>
      </c>
      <c r="CM89" s="190">
        <v>0</v>
      </c>
    </row>
    <row r="90" spans="1:91" s="190" customFormat="1" ht="15" customHeight="1" x14ac:dyDescent="0.4">
      <c r="A90" s="190" t="s">
        <v>253</v>
      </c>
      <c r="B90" s="190">
        <v>0</v>
      </c>
      <c r="C90" s="190">
        <v>0</v>
      </c>
      <c r="D90" s="190">
        <v>0</v>
      </c>
      <c r="E90" s="190">
        <v>0</v>
      </c>
      <c r="F90" s="190">
        <v>0</v>
      </c>
      <c r="G90" s="190">
        <v>0</v>
      </c>
      <c r="H90" s="190">
        <v>0</v>
      </c>
      <c r="I90" s="190">
        <v>0</v>
      </c>
      <c r="J90" s="190">
        <v>0</v>
      </c>
      <c r="K90" s="190">
        <v>0</v>
      </c>
      <c r="L90" s="190">
        <v>0</v>
      </c>
      <c r="M90" s="190">
        <v>0</v>
      </c>
      <c r="N90" s="190">
        <v>0</v>
      </c>
      <c r="O90" s="190">
        <v>0</v>
      </c>
      <c r="P90" s="190">
        <v>0</v>
      </c>
      <c r="Q90" s="190">
        <v>0</v>
      </c>
      <c r="R90" s="190">
        <v>0</v>
      </c>
      <c r="S90" s="190">
        <v>0</v>
      </c>
      <c r="T90" s="190">
        <v>0</v>
      </c>
      <c r="U90" s="190">
        <v>0</v>
      </c>
      <c r="V90" s="190">
        <v>0</v>
      </c>
      <c r="W90" s="190">
        <v>0</v>
      </c>
      <c r="X90" s="190">
        <v>0</v>
      </c>
      <c r="Y90" s="190">
        <v>0</v>
      </c>
      <c r="Z90" s="190">
        <v>0</v>
      </c>
      <c r="AA90" s="190">
        <v>0</v>
      </c>
      <c r="AB90" s="190">
        <v>0</v>
      </c>
      <c r="AC90" s="190">
        <v>0</v>
      </c>
      <c r="AD90" s="190">
        <v>0</v>
      </c>
      <c r="AE90" s="190">
        <v>0</v>
      </c>
      <c r="AF90" s="190">
        <v>0</v>
      </c>
      <c r="AG90" s="190">
        <v>0</v>
      </c>
      <c r="AH90" s="190">
        <v>0</v>
      </c>
      <c r="AI90" s="190">
        <v>0</v>
      </c>
      <c r="AJ90" s="190">
        <v>0</v>
      </c>
      <c r="AK90" s="190">
        <v>0</v>
      </c>
      <c r="AL90" s="190">
        <v>0</v>
      </c>
      <c r="AM90" s="190">
        <v>0</v>
      </c>
      <c r="AN90" s="190">
        <v>0</v>
      </c>
      <c r="AO90" s="190">
        <v>0</v>
      </c>
      <c r="AP90" s="190">
        <v>0</v>
      </c>
      <c r="AQ90" s="190">
        <v>1.8071431226467688E-4</v>
      </c>
      <c r="AR90" s="190">
        <v>1.1000000000000001E-3</v>
      </c>
      <c r="AS90" s="190">
        <v>0</v>
      </c>
      <c r="AT90" s="190">
        <v>9.6444173035369995E-4</v>
      </c>
      <c r="AU90" s="190">
        <v>0</v>
      </c>
      <c r="AV90" s="190">
        <v>0</v>
      </c>
      <c r="AW90" s="190">
        <v>0</v>
      </c>
      <c r="AX90" s="190">
        <v>0</v>
      </c>
      <c r="AY90" s="190">
        <v>0</v>
      </c>
      <c r="AZ90" s="190">
        <v>4.0277217531060998E-3</v>
      </c>
      <c r="BA90" s="190">
        <v>9.1346644184418183E-4</v>
      </c>
      <c r="BB90" s="190">
        <v>9.177922356053272E-4</v>
      </c>
      <c r="BC90" s="190">
        <v>0</v>
      </c>
      <c r="BD90" s="190">
        <v>0</v>
      </c>
      <c r="BE90" s="190">
        <v>0</v>
      </c>
      <c r="BF90" s="190">
        <v>1E-3</v>
      </c>
      <c r="BG90" s="190">
        <v>0</v>
      </c>
      <c r="BH90" s="190">
        <v>0</v>
      </c>
      <c r="BI90" s="190">
        <v>0</v>
      </c>
      <c r="BJ90" s="190">
        <v>0</v>
      </c>
      <c r="BK90" s="190">
        <v>0</v>
      </c>
      <c r="BL90" s="190">
        <v>0</v>
      </c>
      <c r="BM90" s="190">
        <v>0</v>
      </c>
      <c r="BN90" s="190">
        <v>0</v>
      </c>
      <c r="BO90" s="190">
        <v>0</v>
      </c>
      <c r="BP90" s="190">
        <v>0</v>
      </c>
      <c r="BQ90" s="190">
        <v>0</v>
      </c>
      <c r="BR90" s="190">
        <v>5.5586259834637499E-3</v>
      </c>
      <c r="BS90" s="190">
        <v>0</v>
      </c>
      <c r="BT90" s="190">
        <v>9.9468830378181897E-2</v>
      </c>
      <c r="BU90" s="190">
        <v>0</v>
      </c>
      <c r="BV90" s="190">
        <v>0.10021455448401</v>
      </c>
      <c r="BW90" s="190">
        <v>4.96026779858867E-3</v>
      </c>
      <c r="BX90" s="190">
        <v>9.9307286590523004E-3</v>
      </c>
      <c r="BY90" s="190">
        <v>0</v>
      </c>
      <c r="BZ90" s="190">
        <v>0</v>
      </c>
      <c r="CA90" s="190">
        <v>0</v>
      </c>
      <c r="CB90" s="190">
        <v>0</v>
      </c>
      <c r="CC90" s="190">
        <v>0</v>
      </c>
      <c r="CD90" s="190">
        <v>0</v>
      </c>
      <c r="CE90" s="190">
        <v>0</v>
      </c>
      <c r="CF90" s="190">
        <v>0</v>
      </c>
      <c r="CG90" s="190">
        <v>0</v>
      </c>
      <c r="CH90" s="190">
        <v>0</v>
      </c>
      <c r="CI90" s="190">
        <v>0</v>
      </c>
      <c r="CJ90" s="190">
        <v>0</v>
      </c>
      <c r="CK90" s="190">
        <v>0</v>
      </c>
      <c r="CL90" s="190">
        <v>0</v>
      </c>
      <c r="CM90" s="190">
        <v>0</v>
      </c>
    </row>
    <row r="91" spans="1:91" ht="15" customHeight="1" x14ac:dyDescent="0.4">
      <c r="A91" s="190" t="s">
        <v>254</v>
      </c>
      <c r="B91" s="190">
        <v>0</v>
      </c>
      <c r="C91" s="190">
        <v>0</v>
      </c>
      <c r="D91" s="190">
        <v>0</v>
      </c>
      <c r="E91" s="190">
        <v>0</v>
      </c>
      <c r="F91" s="190">
        <v>0</v>
      </c>
      <c r="G91" s="190">
        <v>0</v>
      </c>
      <c r="H91" s="190">
        <v>0</v>
      </c>
      <c r="I91" s="190">
        <v>0</v>
      </c>
      <c r="J91" s="190">
        <v>0</v>
      </c>
      <c r="K91" s="190">
        <v>0</v>
      </c>
      <c r="L91" s="190">
        <v>0</v>
      </c>
      <c r="M91" s="190">
        <v>0</v>
      </c>
      <c r="N91" s="190">
        <v>0</v>
      </c>
      <c r="O91" s="190">
        <v>0</v>
      </c>
      <c r="P91" s="190">
        <v>0</v>
      </c>
      <c r="Q91" s="190">
        <v>0.15</v>
      </c>
      <c r="R91" s="190">
        <v>0</v>
      </c>
      <c r="S91" s="190">
        <v>0</v>
      </c>
      <c r="T91" s="190">
        <v>0</v>
      </c>
      <c r="U91" s="190">
        <v>0</v>
      </c>
      <c r="V91" s="190">
        <v>0</v>
      </c>
      <c r="W91" s="190">
        <v>0</v>
      </c>
      <c r="X91" s="190">
        <v>0</v>
      </c>
      <c r="Y91" s="190">
        <v>0</v>
      </c>
      <c r="Z91" s="190">
        <v>0</v>
      </c>
      <c r="AA91" s="190">
        <v>0</v>
      </c>
      <c r="AB91" s="190">
        <v>0</v>
      </c>
      <c r="AC91" s="190">
        <v>0</v>
      </c>
      <c r="AD91" s="190">
        <v>0</v>
      </c>
      <c r="AE91" s="190">
        <v>0</v>
      </c>
      <c r="AF91" s="190">
        <v>0</v>
      </c>
      <c r="AG91" s="190">
        <v>0</v>
      </c>
      <c r="AH91" s="190">
        <v>0</v>
      </c>
      <c r="AI91" s="190">
        <v>0</v>
      </c>
      <c r="AJ91" s="190">
        <v>0</v>
      </c>
      <c r="AK91" s="190">
        <v>0</v>
      </c>
      <c r="AL91" s="190">
        <v>0</v>
      </c>
      <c r="AM91" s="190">
        <v>0</v>
      </c>
      <c r="AN91" s="190">
        <v>0</v>
      </c>
      <c r="AO91" s="190">
        <v>0</v>
      </c>
      <c r="AP91" s="190">
        <v>0</v>
      </c>
      <c r="AQ91" s="190">
        <v>3.94691067521208E-2</v>
      </c>
      <c r="AR91" s="190">
        <v>8.4999999999999995E-4</v>
      </c>
      <c r="AS91" s="190">
        <v>0</v>
      </c>
      <c r="AT91" s="190">
        <v>2.1549111144853899E-2</v>
      </c>
      <c r="AU91" s="190">
        <v>0</v>
      </c>
      <c r="AV91" s="190">
        <v>9.9881500211179298E-3</v>
      </c>
      <c r="AW91" s="190">
        <v>0.10090909090909141</v>
      </c>
      <c r="AX91" s="190">
        <v>0.10908939258104462</v>
      </c>
      <c r="AY91" s="190">
        <v>8.5909090909090505E-2</v>
      </c>
      <c r="AZ91" s="190">
        <v>0.114936812662198</v>
      </c>
      <c r="BA91" s="190">
        <v>9.5476424028172802E-2</v>
      </c>
      <c r="BB91" s="190">
        <v>0.10008701690449862</v>
      </c>
      <c r="BC91" s="190">
        <v>0.2</v>
      </c>
      <c r="BD91" s="190">
        <v>0</v>
      </c>
      <c r="BE91" s="190">
        <v>0</v>
      </c>
      <c r="BF91" s="190">
        <v>2E-3</v>
      </c>
      <c r="BG91" s="190">
        <v>1</v>
      </c>
      <c r="BH91" s="190">
        <v>0.25999999974999999</v>
      </c>
      <c r="BI91" s="190">
        <v>0.3</v>
      </c>
      <c r="BJ91" s="190">
        <v>0.303934533208021</v>
      </c>
      <c r="BK91" s="190">
        <v>0.65</v>
      </c>
      <c r="BL91" s="82">
        <v>0.94799999999999995</v>
      </c>
      <c r="BM91" s="190">
        <v>0.95</v>
      </c>
      <c r="BN91" s="190">
        <v>0.88</v>
      </c>
      <c r="BO91" s="190">
        <v>0.1298926548876049</v>
      </c>
      <c r="BP91" s="190">
        <v>0.14000000000000001</v>
      </c>
      <c r="BQ91" s="190">
        <v>0.41899999999999998</v>
      </c>
      <c r="BR91" s="190">
        <v>0</v>
      </c>
      <c r="BS91" s="190">
        <v>0</v>
      </c>
      <c r="BT91" s="190">
        <v>4.97344151890909E-2</v>
      </c>
      <c r="BU91" s="190">
        <v>0</v>
      </c>
      <c r="BV91" s="190">
        <v>0</v>
      </c>
      <c r="BW91" s="190">
        <v>0</v>
      </c>
      <c r="BX91" s="190">
        <v>0</v>
      </c>
      <c r="BY91" s="190">
        <v>0</v>
      </c>
      <c r="BZ91" s="190">
        <v>0</v>
      </c>
      <c r="CA91" s="190">
        <v>0</v>
      </c>
      <c r="CB91" s="190">
        <v>0</v>
      </c>
      <c r="CC91" s="190">
        <v>0</v>
      </c>
      <c r="CD91" s="190">
        <v>0</v>
      </c>
      <c r="CE91" s="190">
        <v>0</v>
      </c>
      <c r="CF91" s="190">
        <v>0</v>
      </c>
      <c r="CG91" s="190">
        <v>0</v>
      </c>
      <c r="CH91" s="190">
        <v>0</v>
      </c>
      <c r="CI91" s="190">
        <v>0</v>
      </c>
      <c r="CJ91" s="190">
        <v>0</v>
      </c>
      <c r="CK91" s="190">
        <v>0</v>
      </c>
      <c r="CL91" s="190">
        <v>0</v>
      </c>
      <c r="CM91" s="190">
        <v>0</v>
      </c>
    </row>
    <row r="92" spans="1:91" ht="15" customHeight="1" x14ac:dyDescent="0.4">
      <c r="A92" s="190" t="s">
        <v>284</v>
      </c>
      <c r="B92" s="190">
        <v>0</v>
      </c>
      <c r="C92" s="190">
        <v>0</v>
      </c>
      <c r="D92" s="190">
        <v>0</v>
      </c>
      <c r="E92" s="190">
        <v>0</v>
      </c>
      <c r="F92" s="190">
        <v>0</v>
      </c>
      <c r="G92" s="190">
        <v>0</v>
      </c>
      <c r="H92" s="190">
        <v>0</v>
      </c>
      <c r="I92" s="190">
        <v>0</v>
      </c>
      <c r="J92" s="190">
        <v>0</v>
      </c>
      <c r="K92" s="190">
        <v>0</v>
      </c>
      <c r="L92" s="190">
        <v>0</v>
      </c>
      <c r="M92" s="190">
        <v>0</v>
      </c>
      <c r="N92" s="190">
        <v>0</v>
      </c>
      <c r="O92" s="190">
        <v>0</v>
      </c>
      <c r="P92" s="190">
        <v>0</v>
      </c>
      <c r="Q92" s="190">
        <v>0</v>
      </c>
      <c r="R92" s="190">
        <v>2.1517120068241299E-4</v>
      </c>
      <c r="S92" s="190">
        <v>0</v>
      </c>
      <c r="T92" s="190">
        <v>0</v>
      </c>
      <c r="U92" s="190">
        <v>0</v>
      </c>
      <c r="V92" s="190">
        <v>9.5552638796848693E-2</v>
      </c>
      <c r="W92" s="244">
        <v>2.4112811533311101E-5</v>
      </c>
      <c r="X92" s="190">
        <v>1.4651863377533801E-4</v>
      </c>
      <c r="Y92" s="190">
        <v>0</v>
      </c>
      <c r="Z92" s="190">
        <v>0</v>
      </c>
      <c r="AA92" s="190">
        <v>1.36202186922454E-4</v>
      </c>
      <c r="AB92" s="190">
        <v>3.40578383553196E-4</v>
      </c>
      <c r="AC92" s="190">
        <v>1.37167518008472E-2</v>
      </c>
      <c r="AD92" s="190">
        <v>1.1999070078079301E-2</v>
      </c>
      <c r="AE92" s="190">
        <v>0</v>
      </c>
      <c r="AF92" s="190">
        <v>0</v>
      </c>
      <c r="AG92" s="190">
        <v>0</v>
      </c>
      <c r="AH92" s="190">
        <v>0</v>
      </c>
      <c r="AI92" s="190">
        <v>0</v>
      </c>
      <c r="AJ92" s="190">
        <v>0</v>
      </c>
      <c r="AK92" s="190">
        <v>0</v>
      </c>
      <c r="AL92" s="190">
        <v>0</v>
      </c>
      <c r="AM92" s="190">
        <v>0</v>
      </c>
      <c r="AN92" s="244">
        <v>5.1686650729047302E-4</v>
      </c>
      <c r="AO92" s="190">
        <v>4.5075583449356101E-4</v>
      </c>
      <c r="AP92" s="190">
        <v>0</v>
      </c>
      <c r="AQ92" s="190">
        <v>0</v>
      </c>
      <c r="AR92" s="190">
        <v>5.0000000000000001E-4</v>
      </c>
      <c r="AS92" s="190">
        <v>0</v>
      </c>
      <c r="AT92" s="190">
        <v>5.0054808803012504E-4</v>
      </c>
      <c r="AU92" s="244">
        <v>2.3640895753498601E-5</v>
      </c>
      <c r="AV92" s="190">
        <v>0</v>
      </c>
      <c r="AW92" s="190">
        <v>0</v>
      </c>
      <c r="AX92" s="190">
        <v>0</v>
      </c>
      <c r="AY92" s="190">
        <v>0</v>
      </c>
      <c r="AZ92" s="190">
        <v>0</v>
      </c>
      <c r="BA92" s="190">
        <v>0</v>
      </c>
      <c r="BB92" s="190">
        <v>0</v>
      </c>
      <c r="BC92" s="190">
        <v>0</v>
      </c>
      <c r="BD92" s="190">
        <v>0</v>
      </c>
      <c r="BE92" s="190">
        <v>0</v>
      </c>
      <c r="BF92" s="190">
        <v>0</v>
      </c>
      <c r="BG92" s="190">
        <v>0</v>
      </c>
      <c r="BH92" s="190">
        <v>0</v>
      </c>
      <c r="BI92" s="190">
        <v>0</v>
      </c>
      <c r="BJ92" s="190">
        <v>0</v>
      </c>
      <c r="BK92" s="190">
        <v>0.2</v>
      </c>
      <c r="BL92" s="190">
        <v>0</v>
      </c>
      <c r="BM92" s="190">
        <v>0</v>
      </c>
      <c r="BN92" s="190">
        <v>0</v>
      </c>
      <c r="BO92" s="190">
        <v>0</v>
      </c>
      <c r="BP92" s="190">
        <v>0</v>
      </c>
      <c r="BQ92" s="190">
        <v>0</v>
      </c>
      <c r="BR92" s="190">
        <v>0</v>
      </c>
      <c r="BS92" s="190">
        <v>0</v>
      </c>
      <c r="BT92" s="190">
        <v>0.238725192907636</v>
      </c>
      <c r="BU92" s="190">
        <v>0</v>
      </c>
      <c r="BV92" s="190">
        <v>0</v>
      </c>
      <c r="BW92" s="190">
        <v>0</v>
      </c>
      <c r="BX92" s="190">
        <v>9.9307286590523E-2</v>
      </c>
      <c r="BY92" s="190">
        <v>0</v>
      </c>
      <c r="BZ92" s="190">
        <v>0</v>
      </c>
      <c r="CA92" s="190">
        <v>0</v>
      </c>
      <c r="CB92" s="190">
        <v>1.5979272779585101E-2</v>
      </c>
      <c r="CC92" s="190">
        <v>0</v>
      </c>
      <c r="CD92" s="190">
        <f>0.15-0.0195652173913039</f>
        <v>0.13043478260869609</v>
      </c>
      <c r="CE92" s="190">
        <v>0</v>
      </c>
      <c r="CF92" s="190">
        <v>0</v>
      </c>
      <c r="CG92" s="190">
        <v>0</v>
      </c>
      <c r="CH92" s="190">
        <v>0</v>
      </c>
      <c r="CI92" s="190">
        <v>0</v>
      </c>
      <c r="CJ92" s="190">
        <v>0</v>
      </c>
      <c r="CK92" s="190">
        <v>0</v>
      </c>
      <c r="CL92" s="190">
        <v>0</v>
      </c>
      <c r="CM92" s="190">
        <v>0</v>
      </c>
    </row>
    <row r="93" spans="1:91" x14ac:dyDescent="0.4">
      <c r="O93" s="69"/>
    </row>
    <row r="94" spans="1:91" ht="15" customHeight="1" x14ac:dyDescent="0.4">
      <c r="O94" s="69"/>
    </row>
    <row r="95" spans="1:91" s="120" customFormat="1" ht="15" customHeight="1" x14ac:dyDescent="0.4">
      <c r="A95" s="120" t="s">
        <v>61</v>
      </c>
      <c r="B95" s="120">
        <f>SUM(B2:B92)</f>
        <v>0</v>
      </c>
      <c r="C95" s="120">
        <f t="shared" ref="C95:H95" si="0">SUM(C2:C92)</f>
        <v>0</v>
      </c>
      <c r="D95" s="120">
        <f t="shared" si="0"/>
        <v>0.99999999999999967</v>
      </c>
      <c r="E95" s="120">
        <f t="shared" si="0"/>
        <v>0.99999999999999967</v>
      </c>
      <c r="F95" s="120">
        <f t="shared" si="0"/>
        <v>0.99999999999999978</v>
      </c>
      <c r="G95" s="120">
        <f t="shared" si="0"/>
        <v>0.99999999999999978</v>
      </c>
      <c r="H95" s="120">
        <f t="shared" si="0"/>
        <v>1</v>
      </c>
      <c r="I95" s="120">
        <f t="shared" ref="I95:AN95" si="1">SUM(I2:I92)</f>
        <v>1.0000000000000007</v>
      </c>
      <c r="J95" s="120">
        <f t="shared" si="1"/>
        <v>1.0000000000000004</v>
      </c>
      <c r="K95" s="120">
        <f t="shared" si="1"/>
        <v>0.99999999999999989</v>
      </c>
      <c r="L95" s="120">
        <f t="shared" si="1"/>
        <v>1</v>
      </c>
      <c r="M95" s="120">
        <f t="shared" si="1"/>
        <v>1.0000000000050004</v>
      </c>
      <c r="N95" s="120">
        <f t="shared" si="1"/>
        <v>0.999999999999999</v>
      </c>
      <c r="O95" s="121">
        <f t="shared" si="1"/>
        <v>1</v>
      </c>
      <c r="P95" s="120">
        <f t="shared" si="1"/>
        <v>0.99999999999999989</v>
      </c>
      <c r="Q95" s="120">
        <f t="shared" si="1"/>
        <v>0.99999999999999989</v>
      </c>
      <c r="R95" s="120">
        <f t="shared" si="1"/>
        <v>1</v>
      </c>
      <c r="S95" s="120">
        <f t="shared" si="1"/>
        <v>0.99999999999999922</v>
      </c>
      <c r="T95" s="120">
        <f t="shared" si="1"/>
        <v>1.0000000000000004</v>
      </c>
      <c r="U95" s="120">
        <f t="shared" si="1"/>
        <v>0.99999999999999944</v>
      </c>
      <c r="V95" s="120">
        <f t="shared" si="1"/>
        <v>1.0000000000000007</v>
      </c>
      <c r="W95" s="120">
        <f t="shared" si="1"/>
        <v>0.99999999999999956</v>
      </c>
      <c r="X95" s="120">
        <f t="shared" si="1"/>
        <v>1.0000000000000007</v>
      </c>
      <c r="Y95" s="120">
        <f t="shared" si="1"/>
        <v>1.0000000000000004</v>
      </c>
      <c r="Z95" s="120">
        <f>SUM(Z2:Z92)</f>
        <v>0.99999999999999889</v>
      </c>
      <c r="AA95" s="120">
        <f t="shared" si="1"/>
        <v>0.99999999999999956</v>
      </c>
      <c r="AB95" s="120">
        <f t="shared" si="1"/>
        <v>0.99999999999999989</v>
      </c>
      <c r="AC95" s="120">
        <f t="shared" si="1"/>
        <v>0.99999999999999933</v>
      </c>
      <c r="AD95" s="120">
        <f t="shared" si="1"/>
        <v>1.0000000000000004</v>
      </c>
      <c r="AE95" s="120">
        <f t="shared" si="1"/>
        <v>1.0000000000000002</v>
      </c>
      <c r="AF95" s="120">
        <f t="shared" si="1"/>
        <v>1</v>
      </c>
      <c r="AG95" s="120">
        <f t="shared" si="1"/>
        <v>0.99999999999999978</v>
      </c>
      <c r="AH95" s="120">
        <f t="shared" si="1"/>
        <v>0.99999999999999967</v>
      </c>
      <c r="AI95" s="120">
        <f t="shared" si="1"/>
        <v>1</v>
      </c>
      <c r="AJ95" s="120">
        <f t="shared" si="1"/>
        <v>0.99999999999999933</v>
      </c>
      <c r="AK95" s="120">
        <f t="shared" si="1"/>
        <v>1.0000000000000002</v>
      </c>
      <c r="AL95" s="120">
        <f t="shared" si="1"/>
        <v>1.0000000000000002</v>
      </c>
      <c r="AM95" s="120">
        <f t="shared" si="1"/>
        <v>1</v>
      </c>
      <c r="AN95" s="120">
        <f t="shared" si="1"/>
        <v>0.99999999999999933</v>
      </c>
      <c r="AO95" s="120">
        <f t="shared" ref="AO95:BT95" si="2">SUM(AO2:AO92)</f>
        <v>1.0000000000000004</v>
      </c>
      <c r="AP95" s="120">
        <f t="shared" si="2"/>
        <v>1.0000000000000002</v>
      </c>
      <c r="AQ95" s="120">
        <f t="shared" si="2"/>
        <v>1.0000000000000009</v>
      </c>
      <c r="AR95" s="120">
        <f t="shared" si="2"/>
        <v>0.99999999999999867</v>
      </c>
      <c r="AS95" s="120">
        <f t="shared" si="2"/>
        <v>1.0000000000000004</v>
      </c>
      <c r="AT95" s="120">
        <f t="shared" si="2"/>
        <v>0.99999999999999878</v>
      </c>
      <c r="AU95" s="120">
        <f t="shared" si="2"/>
        <v>1.0000000000000004</v>
      </c>
      <c r="AV95" s="120">
        <f t="shared" si="2"/>
        <v>0.999999999999999</v>
      </c>
      <c r="AW95" s="120">
        <f t="shared" si="2"/>
        <v>1</v>
      </c>
      <c r="AX95" s="120">
        <f t="shared" si="2"/>
        <v>1</v>
      </c>
      <c r="AY95" s="120">
        <f t="shared" si="2"/>
        <v>0.99999999999999989</v>
      </c>
      <c r="AZ95" s="120">
        <f t="shared" si="2"/>
        <v>1.0000000000000002</v>
      </c>
      <c r="BA95" s="120">
        <f t="shared" si="2"/>
        <v>1</v>
      </c>
      <c r="BB95" s="120">
        <f t="shared" si="2"/>
        <v>1</v>
      </c>
      <c r="BC95" s="120">
        <f t="shared" si="2"/>
        <v>1</v>
      </c>
      <c r="BD95" s="120">
        <f t="shared" si="2"/>
        <v>1.0000000000000002</v>
      </c>
      <c r="BE95" s="120">
        <f t="shared" si="2"/>
        <v>0.99999999999999978</v>
      </c>
      <c r="BF95" s="120">
        <f t="shared" si="2"/>
        <v>0.99999999999999989</v>
      </c>
      <c r="BG95" s="120">
        <f t="shared" si="2"/>
        <v>1</v>
      </c>
      <c r="BH95" s="120">
        <f t="shared" si="2"/>
        <v>0.99999999999999867</v>
      </c>
      <c r="BI95" s="120">
        <f t="shared" si="2"/>
        <v>1</v>
      </c>
      <c r="BJ95" s="120">
        <f t="shared" si="2"/>
        <v>1.0000000000000002</v>
      </c>
      <c r="BK95" s="120">
        <f t="shared" si="2"/>
        <v>1</v>
      </c>
      <c r="BL95" s="120">
        <f t="shared" si="2"/>
        <v>1</v>
      </c>
      <c r="BM95" s="120">
        <f t="shared" si="2"/>
        <v>1</v>
      </c>
      <c r="BN95" s="120">
        <f t="shared" si="2"/>
        <v>1</v>
      </c>
      <c r="BO95" s="120">
        <f t="shared" si="2"/>
        <v>1</v>
      </c>
      <c r="BP95" s="120">
        <f t="shared" si="2"/>
        <v>1.0000000000000002</v>
      </c>
      <c r="BQ95" s="120">
        <f t="shared" si="2"/>
        <v>1</v>
      </c>
      <c r="BR95" s="120">
        <f t="shared" si="2"/>
        <v>1.0000000000000002</v>
      </c>
      <c r="BS95" s="120">
        <f t="shared" si="2"/>
        <v>1</v>
      </c>
      <c r="BT95" s="120">
        <f t="shared" si="2"/>
        <v>1</v>
      </c>
      <c r="BU95" s="120">
        <f t="shared" ref="BU95:CH95" si="3">SUM(BU2:BU92)</f>
        <v>1.0000000000000004</v>
      </c>
      <c r="BV95" s="120">
        <f t="shared" si="3"/>
        <v>0.99999999999999856</v>
      </c>
      <c r="BW95" s="120">
        <f t="shared" si="3"/>
        <v>0.99999999999999933</v>
      </c>
      <c r="BX95" s="120">
        <f t="shared" si="3"/>
        <v>1</v>
      </c>
      <c r="BY95" s="120">
        <f t="shared" si="3"/>
        <v>1.0000000000000002</v>
      </c>
      <c r="BZ95" s="120">
        <f t="shared" si="3"/>
        <v>1</v>
      </c>
      <c r="CA95" s="120">
        <f t="shared" si="3"/>
        <v>1</v>
      </c>
      <c r="CB95" s="120">
        <f t="shared" si="3"/>
        <v>1.0000000000000002</v>
      </c>
      <c r="CC95" s="120">
        <f t="shared" si="3"/>
        <v>1.0000000000000002</v>
      </c>
      <c r="CD95" s="120">
        <f t="shared" si="3"/>
        <v>1</v>
      </c>
      <c r="CE95" s="120">
        <f t="shared" si="3"/>
        <v>0.99999999999999989</v>
      </c>
      <c r="CF95" s="120">
        <f t="shared" si="3"/>
        <v>0.99999999999999956</v>
      </c>
      <c r="CG95" s="120">
        <f t="shared" si="3"/>
        <v>0.99999999999999978</v>
      </c>
      <c r="CH95" s="120">
        <f t="shared" si="3"/>
        <v>1.0000000000000002</v>
      </c>
      <c r="CI95" s="120">
        <f>SUM(CI2:CI92)</f>
        <v>0</v>
      </c>
      <c r="CJ95" s="120">
        <f>SUM(CJ2:CJ92)</f>
        <v>0</v>
      </c>
      <c r="CK95" s="120">
        <f>SUM(CK2:CK92)</f>
        <v>0</v>
      </c>
      <c r="CL95" s="120">
        <f>SUM(CL2:CL92)</f>
        <v>0</v>
      </c>
      <c r="CM95" s="120">
        <f>SUM(CM2:CM92)</f>
        <v>0</v>
      </c>
    </row>
    <row r="96" spans="1:91" ht="15" customHeight="1" x14ac:dyDescent="0.4"/>
    <row r="97" spans="5:83" ht="15" customHeight="1" x14ac:dyDescent="0.4">
      <c r="AN97" s="216"/>
    </row>
    <row r="98" spans="5:83" ht="15" customHeight="1" x14ac:dyDescent="0.4">
      <c r="CD98" s="216"/>
    </row>
    <row r="99" spans="5:83" ht="15" customHeight="1" x14ac:dyDescent="0.4">
      <c r="CD99" s="216"/>
      <c r="CE99" s="216"/>
    </row>
    <row r="100" spans="5:83" ht="15" customHeight="1" x14ac:dyDescent="0.4">
      <c r="E100" s="82"/>
      <c r="F100" s="82"/>
      <c r="G100" s="82"/>
      <c r="CD100" s="216"/>
      <c r="CE100" s="216"/>
    </row>
    <row r="101" spans="5:83" ht="15" customHeight="1" x14ac:dyDescent="0.4">
      <c r="CD101" s="216"/>
      <c r="CE101" s="216"/>
    </row>
    <row r="102" spans="5:83" ht="15" customHeight="1" x14ac:dyDescent="0.4">
      <c r="CD102" s="216"/>
      <c r="CE102" s="216"/>
    </row>
    <row r="103" spans="5:83" ht="15" customHeight="1" x14ac:dyDescent="0.4">
      <c r="E103" s="82"/>
      <c r="F103" s="82"/>
      <c r="G103" s="82"/>
      <c r="CD103" s="216"/>
      <c r="CE103" s="216"/>
    </row>
    <row r="104" spans="5:83" ht="15" customHeight="1" x14ac:dyDescent="0.4">
      <c r="E104" s="82"/>
      <c r="F104" s="82"/>
      <c r="G104" s="82"/>
      <c r="CD104" s="216"/>
      <c r="CE104" s="216"/>
    </row>
    <row r="105" spans="5:83" ht="15" customHeight="1" x14ac:dyDescent="0.4">
      <c r="CD105" s="216"/>
      <c r="CE105" s="216"/>
    </row>
    <row r="106" spans="5:83" ht="15" customHeight="1" x14ac:dyDescent="0.4">
      <c r="CD106" s="216"/>
      <c r="CE106" s="216"/>
    </row>
    <row r="107" spans="5:83" ht="15" customHeight="1" x14ac:dyDescent="0.4">
      <c r="CD107" s="216"/>
      <c r="CE107" s="216"/>
    </row>
    <row r="108" spans="5:83" ht="15" customHeight="1" x14ac:dyDescent="0.4">
      <c r="CD108" s="216"/>
      <c r="CE108" s="216"/>
    </row>
    <row r="109" spans="5:83" ht="15" customHeight="1" x14ac:dyDescent="0.4">
      <c r="CD109" s="216"/>
      <c r="CE109" s="216"/>
    </row>
    <row r="110" spans="5:83" ht="15" customHeight="1" x14ac:dyDescent="0.4">
      <c r="CD110" s="216"/>
      <c r="CE110" s="216"/>
    </row>
    <row r="111" spans="5:83" ht="15" customHeight="1" x14ac:dyDescent="0.4">
      <c r="CD111" s="216"/>
      <c r="CE111" s="216"/>
    </row>
    <row r="112" spans="5:83" ht="15" customHeight="1" x14ac:dyDescent="0.4">
      <c r="CD112" s="216"/>
      <c r="CE112" s="216"/>
    </row>
    <row r="113" spans="82:83" ht="15" customHeight="1" x14ac:dyDescent="0.4">
      <c r="CD113" s="216"/>
      <c r="CE113" s="216"/>
    </row>
    <row r="114" spans="82:83" ht="15" customHeight="1" x14ac:dyDescent="0.4">
      <c r="CD114" s="216"/>
      <c r="CE114" s="216"/>
    </row>
    <row r="115" spans="82:83" ht="15" customHeight="1" x14ac:dyDescent="0.4">
      <c r="CD115" s="216"/>
      <c r="CE115" s="216"/>
    </row>
    <row r="116" spans="82:83" ht="15" customHeight="1" x14ac:dyDescent="0.4">
      <c r="CD116" s="216"/>
      <c r="CE116" s="216"/>
    </row>
    <row r="117" spans="82:83" ht="15" customHeight="1" x14ac:dyDescent="0.4">
      <c r="CD117" s="1"/>
      <c r="CE117" s="216"/>
    </row>
    <row r="118" spans="82:83" ht="15" customHeight="1" x14ac:dyDescent="0.4">
      <c r="CD118" s="1"/>
      <c r="CE118" s="216"/>
    </row>
    <row r="119" spans="82:83" ht="15" customHeight="1" x14ac:dyDescent="0.4">
      <c r="CD119" s="1"/>
      <c r="CE119" s="216"/>
    </row>
    <row r="120" spans="82:83" ht="15" customHeight="1" x14ac:dyDescent="0.4">
      <c r="CD120" s="216"/>
      <c r="CE120" s="216"/>
    </row>
    <row r="121" spans="82:83" ht="15" customHeight="1" x14ac:dyDescent="0.4">
      <c r="CD121" s="216"/>
      <c r="CE121" s="216"/>
    </row>
    <row r="122" spans="82:83" ht="15" customHeight="1" x14ac:dyDescent="0.4">
      <c r="CD122" s="216"/>
      <c r="CE122" s="216"/>
    </row>
    <row r="123" spans="82:83" ht="15" customHeight="1" x14ac:dyDescent="0.4">
      <c r="CD123" s="216"/>
      <c r="CE123" s="216"/>
    </row>
    <row r="124" spans="82:83" ht="15" customHeight="1" x14ac:dyDescent="0.4">
      <c r="CD124" s="216"/>
      <c r="CE124" s="216"/>
    </row>
    <row r="125" spans="82:83" ht="15" customHeight="1" x14ac:dyDescent="0.4">
      <c r="CD125" s="216"/>
      <c r="CE125" s="216"/>
    </row>
    <row r="126" spans="82:83" ht="15" customHeight="1" x14ac:dyDescent="0.4">
      <c r="CD126" s="216"/>
      <c r="CE126" s="216"/>
    </row>
    <row r="127" spans="82:83" ht="15" customHeight="1" x14ac:dyDescent="0.4">
      <c r="CD127" s="216"/>
      <c r="CE127" s="216"/>
    </row>
    <row r="128" spans="82:83" ht="15" customHeight="1" x14ac:dyDescent="0.4">
      <c r="CD128" s="216"/>
      <c r="CE128" s="216"/>
    </row>
    <row r="129" spans="82:83" ht="15" customHeight="1" x14ac:dyDescent="0.4">
      <c r="CD129" s="216"/>
      <c r="CE129" s="216"/>
    </row>
    <row r="130" spans="82:83" ht="15" customHeight="1" x14ac:dyDescent="0.4">
      <c r="CD130" s="216"/>
      <c r="CE130" s="216"/>
    </row>
    <row r="131" spans="82:83" ht="15" customHeight="1" x14ac:dyDescent="0.4">
      <c r="CD131" s="216"/>
      <c r="CE131" s="216"/>
    </row>
    <row r="132" spans="82:83" ht="15" customHeight="1" x14ac:dyDescent="0.4">
      <c r="CD132" s="216"/>
      <c r="CE132" s="216"/>
    </row>
    <row r="133" spans="82:83" ht="15" customHeight="1" x14ac:dyDescent="0.4">
      <c r="CD133" s="216"/>
      <c r="CE133" s="216"/>
    </row>
    <row r="134" spans="82:83" ht="15" customHeight="1" x14ac:dyDescent="0.4">
      <c r="CD134" s="216"/>
      <c r="CE134" s="216"/>
    </row>
    <row r="135" spans="82:83" ht="15" customHeight="1" x14ac:dyDescent="0.4">
      <c r="CD135" s="216"/>
      <c r="CE135" s="216"/>
    </row>
    <row r="136" spans="82:83" ht="15" customHeight="1" x14ac:dyDescent="0.4">
      <c r="CD136" s="216"/>
      <c r="CE136" s="216"/>
    </row>
    <row r="137" spans="82:83" ht="15" customHeight="1" x14ac:dyDescent="0.4">
      <c r="CD137" s="216"/>
      <c r="CE137" s="216"/>
    </row>
    <row r="138" spans="82:83" ht="15" customHeight="1" x14ac:dyDescent="0.4">
      <c r="CD138" s="216"/>
      <c r="CE138" s="216"/>
    </row>
    <row r="139" spans="82:83" ht="15" customHeight="1" x14ac:dyDescent="0.4">
      <c r="CD139" s="216"/>
      <c r="CE139" s="216"/>
    </row>
    <row r="140" spans="82:83" ht="15" customHeight="1" x14ac:dyDescent="0.4">
      <c r="CD140" s="1"/>
      <c r="CE140" s="216"/>
    </row>
    <row r="141" spans="82:83" ht="15" customHeight="1" x14ac:dyDescent="0.4">
      <c r="CD141" s="216"/>
      <c r="CE141" s="216"/>
    </row>
    <row r="142" spans="82:83" ht="15" customHeight="1" x14ac:dyDescent="0.4">
      <c r="CD142" s="216"/>
      <c r="CE142" s="216"/>
    </row>
    <row r="143" spans="82:83" ht="15" customHeight="1" x14ac:dyDescent="0.4">
      <c r="CD143" s="216"/>
      <c r="CE143" s="216"/>
    </row>
    <row r="144" spans="82:83" ht="15" customHeight="1" x14ac:dyDescent="0.4">
      <c r="CD144" s="216"/>
      <c r="CE144" s="216"/>
    </row>
    <row r="145" spans="82:83" ht="15" customHeight="1" x14ac:dyDescent="0.4">
      <c r="CD145" s="216"/>
      <c r="CE145" s="216"/>
    </row>
    <row r="146" spans="82:83" ht="15" customHeight="1" x14ac:dyDescent="0.4">
      <c r="CD146" s="216"/>
      <c r="CE146" s="216"/>
    </row>
    <row r="147" spans="82:83" ht="15" customHeight="1" x14ac:dyDescent="0.4">
      <c r="CD147" s="216"/>
      <c r="CE147" s="216"/>
    </row>
    <row r="148" spans="82:83" ht="15" customHeight="1" x14ac:dyDescent="0.4">
      <c r="CD148" s="190"/>
      <c r="CE148" s="216"/>
    </row>
    <row r="149" spans="82:83" ht="15" customHeight="1" x14ac:dyDescent="0.4">
      <c r="CD149" s="216"/>
      <c r="CE149" s="216"/>
    </row>
    <row r="150" spans="82:83" ht="15" customHeight="1" x14ac:dyDescent="0.4">
      <c r="CD150" s="216"/>
      <c r="CE150" s="216"/>
    </row>
    <row r="151" spans="82:83" ht="15" customHeight="1" x14ac:dyDescent="0.4">
      <c r="CD151" s="216"/>
      <c r="CE151" s="216"/>
    </row>
    <row r="152" spans="82:83" ht="15" customHeight="1" x14ac:dyDescent="0.4">
      <c r="CD152" s="190"/>
      <c r="CE152" s="216"/>
    </row>
    <row r="153" spans="82:83" ht="15" customHeight="1" x14ac:dyDescent="0.4">
      <c r="CD153" s="216"/>
      <c r="CE153" s="216"/>
    </row>
    <row r="154" spans="82:83" ht="15" customHeight="1" x14ac:dyDescent="0.4">
      <c r="CD154" s="216"/>
      <c r="CE154" s="216"/>
    </row>
    <row r="155" spans="82:83" ht="15" customHeight="1" x14ac:dyDescent="0.4">
      <c r="CD155" s="216"/>
      <c r="CE155" s="216"/>
    </row>
    <row r="156" spans="82:83" ht="15" customHeight="1" x14ac:dyDescent="0.4">
      <c r="CD156" s="216"/>
      <c r="CE156" s="216"/>
    </row>
    <row r="157" spans="82:83" ht="15" customHeight="1" x14ac:dyDescent="0.4">
      <c r="CD157" s="216"/>
      <c r="CE157" s="216"/>
    </row>
    <row r="158" spans="82:83" ht="15" customHeight="1" x14ac:dyDescent="0.4">
      <c r="CD158" s="216"/>
      <c r="CE158" s="216"/>
    </row>
    <row r="159" spans="82:83" ht="15" customHeight="1" x14ac:dyDescent="0.4">
      <c r="CD159" s="216"/>
      <c r="CE159" s="216"/>
    </row>
    <row r="160" spans="82:83" ht="15" customHeight="1" x14ac:dyDescent="0.4">
      <c r="CD160" s="216"/>
      <c r="CE160" s="216"/>
    </row>
    <row r="161" spans="82:83" ht="15" customHeight="1" x14ac:dyDescent="0.4">
      <c r="CD161" s="216"/>
      <c r="CE161" s="216"/>
    </row>
    <row r="162" spans="82:83" ht="15" customHeight="1" x14ac:dyDescent="0.4">
      <c r="CD162" s="216"/>
      <c r="CE162" s="216"/>
    </row>
    <row r="163" spans="82:83" ht="15" customHeight="1" x14ac:dyDescent="0.4">
      <c r="CD163" s="216"/>
      <c r="CE163" s="216"/>
    </row>
    <row r="164" spans="82:83" ht="15" customHeight="1" x14ac:dyDescent="0.4">
      <c r="CD164" s="216"/>
      <c r="CE164" s="216"/>
    </row>
    <row r="165" spans="82:83" ht="15" customHeight="1" x14ac:dyDescent="0.4">
      <c r="CD165" s="216"/>
      <c r="CE165" s="216"/>
    </row>
    <row r="166" spans="82:83" ht="15" customHeight="1" x14ac:dyDescent="0.4">
      <c r="CD166" s="216"/>
      <c r="CE166" s="216"/>
    </row>
    <row r="167" spans="82:83" ht="15" customHeight="1" x14ac:dyDescent="0.4">
      <c r="CD167" s="216"/>
      <c r="CE167" s="216"/>
    </row>
    <row r="168" spans="82:83" ht="15" customHeight="1" x14ac:dyDescent="0.4">
      <c r="CD168" s="216"/>
      <c r="CE168" s="216"/>
    </row>
    <row r="169" spans="82:83" ht="15" customHeight="1" x14ac:dyDescent="0.4">
      <c r="CD169" s="216"/>
      <c r="CE169" s="216"/>
    </row>
    <row r="170" spans="82:83" ht="15" customHeight="1" x14ac:dyDescent="0.4">
      <c r="CD170" s="216"/>
      <c r="CE170" s="216"/>
    </row>
    <row r="171" spans="82:83" ht="15" customHeight="1" x14ac:dyDescent="0.4">
      <c r="CD171" s="216"/>
      <c r="CE171" s="216"/>
    </row>
    <row r="172" spans="82:83" ht="15" customHeight="1" x14ac:dyDescent="0.4">
      <c r="CD172" s="216"/>
      <c r="CE172" s="216"/>
    </row>
    <row r="173" spans="82:83" ht="15" customHeight="1" x14ac:dyDescent="0.4">
      <c r="CD173" s="216"/>
      <c r="CE173" s="216"/>
    </row>
    <row r="174" spans="82:83" ht="15" customHeight="1" x14ac:dyDescent="0.4">
      <c r="CD174" s="216"/>
      <c r="CE174" s="216"/>
    </row>
    <row r="175" spans="82:83" x14ac:dyDescent="0.4">
      <c r="CD175" s="216"/>
      <c r="CE175" s="216"/>
    </row>
    <row r="176" spans="82:83" x14ac:dyDescent="0.4">
      <c r="CD176" s="216"/>
      <c r="CE176" s="216"/>
    </row>
    <row r="177" spans="82:83" x14ac:dyDescent="0.4">
      <c r="CD177" s="216"/>
      <c r="CE177" s="216"/>
    </row>
    <row r="178" spans="82:83" x14ac:dyDescent="0.4">
      <c r="CD178" s="216"/>
      <c r="CE178" s="216"/>
    </row>
    <row r="179" spans="82:83" x14ac:dyDescent="0.4">
      <c r="CD179" s="216"/>
      <c r="CE179" s="216"/>
    </row>
    <row r="180" spans="82:83" x14ac:dyDescent="0.4">
      <c r="CD180" s="216"/>
      <c r="CE180" s="216"/>
    </row>
    <row r="181" spans="82:83" x14ac:dyDescent="0.4">
      <c r="CD181" s="216"/>
      <c r="CE181" s="216"/>
    </row>
    <row r="182" spans="82:83" x14ac:dyDescent="0.4">
      <c r="CD182" s="216"/>
      <c r="CE182" s="216"/>
    </row>
    <row r="183" spans="82:83" x14ac:dyDescent="0.4">
      <c r="CD183" s="216"/>
      <c r="CE183" s="216"/>
    </row>
    <row r="184" spans="82:83" x14ac:dyDescent="0.4">
      <c r="CD184" s="216"/>
      <c r="CE184" s="216"/>
    </row>
    <row r="185" spans="82:83" x14ac:dyDescent="0.4">
      <c r="CD185" s="216"/>
      <c r="CE185" s="216"/>
    </row>
    <row r="186" spans="82:83" x14ac:dyDescent="0.4">
      <c r="CD186" s="190"/>
      <c r="CE186" s="216"/>
    </row>
    <row r="187" spans="82:83" x14ac:dyDescent="0.4">
      <c r="CD187" s="216"/>
      <c r="CE187" s="216"/>
    </row>
  </sheetData>
  <phoneticPr fontId="2" type="noConversion"/>
  <conditionalFormatting sqref="AK7:AL7 AK12:AL12 Z7:AI7 Z2:AL6 Z12:AI12 Z8:AL11 Z13:AL47 S2:U47 AP2:AP47 B2:Q47 AR2:AS47">
    <cfRule type="cellIs" dxfId="10" priority="11" operator="equal">
      <formula>0</formula>
    </cfRule>
  </conditionalFormatting>
  <conditionalFormatting sqref="AJ7">
    <cfRule type="cellIs" dxfId="9" priority="10" operator="equal">
      <formula>0</formula>
    </cfRule>
  </conditionalFormatting>
  <conditionalFormatting sqref="AJ12">
    <cfRule type="cellIs" dxfId="8" priority="9" operator="equal">
      <formula>0</formula>
    </cfRule>
  </conditionalFormatting>
  <conditionalFormatting sqref="AT2:AT47">
    <cfRule type="cellIs" dxfId="7" priority="8" operator="equal">
      <formula>0</formula>
    </cfRule>
  </conditionalFormatting>
  <conditionalFormatting sqref="AN24:AO39 AM2:AO23 AM24:AM41 AM42:AO47">
    <cfRule type="cellIs" dxfId="6" priority="7" operator="equal">
      <formula>0</formula>
    </cfRule>
  </conditionalFormatting>
  <conditionalFormatting sqref="V2:W12 V14 V15:W47 X2:Y47">
    <cfRule type="cellIs" dxfId="5" priority="6" operator="equal">
      <formula>0</formula>
    </cfRule>
  </conditionalFormatting>
  <conditionalFormatting sqref="V13">
    <cfRule type="cellIs" dxfId="4" priority="5" operator="equal">
      <formula>0</formula>
    </cfRule>
  </conditionalFormatting>
  <conditionalFormatting sqref="W13">
    <cfRule type="cellIs" dxfId="3" priority="4" operator="equal">
      <formula>0</formula>
    </cfRule>
  </conditionalFormatting>
  <conditionalFormatting sqref="W14">
    <cfRule type="cellIs" dxfId="2" priority="3" operator="equal">
      <formula>0</formula>
    </cfRule>
  </conditionalFormatting>
  <conditionalFormatting sqref="R2:R49">
    <cfRule type="cellIs" dxfId="1" priority="2" operator="equal">
      <formula>0</formula>
    </cfRule>
  </conditionalFormatting>
  <conditionalFormatting sqref="AY15">
    <cfRule type="cellIs" dxfId="0" priority="1" operator="equal">
      <formula>0</formula>
    </cfRule>
  </conditionalFormatting>
  <pageMargins left="0.75" right="0.75" top="1" bottom="1" header="0.5" footer="0.5"/>
  <pageSetup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I100"/>
  <sheetViews>
    <sheetView zoomScaleNormal="100" workbookViewId="0">
      <pane xSplit="2" ySplit="1" topLeftCell="C9" activePane="bottomRight" state="frozen"/>
      <selection pane="topRight" activeCell="C1" sqref="C1"/>
      <selection pane="bottomLeft" activeCell="A2" sqref="A2"/>
      <selection pane="bottomRight" activeCell="D32" sqref="D32"/>
    </sheetView>
  </sheetViews>
  <sheetFormatPr defaultColWidth="8.83203125" defaultRowHeight="12.3" x14ac:dyDescent="0.4"/>
  <cols>
    <col min="1" max="1" width="12.83203125" customWidth="1"/>
    <col min="2" max="2" width="30.1640625" customWidth="1"/>
    <col min="3" max="3" width="19.5" style="6" bestFit="1" customWidth="1"/>
    <col min="4" max="4" width="12.5" style="6" bestFit="1" customWidth="1"/>
    <col min="5" max="5" width="17.33203125" style="6" bestFit="1" customWidth="1"/>
    <col min="6" max="6" width="13.83203125" style="6" bestFit="1" customWidth="1"/>
    <col min="7" max="7" width="17.5" style="6" customWidth="1"/>
    <col min="8" max="8" width="8.83203125" style="6"/>
  </cols>
  <sheetData>
    <row r="1" spans="1:9" x14ac:dyDescent="0.4">
      <c r="A1" s="5" t="s">
        <v>20</v>
      </c>
      <c r="B1" s="46" t="s">
        <v>0</v>
      </c>
      <c r="C1" s="140" t="s">
        <v>250</v>
      </c>
      <c r="D1" s="140" t="s">
        <v>251</v>
      </c>
      <c r="E1" s="140" t="s">
        <v>252</v>
      </c>
      <c r="F1" s="140" t="s">
        <v>253</v>
      </c>
      <c r="G1" s="140" t="s">
        <v>254</v>
      </c>
      <c r="H1" s="6" t="s">
        <v>156</v>
      </c>
      <c r="I1" s="86" t="s">
        <v>61</v>
      </c>
    </row>
    <row r="2" spans="1:9" x14ac:dyDescent="0.4">
      <c r="A2" s="6">
        <v>1</v>
      </c>
      <c r="B2" t="s">
        <v>177</v>
      </c>
      <c r="C2" s="6">
        <v>0</v>
      </c>
      <c r="D2" s="6">
        <v>0</v>
      </c>
      <c r="E2" s="6">
        <v>1</v>
      </c>
      <c r="F2" s="6">
        <v>0</v>
      </c>
      <c r="G2" s="6">
        <v>0</v>
      </c>
      <c r="H2" s="6">
        <v>0</v>
      </c>
      <c r="I2" s="87">
        <f>SUM(C2:H2)</f>
        <v>1</v>
      </c>
    </row>
    <row r="3" spans="1:9" x14ac:dyDescent="0.4">
      <c r="A3" s="6">
        <v>2</v>
      </c>
      <c r="B3" t="s">
        <v>178</v>
      </c>
      <c r="C3" s="6">
        <v>0</v>
      </c>
      <c r="D3" s="6">
        <v>0</v>
      </c>
      <c r="E3" s="6">
        <v>1</v>
      </c>
      <c r="F3" s="6">
        <v>0</v>
      </c>
      <c r="G3" s="6">
        <v>0</v>
      </c>
      <c r="H3" s="6">
        <v>0</v>
      </c>
      <c r="I3" s="87">
        <f t="shared" ref="I3:I71" si="0">SUM(C3:H3)</f>
        <v>1</v>
      </c>
    </row>
    <row r="4" spans="1:9" x14ac:dyDescent="0.4">
      <c r="A4" s="6">
        <v>3</v>
      </c>
      <c r="B4" t="s">
        <v>179</v>
      </c>
      <c r="C4" s="6">
        <v>0</v>
      </c>
      <c r="D4" s="6">
        <v>0</v>
      </c>
      <c r="E4" s="6">
        <v>1</v>
      </c>
      <c r="F4" s="6">
        <v>0</v>
      </c>
      <c r="G4" s="6">
        <v>0</v>
      </c>
      <c r="H4" s="6">
        <v>0</v>
      </c>
      <c r="I4" s="87">
        <f t="shared" si="0"/>
        <v>1</v>
      </c>
    </row>
    <row r="5" spans="1:9" x14ac:dyDescent="0.4">
      <c r="A5" s="6">
        <v>4</v>
      </c>
      <c r="B5" t="s">
        <v>180</v>
      </c>
      <c r="C5" s="6">
        <v>0.2</v>
      </c>
      <c r="D5" s="6">
        <v>0</v>
      </c>
      <c r="E5" s="6">
        <v>0.8</v>
      </c>
      <c r="F5" s="6">
        <v>0</v>
      </c>
      <c r="G5" s="6">
        <v>0</v>
      </c>
      <c r="H5" s="6">
        <v>0</v>
      </c>
      <c r="I5" s="87">
        <f t="shared" si="0"/>
        <v>1</v>
      </c>
    </row>
    <row r="6" spans="1:9" x14ac:dyDescent="0.4">
      <c r="A6" s="6">
        <v>5</v>
      </c>
      <c r="B6" t="s">
        <v>181</v>
      </c>
      <c r="C6" s="6">
        <v>0.2</v>
      </c>
      <c r="D6" s="6">
        <v>0</v>
      </c>
      <c r="E6" s="6">
        <v>0.8</v>
      </c>
      <c r="F6" s="6">
        <v>0</v>
      </c>
      <c r="G6" s="6">
        <v>0</v>
      </c>
      <c r="H6" s="6">
        <v>0</v>
      </c>
      <c r="I6" s="87">
        <f t="shared" si="0"/>
        <v>1</v>
      </c>
    </row>
    <row r="7" spans="1:9" x14ac:dyDescent="0.4">
      <c r="A7" s="6">
        <v>6</v>
      </c>
      <c r="B7" t="s">
        <v>182</v>
      </c>
      <c r="C7" s="6">
        <v>0.2</v>
      </c>
      <c r="D7" s="6">
        <v>0</v>
      </c>
      <c r="E7" s="6">
        <v>0.8</v>
      </c>
      <c r="F7" s="6">
        <v>0</v>
      </c>
      <c r="G7" s="6">
        <v>0</v>
      </c>
      <c r="H7" s="6">
        <v>0</v>
      </c>
      <c r="I7" s="87">
        <f t="shared" si="0"/>
        <v>1</v>
      </c>
    </row>
    <row r="8" spans="1:9" x14ac:dyDescent="0.4">
      <c r="A8" s="6">
        <v>7</v>
      </c>
      <c r="B8" t="s">
        <v>183</v>
      </c>
      <c r="C8" s="6">
        <v>0.2</v>
      </c>
      <c r="D8" s="6">
        <v>0</v>
      </c>
      <c r="E8" s="6">
        <v>0.8</v>
      </c>
      <c r="F8" s="6">
        <v>0</v>
      </c>
      <c r="G8" s="6">
        <v>0</v>
      </c>
      <c r="H8" s="6">
        <v>0</v>
      </c>
      <c r="I8" s="87">
        <f t="shared" si="0"/>
        <v>1</v>
      </c>
    </row>
    <row r="9" spans="1:9" x14ac:dyDescent="0.4">
      <c r="A9" s="6">
        <v>8</v>
      </c>
      <c r="B9" t="s">
        <v>184</v>
      </c>
      <c r="C9" s="6">
        <v>0.2</v>
      </c>
      <c r="D9" s="6">
        <v>0</v>
      </c>
      <c r="E9" s="6">
        <v>0.8</v>
      </c>
      <c r="F9" s="6">
        <v>0</v>
      </c>
      <c r="G9" s="6">
        <v>0</v>
      </c>
      <c r="H9" s="6">
        <v>0</v>
      </c>
      <c r="I9" s="87">
        <f t="shared" si="0"/>
        <v>1</v>
      </c>
    </row>
    <row r="10" spans="1:9" x14ac:dyDescent="0.4">
      <c r="A10" s="6">
        <v>9</v>
      </c>
      <c r="B10" t="s">
        <v>185</v>
      </c>
      <c r="C10" s="6">
        <v>0.2</v>
      </c>
      <c r="D10" s="6">
        <v>0</v>
      </c>
      <c r="E10" s="6">
        <v>0.8</v>
      </c>
      <c r="F10" s="6">
        <v>0</v>
      </c>
      <c r="G10" s="6">
        <v>0</v>
      </c>
      <c r="H10" s="6">
        <v>0</v>
      </c>
      <c r="I10" s="87">
        <f t="shared" si="0"/>
        <v>1</v>
      </c>
    </row>
    <row r="11" spans="1:9" x14ac:dyDescent="0.4">
      <c r="A11" s="6">
        <v>10</v>
      </c>
      <c r="B11" t="s">
        <v>186</v>
      </c>
      <c r="C11" s="6">
        <v>0.2</v>
      </c>
      <c r="D11" s="6">
        <v>0</v>
      </c>
      <c r="E11" s="6">
        <v>0.8</v>
      </c>
      <c r="F11" s="6">
        <v>0</v>
      </c>
      <c r="G11" s="6">
        <v>0</v>
      </c>
      <c r="H11" s="6">
        <v>0</v>
      </c>
      <c r="I11" s="87">
        <f t="shared" si="0"/>
        <v>1</v>
      </c>
    </row>
    <row r="12" spans="1:9" x14ac:dyDescent="0.4">
      <c r="A12" s="6">
        <v>11</v>
      </c>
      <c r="B12" t="s">
        <v>187</v>
      </c>
      <c r="C12" s="6">
        <v>0</v>
      </c>
      <c r="D12" s="6">
        <v>0</v>
      </c>
      <c r="E12" s="6">
        <v>1</v>
      </c>
      <c r="F12" s="6">
        <v>0</v>
      </c>
      <c r="G12" s="6">
        <v>0</v>
      </c>
      <c r="H12" s="6">
        <v>0</v>
      </c>
      <c r="I12" s="87">
        <f t="shared" si="0"/>
        <v>1</v>
      </c>
    </row>
    <row r="13" spans="1:9" x14ac:dyDescent="0.4">
      <c r="A13" s="6">
        <v>12</v>
      </c>
      <c r="B13" t="s">
        <v>188</v>
      </c>
      <c r="C13" s="6">
        <v>0</v>
      </c>
      <c r="D13" s="6">
        <v>0</v>
      </c>
      <c r="E13" s="6">
        <v>1</v>
      </c>
      <c r="F13" s="6">
        <v>0</v>
      </c>
      <c r="G13" s="6">
        <v>0</v>
      </c>
      <c r="H13" s="6">
        <v>0</v>
      </c>
      <c r="I13" s="87">
        <f t="shared" si="0"/>
        <v>1</v>
      </c>
    </row>
    <row r="14" spans="1:9" x14ac:dyDescent="0.4">
      <c r="A14" s="6">
        <v>13</v>
      </c>
      <c r="B14" t="s">
        <v>189</v>
      </c>
      <c r="C14" s="6">
        <v>0</v>
      </c>
      <c r="D14" s="6">
        <v>0</v>
      </c>
      <c r="E14" s="6">
        <v>1</v>
      </c>
      <c r="F14" s="6">
        <v>0</v>
      </c>
      <c r="G14" s="6">
        <v>0</v>
      </c>
      <c r="H14" s="6">
        <v>0</v>
      </c>
      <c r="I14" s="87">
        <f t="shared" si="0"/>
        <v>1</v>
      </c>
    </row>
    <row r="15" spans="1:9" x14ac:dyDescent="0.4">
      <c r="A15" s="6">
        <v>14</v>
      </c>
      <c r="B15" t="s">
        <v>273</v>
      </c>
      <c r="C15" s="6">
        <v>0</v>
      </c>
      <c r="D15" s="6">
        <v>0</v>
      </c>
      <c r="E15" s="6">
        <v>1</v>
      </c>
      <c r="F15" s="6">
        <v>0</v>
      </c>
      <c r="G15" s="6">
        <v>0</v>
      </c>
      <c r="H15" s="6">
        <v>0</v>
      </c>
      <c r="I15" s="87">
        <f>SUM(C15:H15)</f>
        <v>1</v>
      </c>
    </row>
    <row r="16" spans="1:9" x14ac:dyDescent="0.4">
      <c r="A16" s="6">
        <v>15</v>
      </c>
      <c r="B16" t="s">
        <v>190</v>
      </c>
      <c r="C16" s="6">
        <v>0.2</v>
      </c>
      <c r="D16" s="6">
        <v>0</v>
      </c>
      <c r="E16" s="6">
        <v>0.8</v>
      </c>
      <c r="F16" s="6">
        <v>0</v>
      </c>
      <c r="G16" s="6">
        <v>0</v>
      </c>
      <c r="H16" s="6">
        <v>0</v>
      </c>
      <c r="I16" s="87">
        <f t="shared" si="0"/>
        <v>1</v>
      </c>
    </row>
    <row r="17" spans="1:9" x14ac:dyDescent="0.4">
      <c r="A17" s="6">
        <v>16</v>
      </c>
      <c r="B17" t="s">
        <v>191</v>
      </c>
      <c r="C17" s="6">
        <v>0.2</v>
      </c>
      <c r="D17" s="6">
        <v>0</v>
      </c>
      <c r="E17" s="6">
        <v>0.8</v>
      </c>
      <c r="F17" s="6">
        <v>0</v>
      </c>
      <c r="G17" s="6">
        <v>0</v>
      </c>
      <c r="H17" s="6">
        <v>0</v>
      </c>
      <c r="I17" s="87">
        <f t="shared" si="0"/>
        <v>1</v>
      </c>
    </row>
    <row r="18" spans="1:9" x14ac:dyDescent="0.4">
      <c r="A18" s="6">
        <v>17</v>
      </c>
      <c r="B18" t="s">
        <v>192</v>
      </c>
      <c r="C18" s="6">
        <v>0</v>
      </c>
      <c r="D18" s="6">
        <v>0.25</v>
      </c>
      <c r="E18" s="6">
        <v>0</v>
      </c>
      <c r="F18" s="6">
        <v>0</v>
      </c>
      <c r="G18" s="6">
        <v>0.75</v>
      </c>
      <c r="H18" s="6">
        <v>0</v>
      </c>
      <c r="I18" s="87">
        <f t="shared" si="0"/>
        <v>1</v>
      </c>
    </row>
    <row r="19" spans="1:9" x14ac:dyDescent="0.4">
      <c r="A19" s="6">
        <v>18</v>
      </c>
      <c r="B19" t="s">
        <v>193</v>
      </c>
      <c r="C19" s="6">
        <v>0</v>
      </c>
      <c r="D19" s="6">
        <v>0</v>
      </c>
      <c r="E19" s="6">
        <v>0</v>
      </c>
      <c r="F19" s="6">
        <v>0</v>
      </c>
      <c r="G19" s="6">
        <v>1</v>
      </c>
      <c r="H19" s="6">
        <v>0</v>
      </c>
      <c r="I19" s="87">
        <f t="shared" si="0"/>
        <v>1</v>
      </c>
    </row>
    <row r="20" spans="1:9" x14ac:dyDescent="0.4">
      <c r="A20" s="6">
        <v>19</v>
      </c>
      <c r="B20" t="s">
        <v>194</v>
      </c>
      <c r="C20" s="6">
        <v>0</v>
      </c>
      <c r="D20" s="6">
        <v>0.25</v>
      </c>
      <c r="E20" s="6">
        <v>0</v>
      </c>
      <c r="F20" s="6">
        <v>0</v>
      </c>
      <c r="G20" s="6">
        <v>0.75</v>
      </c>
      <c r="H20" s="6">
        <v>0</v>
      </c>
      <c r="I20" s="87">
        <f t="shared" si="0"/>
        <v>1</v>
      </c>
    </row>
    <row r="21" spans="1:9" x14ac:dyDescent="0.4">
      <c r="A21" s="6">
        <v>20</v>
      </c>
      <c r="B21" t="s">
        <v>195</v>
      </c>
      <c r="C21" s="6">
        <v>0</v>
      </c>
      <c r="D21" s="6">
        <v>0.25</v>
      </c>
      <c r="E21" s="6">
        <v>0</v>
      </c>
      <c r="F21" s="6">
        <v>0</v>
      </c>
      <c r="G21" s="6">
        <v>0.75</v>
      </c>
      <c r="H21" s="6">
        <v>0</v>
      </c>
      <c r="I21" s="87">
        <f t="shared" si="0"/>
        <v>1</v>
      </c>
    </row>
    <row r="22" spans="1:9" x14ac:dyDescent="0.4">
      <c r="A22" s="6">
        <v>21</v>
      </c>
      <c r="B22" t="s">
        <v>196</v>
      </c>
      <c r="C22" s="6">
        <v>0</v>
      </c>
      <c r="D22" s="6">
        <v>0</v>
      </c>
      <c r="E22" s="6">
        <v>0</v>
      </c>
      <c r="F22" s="6">
        <v>0</v>
      </c>
      <c r="G22" s="6">
        <v>1</v>
      </c>
      <c r="H22" s="6">
        <v>0</v>
      </c>
      <c r="I22" s="87">
        <f t="shared" si="0"/>
        <v>1</v>
      </c>
    </row>
    <row r="23" spans="1:9" x14ac:dyDescent="0.4">
      <c r="A23" s="6">
        <v>22</v>
      </c>
      <c r="B23" t="s">
        <v>197</v>
      </c>
      <c r="C23" s="6">
        <v>0</v>
      </c>
      <c r="D23" s="6">
        <v>0.25</v>
      </c>
      <c r="E23" s="6">
        <v>0</v>
      </c>
      <c r="F23" s="6">
        <v>0</v>
      </c>
      <c r="G23" s="6">
        <v>0.75</v>
      </c>
      <c r="H23" s="6">
        <v>0</v>
      </c>
      <c r="I23" s="87">
        <f t="shared" si="0"/>
        <v>1</v>
      </c>
    </row>
    <row r="24" spans="1:9" x14ac:dyDescent="0.4">
      <c r="A24" s="6">
        <v>23</v>
      </c>
      <c r="B24" t="s">
        <v>198</v>
      </c>
      <c r="C24" s="6">
        <v>0</v>
      </c>
      <c r="D24" s="6">
        <v>0.25</v>
      </c>
      <c r="E24" s="6">
        <v>0</v>
      </c>
      <c r="F24" s="6">
        <v>0</v>
      </c>
      <c r="G24" s="6">
        <v>0.75</v>
      </c>
      <c r="H24" s="6">
        <v>0</v>
      </c>
      <c r="I24" s="87">
        <f t="shared" si="0"/>
        <v>1</v>
      </c>
    </row>
    <row r="25" spans="1:9" x14ac:dyDescent="0.4">
      <c r="A25" s="6">
        <v>24</v>
      </c>
      <c r="B25" t="s">
        <v>199</v>
      </c>
      <c r="C25" s="6">
        <v>0</v>
      </c>
      <c r="D25" s="6">
        <v>0.25</v>
      </c>
      <c r="E25" s="6">
        <v>0</v>
      </c>
      <c r="F25" s="6">
        <v>0</v>
      </c>
      <c r="G25" s="6">
        <v>0.75</v>
      </c>
      <c r="H25" s="6">
        <v>0</v>
      </c>
      <c r="I25" s="87">
        <f t="shared" si="0"/>
        <v>1</v>
      </c>
    </row>
    <row r="26" spans="1:9" x14ac:dyDescent="0.4">
      <c r="A26" s="6">
        <v>25</v>
      </c>
      <c r="B26" t="s">
        <v>265</v>
      </c>
      <c r="C26" s="6">
        <v>0</v>
      </c>
      <c r="D26" s="6">
        <v>0</v>
      </c>
      <c r="E26" s="6">
        <v>0</v>
      </c>
      <c r="F26" s="6">
        <v>0</v>
      </c>
      <c r="G26" s="6">
        <v>1</v>
      </c>
      <c r="H26" s="6">
        <v>0</v>
      </c>
      <c r="I26" s="87">
        <f t="shared" si="0"/>
        <v>1</v>
      </c>
    </row>
    <row r="27" spans="1:9" x14ac:dyDescent="0.4">
      <c r="A27" s="6">
        <v>26</v>
      </c>
      <c r="B27" t="s">
        <v>274</v>
      </c>
      <c r="C27" s="6">
        <v>0</v>
      </c>
      <c r="D27" s="6">
        <v>0</v>
      </c>
      <c r="E27" s="6">
        <v>0</v>
      </c>
      <c r="F27" s="6">
        <v>0</v>
      </c>
      <c r="G27" s="6">
        <v>1</v>
      </c>
      <c r="H27" s="6">
        <v>0</v>
      </c>
      <c r="I27" s="87">
        <f t="shared" si="0"/>
        <v>1</v>
      </c>
    </row>
    <row r="28" spans="1:9" x14ac:dyDescent="0.4">
      <c r="A28" s="6">
        <v>27</v>
      </c>
      <c r="B28" t="s">
        <v>275</v>
      </c>
      <c r="C28" s="6">
        <v>0</v>
      </c>
      <c r="D28" s="6">
        <v>0</v>
      </c>
      <c r="E28" s="6">
        <v>0</v>
      </c>
      <c r="F28" s="6">
        <v>0</v>
      </c>
      <c r="G28" s="6">
        <v>1</v>
      </c>
      <c r="H28" s="6">
        <v>0</v>
      </c>
      <c r="I28" s="87">
        <f t="shared" si="0"/>
        <v>1</v>
      </c>
    </row>
    <row r="29" spans="1:9" x14ac:dyDescent="0.4">
      <c r="A29" s="6">
        <v>28</v>
      </c>
      <c r="B29" t="s">
        <v>276</v>
      </c>
      <c r="C29" s="6">
        <v>0</v>
      </c>
      <c r="D29" s="6">
        <v>0</v>
      </c>
      <c r="E29" s="6">
        <v>0</v>
      </c>
      <c r="F29" s="6">
        <v>0</v>
      </c>
      <c r="G29" s="6">
        <v>1</v>
      </c>
      <c r="H29" s="6">
        <v>0</v>
      </c>
      <c r="I29" s="87">
        <f t="shared" si="0"/>
        <v>1</v>
      </c>
    </row>
    <row r="30" spans="1:9" x14ac:dyDescent="0.4">
      <c r="A30" s="6">
        <v>29</v>
      </c>
      <c r="B30" t="s">
        <v>277</v>
      </c>
      <c r="C30" s="6">
        <v>0</v>
      </c>
      <c r="D30" s="6">
        <v>0</v>
      </c>
      <c r="E30" s="6">
        <v>0</v>
      </c>
      <c r="F30" s="6">
        <v>0</v>
      </c>
      <c r="G30" s="6">
        <v>1</v>
      </c>
      <c r="H30" s="6">
        <v>0</v>
      </c>
      <c r="I30" s="87">
        <f t="shared" si="0"/>
        <v>1</v>
      </c>
    </row>
    <row r="31" spans="1:9" x14ac:dyDescent="0.4">
      <c r="A31" s="6">
        <v>30</v>
      </c>
      <c r="B31" t="s">
        <v>278</v>
      </c>
      <c r="C31" s="6">
        <v>0</v>
      </c>
      <c r="D31" s="6">
        <v>0</v>
      </c>
      <c r="E31" s="6">
        <v>0</v>
      </c>
      <c r="F31" s="6">
        <v>0</v>
      </c>
      <c r="G31" s="6">
        <v>1</v>
      </c>
      <c r="H31" s="6">
        <v>0</v>
      </c>
      <c r="I31" s="87">
        <f t="shared" si="0"/>
        <v>1</v>
      </c>
    </row>
    <row r="32" spans="1:9" x14ac:dyDescent="0.4">
      <c r="A32" s="6">
        <v>31</v>
      </c>
      <c r="B32" t="s">
        <v>279</v>
      </c>
      <c r="C32" s="6">
        <v>0</v>
      </c>
      <c r="D32" s="6">
        <v>0</v>
      </c>
      <c r="E32" s="6">
        <v>0</v>
      </c>
      <c r="F32" s="6">
        <v>0</v>
      </c>
      <c r="G32" s="6">
        <v>1</v>
      </c>
      <c r="H32" s="6">
        <v>0</v>
      </c>
      <c r="I32" s="87">
        <f t="shared" si="0"/>
        <v>1</v>
      </c>
    </row>
    <row r="33" spans="1:9" x14ac:dyDescent="0.4">
      <c r="A33" s="6">
        <v>32</v>
      </c>
      <c r="B33" t="s">
        <v>200</v>
      </c>
      <c r="C33" s="6">
        <v>0</v>
      </c>
      <c r="D33" s="6">
        <v>0</v>
      </c>
      <c r="E33" s="6">
        <v>0</v>
      </c>
      <c r="F33" s="6">
        <v>0</v>
      </c>
      <c r="G33" s="6">
        <v>1</v>
      </c>
      <c r="H33" s="6">
        <v>0</v>
      </c>
      <c r="I33" s="87">
        <f>SUM(C33:H33)</f>
        <v>1</v>
      </c>
    </row>
    <row r="34" spans="1:9" x14ac:dyDescent="0.4">
      <c r="A34" s="6">
        <v>33</v>
      </c>
      <c r="B34" t="s">
        <v>201</v>
      </c>
      <c r="C34" s="6">
        <v>0</v>
      </c>
      <c r="D34" s="6">
        <v>0.25</v>
      </c>
      <c r="E34" s="6">
        <v>0</v>
      </c>
      <c r="F34" s="6">
        <v>0</v>
      </c>
      <c r="G34" s="6">
        <v>0.75</v>
      </c>
      <c r="H34" s="6">
        <v>0</v>
      </c>
      <c r="I34" s="87">
        <f t="shared" si="0"/>
        <v>1</v>
      </c>
    </row>
    <row r="35" spans="1:9" x14ac:dyDescent="0.4">
      <c r="A35" s="6">
        <v>34</v>
      </c>
      <c r="B35" t="s">
        <v>202</v>
      </c>
      <c r="C35" s="6">
        <v>0</v>
      </c>
      <c r="D35" s="6">
        <v>0</v>
      </c>
      <c r="E35" s="6">
        <v>0</v>
      </c>
      <c r="F35" s="6">
        <v>0</v>
      </c>
      <c r="G35" s="6">
        <v>1</v>
      </c>
      <c r="H35" s="6">
        <v>0</v>
      </c>
      <c r="I35" s="87">
        <f t="shared" si="0"/>
        <v>1</v>
      </c>
    </row>
    <row r="36" spans="1:9" x14ac:dyDescent="0.4">
      <c r="A36" s="6">
        <v>35</v>
      </c>
      <c r="B36" t="s">
        <v>203</v>
      </c>
      <c r="C36" s="6">
        <v>0</v>
      </c>
      <c r="D36" s="6">
        <v>0</v>
      </c>
      <c r="E36" s="6">
        <v>0</v>
      </c>
      <c r="F36" s="6">
        <v>0</v>
      </c>
      <c r="G36" s="6">
        <v>1</v>
      </c>
      <c r="H36" s="6">
        <v>0</v>
      </c>
      <c r="I36" s="87">
        <f t="shared" si="0"/>
        <v>1</v>
      </c>
    </row>
    <row r="37" spans="1:9" x14ac:dyDescent="0.4">
      <c r="A37" s="6">
        <v>36</v>
      </c>
      <c r="B37" t="s">
        <v>204</v>
      </c>
      <c r="C37" s="6">
        <v>0</v>
      </c>
      <c r="D37" s="6">
        <v>0</v>
      </c>
      <c r="E37" s="6">
        <v>0</v>
      </c>
      <c r="F37" s="6">
        <v>0</v>
      </c>
      <c r="G37" s="6">
        <v>1</v>
      </c>
      <c r="H37" s="6">
        <v>0</v>
      </c>
      <c r="I37" s="87">
        <f t="shared" si="0"/>
        <v>1</v>
      </c>
    </row>
    <row r="38" spans="1:9" x14ac:dyDescent="0.4">
      <c r="A38" s="6">
        <v>37</v>
      </c>
      <c r="B38" t="s">
        <v>205</v>
      </c>
      <c r="C38" s="6">
        <v>0</v>
      </c>
      <c r="D38" s="6">
        <v>0</v>
      </c>
      <c r="E38" s="6">
        <v>0</v>
      </c>
      <c r="F38" s="6">
        <v>0</v>
      </c>
      <c r="G38" s="6">
        <v>1</v>
      </c>
      <c r="H38" s="6">
        <v>0</v>
      </c>
      <c r="I38" s="87">
        <f t="shared" si="0"/>
        <v>1</v>
      </c>
    </row>
    <row r="39" spans="1:9" x14ac:dyDescent="0.4">
      <c r="A39" s="6">
        <v>38</v>
      </c>
      <c r="B39" t="s">
        <v>206</v>
      </c>
      <c r="C39" s="6">
        <v>0</v>
      </c>
      <c r="D39" s="6">
        <v>0</v>
      </c>
      <c r="E39" s="6">
        <v>0</v>
      </c>
      <c r="F39" s="6">
        <v>0</v>
      </c>
      <c r="G39" s="6">
        <v>1</v>
      </c>
      <c r="H39" s="6">
        <v>0</v>
      </c>
      <c r="I39" s="87">
        <f t="shared" si="0"/>
        <v>1</v>
      </c>
    </row>
    <row r="40" spans="1:9" x14ac:dyDescent="0.4">
      <c r="A40" s="6">
        <v>39</v>
      </c>
      <c r="B40" t="s">
        <v>207</v>
      </c>
      <c r="C40" s="6">
        <v>0</v>
      </c>
      <c r="D40" s="6">
        <v>0</v>
      </c>
      <c r="E40" s="6">
        <v>0</v>
      </c>
      <c r="F40" s="6">
        <v>0</v>
      </c>
      <c r="G40" s="6">
        <v>1</v>
      </c>
      <c r="H40" s="6">
        <v>0</v>
      </c>
      <c r="I40" s="87">
        <f t="shared" si="0"/>
        <v>1</v>
      </c>
    </row>
    <row r="41" spans="1:9" x14ac:dyDescent="0.4">
      <c r="A41" s="6">
        <v>40</v>
      </c>
      <c r="B41" t="s">
        <v>208</v>
      </c>
      <c r="C41" s="6">
        <v>0</v>
      </c>
      <c r="D41" s="6">
        <v>0</v>
      </c>
      <c r="E41" s="6">
        <v>0</v>
      </c>
      <c r="F41" s="6">
        <v>0</v>
      </c>
      <c r="G41" s="6">
        <v>1</v>
      </c>
      <c r="H41" s="6">
        <v>0</v>
      </c>
      <c r="I41" s="87">
        <f t="shared" si="0"/>
        <v>1</v>
      </c>
    </row>
    <row r="42" spans="1:9" x14ac:dyDescent="0.4">
      <c r="A42" s="6">
        <v>41</v>
      </c>
      <c r="B42" t="s">
        <v>209</v>
      </c>
      <c r="C42" s="6">
        <v>0</v>
      </c>
      <c r="D42" s="6">
        <v>0</v>
      </c>
      <c r="E42" s="6">
        <v>0</v>
      </c>
      <c r="F42" s="6">
        <v>0</v>
      </c>
      <c r="G42" s="6">
        <v>1</v>
      </c>
      <c r="H42" s="6">
        <v>0</v>
      </c>
      <c r="I42" s="87">
        <f t="shared" si="0"/>
        <v>1</v>
      </c>
    </row>
    <row r="43" spans="1:9" x14ac:dyDescent="0.4">
      <c r="A43" s="6">
        <v>42</v>
      </c>
      <c r="B43" t="s">
        <v>210</v>
      </c>
      <c r="C43" s="6">
        <v>0</v>
      </c>
      <c r="D43" s="6">
        <v>0</v>
      </c>
      <c r="E43" s="6">
        <v>0</v>
      </c>
      <c r="F43" s="6">
        <v>0</v>
      </c>
      <c r="G43" s="6">
        <v>1</v>
      </c>
      <c r="H43" s="6">
        <v>0</v>
      </c>
      <c r="I43" s="87">
        <f t="shared" si="0"/>
        <v>1</v>
      </c>
    </row>
    <row r="44" spans="1:9" x14ac:dyDescent="0.4">
      <c r="A44" s="6">
        <v>43</v>
      </c>
      <c r="B44" t="s">
        <v>211</v>
      </c>
      <c r="C44" s="6">
        <v>0</v>
      </c>
      <c r="D44" s="6">
        <v>0</v>
      </c>
      <c r="E44" s="6">
        <v>0</v>
      </c>
      <c r="F44" s="6">
        <v>0</v>
      </c>
      <c r="G44" s="6">
        <v>1</v>
      </c>
      <c r="H44" s="6">
        <v>0</v>
      </c>
      <c r="I44" s="87">
        <f t="shared" si="0"/>
        <v>1</v>
      </c>
    </row>
    <row r="45" spans="1:9" x14ac:dyDescent="0.4">
      <c r="A45" s="6">
        <v>44</v>
      </c>
      <c r="B45" t="s">
        <v>212</v>
      </c>
      <c r="C45" s="6">
        <v>0</v>
      </c>
      <c r="D45" s="6">
        <v>0</v>
      </c>
      <c r="E45" s="6">
        <v>0</v>
      </c>
      <c r="F45" s="6">
        <v>0</v>
      </c>
      <c r="G45" s="6">
        <v>1</v>
      </c>
      <c r="H45" s="6">
        <v>0</v>
      </c>
      <c r="I45" s="87">
        <f t="shared" si="0"/>
        <v>1</v>
      </c>
    </row>
    <row r="46" spans="1:9" x14ac:dyDescent="0.4">
      <c r="A46" s="6">
        <v>45</v>
      </c>
      <c r="B46" t="s">
        <v>213</v>
      </c>
      <c r="C46" s="6">
        <v>0</v>
      </c>
      <c r="D46" s="6">
        <v>0.25</v>
      </c>
      <c r="E46" s="6">
        <v>0</v>
      </c>
      <c r="F46" s="6">
        <v>0</v>
      </c>
      <c r="G46" s="6">
        <v>0.75</v>
      </c>
      <c r="H46" s="6">
        <v>0</v>
      </c>
      <c r="I46" s="87">
        <f t="shared" si="0"/>
        <v>1</v>
      </c>
    </row>
    <row r="47" spans="1:9" x14ac:dyDescent="0.4">
      <c r="A47" s="6">
        <v>46</v>
      </c>
      <c r="B47" t="s">
        <v>214</v>
      </c>
      <c r="C47" s="6">
        <v>0</v>
      </c>
      <c r="D47" s="6">
        <v>0.25</v>
      </c>
      <c r="E47" s="6">
        <v>0</v>
      </c>
      <c r="F47" s="6">
        <v>0</v>
      </c>
      <c r="G47" s="6">
        <v>0.75</v>
      </c>
      <c r="H47" s="6">
        <v>0</v>
      </c>
      <c r="I47" s="87">
        <f t="shared" si="0"/>
        <v>1</v>
      </c>
    </row>
    <row r="48" spans="1:9" x14ac:dyDescent="0.4">
      <c r="A48" s="6">
        <v>47</v>
      </c>
      <c r="B48" t="s">
        <v>215</v>
      </c>
      <c r="C48" s="6">
        <v>0</v>
      </c>
      <c r="D48" s="6">
        <v>0.25</v>
      </c>
      <c r="E48" s="6">
        <v>0</v>
      </c>
      <c r="F48" s="6">
        <v>0</v>
      </c>
      <c r="G48" s="6">
        <v>0.75</v>
      </c>
      <c r="H48" s="6">
        <v>0</v>
      </c>
      <c r="I48" s="87">
        <f t="shared" si="0"/>
        <v>1</v>
      </c>
    </row>
    <row r="49" spans="1:9" x14ac:dyDescent="0.4">
      <c r="A49" s="6">
        <v>48</v>
      </c>
      <c r="B49" t="s">
        <v>216</v>
      </c>
      <c r="C49" s="6">
        <v>0</v>
      </c>
      <c r="D49" s="6">
        <v>0</v>
      </c>
      <c r="E49" s="6">
        <v>0</v>
      </c>
      <c r="F49" s="6">
        <v>0</v>
      </c>
      <c r="G49" s="6">
        <v>1</v>
      </c>
      <c r="H49" s="6">
        <v>0</v>
      </c>
      <c r="I49" s="87">
        <f t="shared" si="0"/>
        <v>1</v>
      </c>
    </row>
    <row r="50" spans="1:9" x14ac:dyDescent="0.4">
      <c r="A50" s="6">
        <v>49</v>
      </c>
      <c r="B50" t="s">
        <v>217</v>
      </c>
      <c r="C50" s="6">
        <v>0</v>
      </c>
      <c r="D50" s="6">
        <v>0.25</v>
      </c>
      <c r="E50" s="6">
        <v>0</v>
      </c>
      <c r="F50" s="6">
        <v>0</v>
      </c>
      <c r="G50" s="6">
        <v>0.75</v>
      </c>
      <c r="H50" s="6">
        <v>0</v>
      </c>
      <c r="I50" s="87">
        <f t="shared" si="0"/>
        <v>1</v>
      </c>
    </row>
    <row r="51" spans="1:9" ht="15" customHeight="1" x14ac:dyDescent="0.4">
      <c r="A51" s="6">
        <v>50</v>
      </c>
      <c r="B51" t="s">
        <v>218</v>
      </c>
      <c r="C51" s="6">
        <v>0</v>
      </c>
      <c r="D51" s="6">
        <v>0</v>
      </c>
      <c r="E51" s="6">
        <v>0</v>
      </c>
      <c r="F51" s="6">
        <v>0</v>
      </c>
      <c r="G51" s="6">
        <v>1</v>
      </c>
      <c r="H51" s="6">
        <v>0</v>
      </c>
      <c r="I51" s="87">
        <f t="shared" si="0"/>
        <v>1</v>
      </c>
    </row>
    <row r="52" spans="1:9" ht="15" customHeight="1" x14ac:dyDescent="0.4">
      <c r="A52" s="6">
        <v>51</v>
      </c>
      <c r="B52" t="s">
        <v>219</v>
      </c>
      <c r="C52" s="6">
        <v>0</v>
      </c>
      <c r="D52" s="6">
        <v>0.25</v>
      </c>
      <c r="E52" s="6">
        <v>0</v>
      </c>
      <c r="F52" s="6">
        <v>0</v>
      </c>
      <c r="G52" s="6">
        <v>0.75</v>
      </c>
      <c r="H52" s="6">
        <v>0</v>
      </c>
      <c r="I52" s="87">
        <f t="shared" si="0"/>
        <v>1</v>
      </c>
    </row>
    <row r="53" spans="1:9" ht="15" customHeight="1" x14ac:dyDescent="0.4">
      <c r="A53" s="6">
        <v>52</v>
      </c>
      <c r="B53" t="s">
        <v>220</v>
      </c>
      <c r="C53" s="6">
        <v>0</v>
      </c>
      <c r="D53" s="6">
        <v>0.25</v>
      </c>
      <c r="E53" s="6">
        <v>0</v>
      </c>
      <c r="F53" s="6">
        <v>0</v>
      </c>
      <c r="G53" s="6">
        <v>0.75</v>
      </c>
      <c r="H53" s="6">
        <v>0</v>
      </c>
      <c r="I53" s="87">
        <f t="shared" si="0"/>
        <v>1</v>
      </c>
    </row>
    <row r="54" spans="1:9" ht="15" customHeight="1" x14ac:dyDescent="0.4">
      <c r="A54" s="6">
        <v>53</v>
      </c>
      <c r="B54" t="s">
        <v>221</v>
      </c>
      <c r="C54" s="6">
        <v>0</v>
      </c>
      <c r="D54" s="6">
        <v>0.25</v>
      </c>
      <c r="E54" s="6">
        <v>0</v>
      </c>
      <c r="F54" s="6">
        <v>0</v>
      </c>
      <c r="G54" s="6">
        <v>0.75</v>
      </c>
      <c r="H54" s="6">
        <v>0</v>
      </c>
      <c r="I54" s="87">
        <f t="shared" si="0"/>
        <v>1</v>
      </c>
    </row>
    <row r="55" spans="1:9" ht="15" customHeight="1" x14ac:dyDescent="0.4">
      <c r="A55" s="6">
        <v>54</v>
      </c>
      <c r="B55" t="s">
        <v>222</v>
      </c>
      <c r="C55" s="6">
        <v>0</v>
      </c>
      <c r="D55" s="6">
        <v>0</v>
      </c>
      <c r="E55" s="6">
        <v>0</v>
      </c>
      <c r="F55" s="6">
        <v>0</v>
      </c>
      <c r="G55" s="6">
        <v>1</v>
      </c>
      <c r="H55" s="6">
        <v>0</v>
      </c>
      <c r="I55" s="87">
        <f t="shared" si="0"/>
        <v>1</v>
      </c>
    </row>
    <row r="56" spans="1:9" ht="15" customHeight="1" x14ac:dyDescent="0.4">
      <c r="A56" s="6">
        <v>55</v>
      </c>
      <c r="B56" t="s">
        <v>223</v>
      </c>
      <c r="C56" s="6">
        <v>0</v>
      </c>
      <c r="D56" s="6">
        <v>0</v>
      </c>
      <c r="E56" s="6">
        <v>0</v>
      </c>
      <c r="F56" s="6">
        <v>0</v>
      </c>
      <c r="G56" s="6">
        <v>1</v>
      </c>
      <c r="H56" s="6">
        <v>0</v>
      </c>
      <c r="I56" s="87">
        <f t="shared" si="0"/>
        <v>1</v>
      </c>
    </row>
    <row r="57" spans="1:9" ht="15" customHeight="1" x14ac:dyDescent="0.4">
      <c r="A57" s="6">
        <v>56</v>
      </c>
      <c r="B57" t="s">
        <v>224</v>
      </c>
      <c r="C57" s="6">
        <v>0</v>
      </c>
      <c r="D57" s="6">
        <v>0</v>
      </c>
      <c r="E57" s="6">
        <v>0</v>
      </c>
      <c r="F57" s="6">
        <v>0</v>
      </c>
      <c r="G57" s="6">
        <v>1</v>
      </c>
      <c r="H57" s="6">
        <v>0</v>
      </c>
      <c r="I57" s="87">
        <f t="shared" si="0"/>
        <v>1</v>
      </c>
    </row>
    <row r="58" spans="1:9" ht="15" customHeight="1" x14ac:dyDescent="0.4">
      <c r="A58" s="6">
        <v>57</v>
      </c>
      <c r="B58" t="s">
        <v>225</v>
      </c>
      <c r="C58" s="6">
        <v>0</v>
      </c>
      <c r="D58" s="6">
        <v>0</v>
      </c>
      <c r="E58" s="6">
        <v>0</v>
      </c>
      <c r="F58" s="6">
        <v>0</v>
      </c>
      <c r="G58" s="6">
        <v>1</v>
      </c>
      <c r="H58" s="6">
        <v>0</v>
      </c>
      <c r="I58" s="87">
        <f t="shared" si="0"/>
        <v>1</v>
      </c>
    </row>
    <row r="59" spans="1:9" ht="15" customHeight="1" x14ac:dyDescent="0.4">
      <c r="A59" s="6">
        <v>58</v>
      </c>
      <c r="B59" t="s">
        <v>226</v>
      </c>
      <c r="C59" s="6">
        <v>0</v>
      </c>
      <c r="D59" s="6">
        <v>0</v>
      </c>
      <c r="E59" s="6">
        <v>0</v>
      </c>
      <c r="F59" s="6">
        <v>0</v>
      </c>
      <c r="G59" s="6">
        <v>1</v>
      </c>
      <c r="H59" s="6">
        <v>0</v>
      </c>
      <c r="I59" s="87">
        <f t="shared" si="0"/>
        <v>1</v>
      </c>
    </row>
    <row r="60" spans="1:9" ht="15" customHeight="1" x14ac:dyDescent="0.4">
      <c r="A60" s="6">
        <v>59</v>
      </c>
      <c r="B60" t="s">
        <v>227</v>
      </c>
      <c r="C60" s="6">
        <v>0</v>
      </c>
      <c r="D60" s="6">
        <v>0</v>
      </c>
      <c r="E60" s="6">
        <v>0</v>
      </c>
      <c r="F60" s="6">
        <v>0</v>
      </c>
      <c r="G60" s="6">
        <v>1</v>
      </c>
      <c r="H60" s="6">
        <v>0</v>
      </c>
      <c r="I60" s="87">
        <f t="shared" si="0"/>
        <v>1</v>
      </c>
    </row>
    <row r="61" spans="1:9" ht="15" customHeight="1" x14ac:dyDescent="0.4">
      <c r="A61" s="6">
        <v>60</v>
      </c>
      <c r="B61" t="s">
        <v>228</v>
      </c>
      <c r="C61" s="6">
        <v>0</v>
      </c>
      <c r="D61" s="6">
        <v>0</v>
      </c>
      <c r="E61" s="6">
        <v>0</v>
      </c>
      <c r="F61" s="6">
        <v>0</v>
      </c>
      <c r="G61" s="6">
        <v>1</v>
      </c>
      <c r="H61" s="6">
        <v>0</v>
      </c>
      <c r="I61" s="87">
        <f t="shared" si="0"/>
        <v>1</v>
      </c>
    </row>
    <row r="62" spans="1:9" ht="15" customHeight="1" x14ac:dyDescent="0.4">
      <c r="A62" s="6">
        <v>61</v>
      </c>
      <c r="B62" t="s">
        <v>229</v>
      </c>
      <c r="C62" s="6">
        <v>0</v>
      </c>
      <c r="D62" s="6">
        <v>0</v>
      </c>
      <c r="E62" s="6">
        <v>0</v>
      </c>
      <c r="F62" s="6">
        <v>0</v>
      </c>
      <c r="G62" s="6">
        <v>1</v>
      </c>
      <c r="H62" s="6">
        <v>0</v>
      </c>
      <c r="I62" s="87">
        <f t="shared" si="0"/>
        <v>1</v>
      </c>
    </row>
    <row r="63" spans="1:9" ht="15" customHeight="1" x14ac:dyDescent="0.4">
      <c r="A63" s="6">
        <v>62</v>
      </c>
      <c r="B63" t="s">
        <v>230</v>
      </c>
      <c r="C63" s="6">
        <v>0</v>
      </c>
      <c r="D63" s="6">
        <v>0</v>
      </c>
      <c r="E63" s="6">
        <v>0</v>
      </c>
      <c r="F63" s="6">
        <v>0</v>
      </c>
      <c r="G63" s="6">
        <v>1</v>
      </c>
      <c r="H63" s="6">
        <v>0</v>
      </c>
      <c r="I63" s="87">
        <f t="shared" si="0"/>
        <v>1</v>
      </c>
    </row>
    <row r="64" spans="1:9" ht="15" customHeight="1" x14ac:dyDescent="0.4">
      <c r="A64" s="6">
        <v>63</v>
      </c>
      <c r="B64" t="s">
        <v>231</v>
      </c>
      <c r="C64" s="6">
        <v>0</v>
      </c>
      <c r="D64" s="6">
        <v>0</v>
      </c>
      <c r="E64" s="6">
        <v>0</v>
      </c>
      <c r="F64" s="6">
        <v>0</v>
      </c>
      <c r="G64" s="6">
        <v>1</v>
      </c>
      <c r="H64" s="6">
        <v>0</v>
      </c>
      <c r="I64" s="87">
        <f t="shared" si="0"/>
        <v>1</v>
      </c>
    </row>
    <row r="65" spans="1:9" ht="15" customHeight="1" x14ac:dyDescent="0.4">
      <c r="A65" s="6">
        <v>64</v>
      </c>
      <c r="B65" t="s">
        <v>232</v>
      </c>
      <c r="C65" s="6">
        <v>0</v>
      </c>
      <c r="D65" s="6">
        <v>0</v>
      </c>
      <c r="E65" s="6">
        <v>0</v>
      </c>
      <c r="F65" s="6">
        <v>0</v>
      </c>
      <c r="G65" s="6">
        <v>1</v>
      </c>
      <c r="H65" s="6">
        <v>0</v>
      </c>
      <c r="I65" s="87">
        <f t="shared" si="0"/>
        <v>1</v>
      </c>
    </row>
    <row r="66" spans="1:9" ht="15" customHeight="1" x14ac:dyDescent="0.4">
      <c r="A66" s="6">
        <v>65</v>
      </c>
      <c r="B66" t="s">
        <v>233</v>
      </c>
      <c r="C66" s="6">
        <v>0</v>
      </c>
      <c r="D66" s="6">
        <v>0</v>
      </c>
      <c r="E66" s="6">
        <v>0</v>
      </c>
      <c r="F66" s="6">
        <v>0</v>
      </c>
      <c r="G66" s="6">
        <v>1</v>
      </c>
      <c r="H66" s="6">
        <v>0</v>
      </c>
      <c r="I66" s="87">
        <f t="shared" si="0"/>
        <v>1</v>
      </c>
    </row>
    <row r="67" spans="1:9" ht="15" customHeight="1" x14ac:dyDescent="0.4">
      <c r="A67" s="6">
        <v>66</v>
      </c>
      <c r="B67" t="s">
        <v>234</v>
      </c>
      <c r="C67" s="6">
        <v>0</v>
      </c>
      <c r="D67" s="6">
        <v>0</v>
      </c>
      <c r="E67" s="6">
        <v>0</v>
      </c>
      <c r="F67" s="6">
        <v>0</v>
      </c>
      <c r="G67" s="6">
        <v>1</v>
      </c>
      <c r="H67" s="6">
        <v>0</v>
      </c>
      <c r="I67" s="87">
        <f t="shared" si="0"/>
        <v>1</v>
      </c>
    </row>
    <row r="68" spans="1:9" ht="15" customHeight="1" x14ac:dyDescent="0.4">
      <c r="A68" s="6">
        <v>67</v>
      </c>
      <c r="B68" t="s">
        <v>235</v>
      </c>
      <c r="C68" s="6">
        <v>0</v>
      </c>
      <c r="D68" s="6">
        <v>0</v>
      </c>
      <c r="E68" s="6">
        <v>0</v>
      </c>
      <c r="F68" s="6">
        <v>0</v>
      </c>
      <c r="G68" s="6">
        <v>1</v>
      </c>
      <c r="H68" s="6">
        <v>0</v>
      </c>
      <c r="I68" s="87">
        <f t="shared" si="0"/>
        <v>1</v>
      </c>
    </row>
    <row r="69" spans="1:9" ht="15" customHeight="1" x14ac:dyDescent="0.4">
      <c r="A69" s="6">
        <v>68</v>
      </c>
      <c r="B69" t="s">
        <v>236</v>
      </c>
      <c r="C69" s="6">
        <v>0</v>
      </c>
      <c r="D69" s="6">
        <v>0</v>
      </c>
      <c r="E69" s="6">
        <v>0</v>
      </c>
      <c r="F69" s="6">
        <v>0</v>
      </c>
      <c r="G69" s="6">
        <v>1</v>
      </c>
      <c r="H69" s="6">
        <v>0</v>
      </c>
      <c r="I69" s="87">
        <f t="shared" si="0"/>
        <v>1</v>
      </c>
    </row>
    <row r="70" spans="1:9" ht="15" customHeight="1" x14ac:dyDescent="0.4">
      <c r="A70" s="6">
        <v>69</v>
      </c>
      <c r="B70" t="s">
        <v>237</v>
      </c>
      <c r="C70" s="6">
        <v>0</v>
      </c>
      <c r="D70" s="6">
        <v>0</v>
      </c>
      <c r="E70" s="6">
        <v>0</v>
      </c>
      <c r="F70" s="6">
        <v>0</v>
      </c>
      <c r="G70" s="6">
        <v>1</v>
      </c>
      <c r="H70" s="6">
        <v>0</v>
      </c>
      <c r="I70" s="87">
        <f t="shared" si="0"/>
        <v>1</v>
      </c>
    </row>
    <row r="71" spans="1:9" ht="15" customHeight="1" x14ac:dyDescent="0.4">
      <c r="A71" s="6">
        <v>70</v>
      </c>
      <c r="B71" t="s">
        <v>238</v>
      </c>
      <c r="C71" s="6">
        <v>0</v>
      </c>
      <c r="D71" s="6">
        <v>0</v>
      </c>
      <c r="E71" s="6">
        <v>0</v>
      </c>
      <c r="F71" s="6">
        <v>0</v>
      </c>
      <c r="G71" s="6">
        <v>1</v>
      </c>
      <c r="H71" s="6">
        <v>0</v>
      </c>
      <c r="I71" s="87">
        <f t="shared" si="0"/>
        <v>1</v>
      </c>
    </row>
    <row r="72" spans="1:9" ht="15" customHeight="1" x14ac:dyDescent="0.4">
      <c r="A72" s="6">
        <v>71</v>
      </c>
      <c r="B72" t="s">
        <v>239</v>
      </c>
      <c r="C72" s="6">
        <v>0</v>
      </c>
      <c r="D72" s="6">
        <v>0</v>
      </c>
      <c r="E72" s="6">
        <v>0</v>
      </c>
      <c r="F72" s="6">
        <v>0</v>
      </c>
      <c r="G72" s="6">
        <v>1</v>
      </c>
      <c r="H72" s="6">
        <v>0</v>
      </c>
      <c r="I72" s="87">
        <f t="shared" ref="I72:I100" si="1">SUM(C72:H72)</f>
        <v>1</v>
      </c>
    </row>
    <row r="73" spans="1:9" ht="15" customHeight="1" x14ac:dyDescent="0.4">
      <c r="A73" s="6">
        <v>72</v>
      </c>
      <c r="B73" t="s">
        <v>240</v>
      </c>
      <c r="C73" s="6">
        <v>0</v>
      </c>
      <c r="D73" s="6">
        <v>0</v>
      </c>
      <c r="E73" s="6">
        <v>0</v>
      </c>
      <c r="F73" s="6">
        <v>0</v>
      </c>
      <c r="G73" s="6">
        <v>1</v>
      </c>
      <c r="H73" s="6">
        <v>0</v>
      </c>
      <c r="I73" s="87">
        <f t="shared" si="1"/>
        <v>1</v>
      </c>
    </row>
    <row r="74" spans="1:9" ht="15" customHeight="1" x14ac:dyDescent="0.4">
      <c r="A74" s="6">
        <v>73</v>
      </c>
      <c r="B74" t="s">
        <v>241</v>
      </c>
      <c r="C74" s="6">
        <v>0</v>
      </c>
      <c r="D74" s="6">
        <v>0</v>
      </c>
      <c r="E74" s="6">
        <v>0</v>
      </c>
      <c r="F74" s="6">
        <v>0</v>
      </c>
      <c r="G74" s="6">
        <v>1</v>
      </c>
      <c r="H74" s="6">
        <v>0</v>
      </c>
      <c r="I74" s="87">
        <f t="shared" si="1"/>
        <v>1</v>
      </c>
    </row>
    <row r="75" spans="1:9" ht="15" customHeight="1" x14ac:dyDescent="0.4">
      <c r="A75" s="6">
        <v>74</v>
      </c>
      <c r="B75" t="s">
        <v>242</v>
      </c>
      <c r="C75" s="6">
        <v>0</v>
      </c>
      <c r="D75" s="6">
        <v>0</v>
      </c>
      <c r="E75" s="6">
        <v>0</v>
      </c>
      <c r="F75" s="6">
        <v>0</v>
      </c>
      <c r="G75" s="6">
        <v>1</v>
      </c>
      <c r="H75" s="6">
        <v>0</v>
      </c>
      <c r="I75" s="87">
        <f t="shared" si="1"/>
        <v>1</v>
      </c>
    </row>
    <row r="76" spans="1:9" ht="15" customHeight="1" x14ac:dyDescent="0.4">
      <c r="A76" s="6">
        <v>75</v>
      </c>
      <c r="B76" t="s">
        <v>243</v>
      </c>
      <c r="C76" s="6">
        <v>0</v>
      </c>
      <c r="D76" s="6">
        <v>0</v>
      </c>
      <c r="E76" s="6">
        <v>0</v>
      </c>
      <c r="F76" s="6">
        <v>0</v>
      </c>
      <c r="G76" s="6">
        <v>1</v>
      </c>
      <c r="H76" s="6">
        <v>0</v>
      </c>
      <c r="I76" s="87">
        <f t="shared" si="1"/>
        <v>1</v>
      </c>
    </row>
    <row r="77" spans="1:9" ht="15" customHeight="1" x14ac:dyDescent="0.4">
      <c r="A77" s="6">
        <v>76</v>
      </c>
      <c r="B77" t="s">
        <v>244</v>
      </c>
      <c r="C77" s="6">
        <v>0</v>
      </c>
      <c r="D77" s="6">
        <v>0</v>
      </c>
      <c r="E77" s="6">
        <v>0</v>
      </c>
      <c r="F77" s="6">
        <v>0</v>
      </c>
      <c r="G77" s="6">
        <v>1</v>
      </c>
      <c r="H77" s="6">
        <v>0</v>
      </c>
      <c r="I77" s="87">
        <f t="shared" si="1"/>
        <v>1</v>
      </c>
    </row>
    <row r="78" spans="1:9" ht="15" customHeight="1" x14ac:dyDescent="0.4">
      <c r="A78" s="6">
        <v>77</v>
      </c>
      <c r="B78" t="s">
        <v>245</v>
      </c>
      <c r="C78" s="6">
        <v>0</v>
      </c>
      <c r="D78" s="6">
        <v>0</v>
      </c>
      <c r="E78" s="6">
        <v>0</v>
      </c>
      <c r="F78" s="6">
        <v>0</v>
      </c>
      <c r="G78" s="6">
        <v>1</v>
      </c>
      <c r="H78" s="6">
        <v>0</v>
      </c>
      <c r="I78" s="87">
        <f t="shared" si="1"/>
        <v>1</v>
      </c>
    </row>
    <row r="79" spans="1:9" ht="15" customHeight="1" x14ac:dyDescent="0.4">
      <c r="A79" s="6">
        <v>78</v>
      </c>
      <c r="B79" t="s">
        <v>246</v>
      </c>
      <c r="C79" s="6">
        <v>0</v>
      </c>
      <c r="D79" s="6">
        <v>0</v>
      </c>
      <c r="E79" s="6">
        <v>0</v>
      </c>
      <c r="F79" s="6">
        <v>0</v>
      </c>
      <c r="G79" s="6">
        <v>1</v>
      </c>
      <c r="H79" s="6">
        <v>0</v>
      </c>
      <c r="I79" s="87">
        <f t="shared" si="1"/>
        <v>1</v>
      </c>
    </row>
    <row r="80" spans="1:9" ht="15" customHeight="1" x14ac:dyDescent="0.4">
      <c r="A80" s="6">
        <v>79</v>
      </c>
      <c r="B80" t="s">
        <v>247</v>
      </c>
      <c r="C80" s="6">
        <v>0</v>
      </c>
      <c r="D80" s="6">
        <v>0</v>
      </c>
      <c r="E80" s="6">
        <v>0</v>
      </c>
      <c r="F80" s="6">
        <v>0</v>
      </c>
      <c r="G80" s="6">
        <v>1</v>
      </c>
      <c r="H80" s="6">
        <v>0</v>
      </c>
      <c r="I80" s="87">
        <f t="shared" si="1"/>
        <v>1</v>
      </c>
    </row>
    <row r="81" spans="1:9" ht="15" customHeight="1" x14ac:dyDescent="0.4">
      <c r="A81" s="6">
        <v>80</v>
      </c>
      <c r="B81" t="s">
        <v>280</v>
      </c>
      <c r="C81" s="6">
        <v>0</v>
      </c>
      <c r="D81" s="6">
        <v>0</v>
      </c>
      <c r="E81" s="6">
        <v>0</v>
      </c>
      <c r="F81" s="6">
        <v>0</v>
      </c>
      <c r="G81" s="6">
        <v>1</v>
      </c>
      <c r="H81" s="6">
        <v>0</v>
      </c>
      <c r="I81" s="87">
        <f t="shared" si="1"/>
        <v>1</v>
      </c>
    </row>
    <row r="82" spans="1:9" ht="15" customHeight="1" x14ac:dyDescent="0.4">
      <c r="A82" s="6">
        <v>81</v>
      </c>
      <c r="B82" t="s">
        <v>281</v>
      </c>
      <c r="C82" s="6">
        <v>0</v>
      </c>
      <c r="D82" s="6">
        <v>0</v>
      </c>
      <c r="E82" s="6">
        <v>0</v>
      </c>
      <c r="F82" s="6">
        <v>0</v>
      </c>
      <c r="G82" s="6">
        <v>1</v>
      </c>
      <c r="H82" s="6">
        <v>0</v>
      </c>
      <c r="I82" s="87">
        <f t="shared" si="1"/>
        <v>1</v>
      </c>
    </row>
    <row r="83" spans="1:9" ht="15" customHeight="1" x14ac:dyDescent="0.4">
      <c r="A83" s="6">
        <v>82</v>
      </c>
      <c r="B83" t="s">
        <v>248</v>
      </c>
      <c r="C83" s="6">
        <v>0</v>
      </c>
      <c r="D83" s="6">
        <v>0</v>
      </c>
      <c r="E83" s="6">
        <v>0</v>
      </c>
      <c r="F83" s="6">
        <v>0</v>
      </c>
      <c r="G83" s="6">
        <v>1</v>
      </c>
      <c r="H83" s="6">
        <v>0</v>
      </c>
      <c r="I83" s="87">
        <f t="shared" si="1"/>
        <v>1</v>
      </c>
    </row>
    <row r="84" spans="1:9" ht="15" customHeight="1" x14ac:dyDescent="0.4">
      <c r="A84" s="6">
        <v>83</v>
      </c>
      <c r="B84" t="s">
        <v>249</v>
      </c>
      <c r="C84" s="6">
        <v>0</v>
      </c>
      <c r="D84" s="6">
        <v>0</v>
      </c>
      <c r="E84" s="6">
        <v>0</v>
      </c>
      <c r="F84" s="6">
        <v>0</v>
      </c>
      <c r="G84" s="6">
        <v>1</v>
      </c>
      <c r="H84" s="6">
        <v>0</v>
      </c>
      <c r="I84" s="87">
        <f t="shared" si="1"/>
        <v>1</v>
      </c>
    </row>
    <row r="85" spans="1:9" ht="15" customHeight="1" x14ac:dyDescent="0.4">
      <c r="A85" s="6">
        <v>84</v>
      </c>
      <c r="B85" t="s">
        <v>282</v>
      </c>
      <c r="C85" s="6">
        <v>0</v>
      </c>
      <c r="D85" s="6">
        <v>0</v>
      </c>
      <c r="E85" s="6">
        <v>0</v>
      </c>
      <c r="F85" s="6">
        <v>0</v>
      </c>
      <c r="G85" s="6">
        <v>1</v>
      </c>
      <c r="H85" s="6">
        <v>0</v>
      </c>
      <c r="I85" s="87">
        <f t="shared" si="1"/>
        <v>1</v>
      </c>
    </row>
    <row r="86" spans="1:9" ht="15" customHeight="1" x14ac:dyDescent="0.4">
      <c r="A86" s="6">
        <v>85</v>
      </c>
      <c r="B86" t="s">
        <v>283</v>
      </c>
      <c r="C86" s="6">
        <v>0</v>
      </c>
      <c r="D86" s="6">
        <v>0</v>
      </c>
      <c r="E86" s="6">
        <v>0</v>
      </c>
      <c r="F86" s="6">
        <v>0</v>
      </c>
      <c r="G86" s="6">
        <v>1</v>
      </c>
      <c r="H86" s="6">
        <v>0</v>
      </c>
      <c r="I86" s="87">
        <f>SUM(C86:H86)</f>
        <v>1</v>
      </c>
    </row>
    <row r="87" spans="1:9" ht="15" customHeight="1" x14ac:dyDescent="0.4">
      <c r="A87" s="6">
        <v>86</v>
      </c>
      <c r="B87" t="s">
        <v>250</v>
      </c>
      <c r="C87" s="6">
        <v>0</v>
      </c>
      <c r="D87" s="6">
        <v>0</v>
      </c>
      <c r="E87" s="6">
        <v>0</v>
      </c>
      <c r="F87" s="6">
        <v>0</v>
      </c>
      <c r="G87" s="6">
        <v>1</v>
      </c>
      <c r="H87" s="6">
        <v>0</v>
      </c>
      <c r="I87" s="87">
        <f t="shared" si="1"/>
        <v>1</v>
      </c>
    </row>
    <row r="88" spans="1:9" ht="15" customHeight="1" x14ac:dyDescent="0.4">
      <c r="A88" s="6">
        <v>87</v>
      </c>
      <c r="B88" t="s">
        <v>251</v>
      </c>
      <c r="C88" s="6">
        <v>0</v>
      </c>
      <c r="D88" s="6">
        <v>0</v>
      </c>
      <c r="E88" s="6">
        <v>0</v>
      </c>
      <c r="F88" s="6">
        <v>0</v>
      </c>
      <c r="G88" s="6">
        <v>1</v>
      </c>
      <c r="H88" s="6">
        <v>0</v>
      </c>
      <c r="I88" s="87">
        <f t="shared" si="1"/>
        <v>1</v>
      </c>
    </row>
    <row r="89" spans="1:9" ht="15" customHeight="1" x14ac:dyDescent="0.4">
      <c r="A89" s="6">
        <v>88</v>
      </c>
      <c r="B89" t="s">
        <v>252</v>
      </c>
      <c r="C89" s="6">
        <v>0</v>
      </c>
      <c r="D89" s="6">
        <v>0</v>
      </c>
      <c r="E89" s="6">
        <v>0</v>
      </c>
      <c r="F89" s="6">
        <v>0</v>
      </c>
      <c r="G89" s="6">
        <v>1</v>
      </c>
      <c r="H89" s="6">
        <v>0</v>
      </c>
      <c r="I89" s="87">
        <f t="shared" si="1"/>
        <v>1</v>
      </c>
    </row>
    <row r="90" spans="1:9" ht="15" customHeight="1" x14ac:dyDescent="0.4">
      <c r="A90" s="6">
        <v>89</v>
      </c>
      <c r="B90" t="s">
        <v>253</v>
      </c>
      <c r="C90" s="6">
        <v>0</v>
      </c>
      <c r="D90" s="6">
        <v>0</v>
      </c>
      <c r="E90" s="6">
        <v>0</v>
      </c>
      <c r="F90" s="6">
        <v>0</v>
      </c>
      <c r="G90" s="6">
        <v>1</v>
      </c>
      <c r="H90" s="6">
        <v>0</v>
      </c>
      <c r="I90" s="87">
        <f t="shared" si="1"/>
        <v>1</v>
      </c>
    </row>
    <row r="91" spans="1:9" ht="15" customHeight="1" x14ac:dyDescent="0.4">
      <c r="A91" s="6">
        <v>90</v>
      </c>
      <c r="B91" t="s">
        <v>254</v>
      </c>
      <c r="C91" s="6">
        <v>0</v>
      </c>
      <c r="D91" s="6">
        <v>0</v>
      </c>
      <c r="E91" s="6">
        <v>0</v>
      </c>
      <c r="F91" s="6">
        <v>0</v>
      </c>
      <c r="G91" s="6">
        <v>0</v>
      </c>
      <c r="H91" s="6">
        <v>1</v>
      </c>
      <c r="I91" s="87">
        <f t="shared" si="1"/>
        <v>1</v>
      </c>
    </row>
    <row r="92" spans="1:9" ht="15" customHeight="1" x14ac:dyDescent="0.4">
      <c r="A92" s="6">
        <v>91</v>
      </c>
      <c r="B92" s="234" t="s">
        <v>433</v>
      </c>
      <c r="C92" s="6">
        <v>0</v>
      </c>
      <c r="D92" s="6">
        <v>0</v>
      </c>
      <c r="E92" s="6">
        <v>0</v>
      </c>
      <c r="F92" s="6">
        <v>1</v>
      </c>
      <c r="G92" s="6">
        <v>0</v>
      </c>
      <c r="H92" s="6">
        <v>0</v>
      </c>
      <c r="I92" s="87">
        <f t="shared" si="1"/>
        <v>1</v>
      </c>
    </row>
    <row r="93" spans="1:9" ht="15" customHeight="1" x14ac:dyDescent="0.4">
      <c r="A93" s="6">
        <v>92</v>
      </c>
      <c r="B93" s="234" t="s">
        <v>434</v>
      </c>
      <c r="C93" s="6">
        <v>0</v>
      </c>
      <c r="D93" s="6">
        <v>0</v>
      </c>
      <c r="E93" s="6">
        <v>0</v>
      </c>
      <c r="F93" s="6">
        <v>1</v>
      </c>
      <c r="G93" s="6">
        <v>0</v>
      </c>
      <c r="H93" s="6">
        <v>0</v>
      </c>
      <c r="I93" s="87">
        <f t="shared" si="1"/>
        <v>1</v>
      </c>
    </row>
    <row r="94" spans="1:9" ht="15" customHeight="1" x14ac:dyDescent="0.4">
      <c r="A94" s="6">
        <v>93</v>
      </c>
      <c r="B94" s="234" t="s">
        <v>435</v>
      </c>
      <c r="C94" s="6">
        <v>0</v>
      </c>
      <c r="D94" s="6">
        <v>0</v>
      </c>
      <c r="E94" s="6">
        <v>0</v>
      </c>
      <c r="F94" s="6">
        <v>1</v>
      </c>
      <c r="G94" s="6">
        <v>0</v>
      </c>
      <c r="H94" s="6">
        <v>0</v>
      </c>
      <c r="I94" s="87">
        <f t="shared" si="1"/>
        <v>1</v>
      </c>
    </row>
    <row r="95" spans="1:9" ht="15" customHeight="1" x14ac:dyDescent="0.4">
      <c r="A95" s="6">
        <v>94</v>
      </c>
      <c r="B95" s="234" t="s">
        <v>436</v>
      </c>
      <c r="C95" s="6">
        <v>0</v>
      </c>
      <c r="D95" s="6">
        <v>0</v>
      </c>
      <c r="E95" s="6">
        <v>0</v>
      </c>
      <c r="F95" s="6">
        <v>1</v>
      </c>
      <c r="G95" s="6">
        <v>0</v>
      </c>
      <c r="H95" s="6">
        <v>0</v>
      </c>
      <c r="I95" s="87">
        <f t="shared" si="1"/>
        <v>1</v>
      </c>
    </row>
    <row r="96" spans="1:9" ht="15" customHeight="1" x14ac:dyDescent="0.4">
      <c r="A96" s="6">
        <v>95</v>
      </c>
      <c r="B96" s="234" t="s">
        <v>437</v>
      </c>
      <c r="C96" s="6">
        <v>0</v>
      </c>
      <c r="D96" s="6">
        <v>0</v>
      </c>
      <c r="E96" s="6">
        <v>0</v>
      </c>
      <c r="F96" s="6">
        <v>1</v>
      </c>
      <c r="G96" s="6">
        <v>0</v>
      </c>
      <c r="H96" s="6">
        <v>0</v>
      </c>
      <c r="I96" s="87">
        <f t="shared" si="1"/>
        <v>1</v>
      </c>
    </row>
    <row r="97" spans="1:9" ht="15" customHeight="1" x14ac:dyDescent="0.4">
      <c r="A97" s="6">
        <v>96</v>
      </c>
      <c r="B97" s="234" t="s">
        <v>438</v>
      </c>
      <c r="C97" s="6">
        <v>0</v>
      </c>
      <c r="D97" s="6">
        <v>0</v>
      </c>
      <c r="E97" s="6">
        <v>0</v>
      </c>
      <c r="F97" s="6">
        <v>1</v>
      </c>
      <c r="G97" s="6">
        <v>0</v>
      </c>
      <c r="H97" s="6">
        <v>0</v>
      </c>
      <c r="I97" s="87">
        <f t="shared" si="1"/>
        <v>1</v>
      </c>
    </row>
    <row r="98" spans="1:9" ht="15" customHeight="1" x14ac:dyDescent="0.4">
      <c r="A98" s="6">
        <v>97</v>
      </c>
      <c r="B98" s="234" t="s">
        <v>439</v>
      </c>
      <c r="C98" s="6">
        <v>0</v>
      </c>
      <c r="D98" s="6">
        <v>0</v>
      </c>
      <c r="E98" s="6">
        <v>0</v>
      </c>
      <c r="F98" s="6">
        <v>1</v>
      </c>
      <c r="G98" s="6">
        <v>0</v>
      </c>
      <c r="H98" s="6">
        <v>0</v>
      </c>
      <c r="I98" s="87">
        <f t="shared" si="1"/>
        <v>1</v>
      </c>
    </row>
    <row r="99" spans="1:9" ht="15" customHeight="1" x14ac:dyDescent="0.4">
      <c r="A99" s="6">
        <v>98</v>
      </c>
      <c r="B99" s="235" t="s">
        <v>440</v>
      </c>
      <c r="C99" s="6">
        <v>0</v>
      </c>
      <c r="D99" s="6">
        <v>0</v>
      </c>
      <c r="E99" s="6">
        <v>0</v>
      </c>
      <c r="F99" s="6">
        <v>1</v>
      </c>
      <c r="G99" s="6">
        <v>0</v>
      </c>
      <c r="H99" s="6">
        <v>0</v>
      </c>
      <c r="I99" s="87">
        <f t="shared" si="1"/>
        <v>1</v>
      </c>
    </row>
    <row r="100" spans="1:9" ht="15" customHeight="1" x14ac:dyDescent="0.4">
      <c r="A100" s="6">
        <v>99</v>
      </c>
      <c r="B100" s="235" t="s">
        <v>264</v>
      </c>
      <c r="C100" s="6">
        <v>0</v>
      </c>
      <c r="D100" s="6">
        <v>0</v>
      </c>
      <c r="E100" s="6">
        <v>0</v>
      </c>
      <c r="F100" s="6">
        <v>1</v>
      </c>
      <c r="G100" s="6">
        <v>0</v>
      </c>
      <c r="H100" s="6">
        <v>0</v>
      </c>
      <c r="I100" s="87">
        <f t="shared" si="1"/>
        <v>1</v>
      </c>
    </row>
  </sheetData>
  <phoneticPr fontId="2" type="noConversion"/>
  <pageMargins left="0.75" right="0.75" top="1" bottom="1" header="0.5" footer="0.5"/>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M100"/>
  <sheetViews>
    <sheetView zoomScale="85" zoomScaleNormal="85" workbookViewId="0">
      <pane xSplit="2" ySplit="1" topLeftCell="C12" activePane="bottomRight" state="frozen"/>
      <selection pane="topRight" activeCell="D1" sqref="D1"/>
      <selection pane="bottomLeft" activeCell="A2" sqref="A2"/>
      <selection pane="bottomRight" activeCell="I45" sqref="I45"/>
    </sheetView>
  </sheetViews>
  <sheetFormatPr defaultColWidth="8.83203125" defaultRowHeight="12.3" x14ac:dyDescent="0.4"/>
  <cols>
    <col min="1" max="1" width="12.6640625" customWidth="1"/>
    <col min="2" max="2" width="46.5" bestFit="1" customWidth="1"/>
    <col min="3" max="9" width="18.33203125" style="216" customWidth="1"/>
    <col min="10" max="10" width="18.6640625" bestFit="1" customWidth="1"/>
    <col min="11" max="11" width="23" bestFit="1" customWidth="1"/>
    <col min="12" max="12" width="10.83203125" customWidth="1"/>
  </cols>
  <sheetData>
    <row r="1" spans="1:13" s="86" customFormat="1" ht="24.6" x14ac:dyDescent="0.4">
      <c r="A1" s="5" t="s">
        <v>21</v>
      </c>
      <c r="B1" s="46" t="s">
        <v>0</v>
      </c>
      <c r="C1" s="230" t="s">
        <v>433</v>
      </c>
      <c r="D1" s="230" t="s">
        <v>434</v>
      </c>
      <c r="E1" s="230" t="s">
        <v>435</v>
      </c>
      <c r="F1" s="230" t="s">
        <v>436</v>
      </c>
      <c r="G1" s="230" t="s">
        <v>437</v>
      </c>
      <c r="H1" s="230" t="s">
        <v>438</v>
      </c>
      <c r="I1" s="230" t="s">
        <v>439</v>
      </c>
      <c r="J1" s="88" t="s">
        <v>440</v>
      </c>
      <c r="K1" s="88" t="s">
        <v>264</v>
      </c>
      <c r="L1" s="86" t="s">
        <v>11</v>
      </c>
      <c r="M1"/>
    </row>
    <row r="2" spans="1:13" ht="15" customHeight="1" x14ac:dyDescent="0.4">
      <c r="A2" s="6">
        <v>1</v>
      </c>
      <c r="B2" t="s">
        <v>177</v>
      </c>
      <c r="C2" s="216">
        <v>0</v>
      </c>
      <c r="D2" s="216">
        <v>0</v>
      </c>
      <c r="E2" s="216">
        <v>0</v>
      </c>
      <c r="F2" s="216">
        <v>0</v>
      </c>
      <c r="G2" s="216">
        <v>0</v>
      </c>
      <c r="H2" s="216">
        <v>0</v>
      </c>
      <c r="I2" s="216">
        <v>0</v>
      </c>
      <c r="J2">
        <v>0</v>
      </c>
      <c r="K2">
        <v>0</v>
      </c>
      <c r="L2" s="87">
        <f>SUM(C2:K2)</f>
        <v>0</v>
      </c>
    </row>
    <row r="3" spans="1:13" ht="15" customHeight="1" x14ac:dyDescent="0.4">
      <c r="A3" s="6">
        <v>2</v>
      </c>
      <c r="B3" t="s">
        <v>178</v>
      </c>
      <c r="C3" s="216">
        <v>0</v>
      </c>
      <c r="D3" s="216">
        <v>0</v>
      </c>
      <c r="E3" s="216">
        <v>0</v>
      </c>
      <c r="F3" s="216">
        <v>0</v>
      </c>
      <c r="G3" s="216">
        <v>0</v>
      </c>
      <c r="H3" s="216">
        <v>0</v>
      </c>
      <c r="I3" s="216">
        <v>0</v>
      </c>
      <c r="J3">
        <v>0</v>
      </c>
      <c r="K3">
        <v>0</v>
      </c>
      <c r="L3" s="87">
        <f t="shared" ref="L3:L66" si="0">SUM(C3:K3)</f>
        <v>0</v>
      </c>
    </row>
    <row r="4" spans="1:13" ht="15" customHeight="1" x14ac:dyDescent="0.4">
      <c r="A4" s="6">
        <v>3</v>
      </c>
      <c r="B4" t="s">
        <v>179</v>
      </c>
      <c r="C4" s="216">
        <v>0</v>
      </c>
      <c r="D4" s="216">
        <v>0</v>
      </c>
      <c r="E4" s="216">
        <v>0</v>
      </c>
      <c r="F4" s="216">
        <v>0</v>
      </c>
      <c r="G4" s="216">
        <v>0</v>
      </c>
      <c r="H4" s="216">
        <v>0</v>
      </c>
      <c r="I4" s="216">
        <v>0</v>
      </c>
      <c r="J4">
        <v>0</v>
      </c>
      <c r="K4">
        <v>0</v>
      </c>
      <c r="L4" s="87">
        <f t="shared" si="0"/>
        <v>0</v>
      </c>
    </row>
    <row r="5" spans="1:13" ht="15" customHeight="1" x14ac:dyDescent="0.4">
      <c r="A5" s="6">
        <v>4</v>
      </c>
      <c r="B5" t="s">
        <v>180</v>
      </c>
      <c r="C5" s="216">
        <v>0</v>
      </c>
      <c r="D5" s="216">
        <v>0</v>
      </c>
      <c r="E5" s="216">
        <v>0</v>
      </c>
      <c r="F5" s="216">
        <v>0</v>
      </c>
      <c r="G5" s="216">
        <v>0</v>
      </c>
      <c r="H5" s="216">
        <v>0</v>
      </c>
      <c r="I5" s="216">
        <v>0</v>
      </c>
      <c r="J5">
        <v>0</v>
      </c>
      <c r="K5">
        <v>0</v>
      </c>
      <c r="L5" s="87">
        <f t="shared" si="0"/>
        <v>0</v>
      </c>
    </row>
    <row r="6" spans="1:13" ht="15" customHeight="1" x14ac:dyDescent="0.4">
      <c r="A6" s="6">
        <v>5</v>
      </c>
      <c r="B6" t="s">
        <v>181</v>
      </c>
      <c r="C6" s="216">
        <v>0</v>
      </c>
      <c r="D6" s="216">
        <v>0</v>
      </c>
      <c r="E6" s="216">
        <v>0</v>
      </c>
      <c r="F6" s="216">
        <v>0</v>
      </c>
      <c r="G6" s="216">
        <v>0</v>
      </c>
      <c r="H6" s="216">
        <v>0</v>
      </c>
      <c r="I6" s="216">
        <v>0</v>
      </c>
      <c r="J6">
        <v>0</v>
      </c>
      <c r="K6">
        <v>0</v>
      </c>
      <c r="L6" s="87">
        <f t="shared" si="0"/>
        <v>0</v>
      </c>
    </row>
    <row r="7" spans="1:13" ht="15" customHeight="1" x14ac:dyDescent="0.4">
      <c r="A7" s="6">
        <v>6</v>
      </c>
      <c r="B7" t="s">
        <v>182</v>
      </c>
      <c r="C7" s="216">
        <v>0</v>
      </c>
      <c r="D7" s="216">
        <v>0</v>
      </c>
      <c r="E7" s="216">
        <v>0</v>
      </c>
      <c r="F7" s="216">
        <v>0</v>
      </c>
      <c r="G7" s="216">
        <v>0</v>
      </c>
      <c r="H7" s="216">
        <v>0</v>
      </c>
      <c r="I7" s="216">
        <v>0</v>
      </c>
      <c r="J7">
        <v>0</v>
      </c>
      <c r="K7">
        <v>0</v>
      </c>
      <c r="L7" s="87">
        <f t="shared" si="0"/>
        <v>0</v>
      </c>
    </row>
    <row r="8" spans="1:13" ht="15" customHeight="1" x14ac:dyDescent="0.4">
      <c r="A8" s="6">
        <v>7</v>
      </c>
      <c r="B8" t="s">
        <v>183</v>
      </c>
      <c r="C8" s="216">
        <v>0</v>
      </c>
      <c r="D8" s="216">
        <v>0</v>
      </c>
      <c r="E8" s="216">
        <v>0</v>
      </c>
      <c r="F8" s="216">
        <v>0</v>
      </c>
      <c r="G8" s="216">
        <v>0</v>
      </c>
      <c r="H8" s="216">
        <v>0</v>
      </c>
      <c r="I8" s="216">
        <v>0</v>
      </c>
      <c r="J8">
        <v>0</v>
      </c>
      <c r="K8">
        <v>0</v>
      </c>
      <c r="L8" s="87">
        <f t="shared" si="0"/>
        <v>0</v>
      </c>
    </row>
    <row r="9" spans="1:13" ht="15" customHeight="1" x14ac:dyDescent="0.4">
      <c r="A9" s="6">
        <v>8</v>
      </c>
      <c r="B9" t="s">
        <v>184</v>
      </c>
      <c r="C9" s="216">
        <v>0</v>
      </c>
      <c r="D9" s="216">
        <v>0</v>
      </c>
      <c r="E9" s="216">
        <v>0</v>
      </c>
      <c r="F9" s="216">
        <v>0</v>
      </c>
      <c r="G9" s="216">
        <v>0</v>
      </c>
      <c r="H9" s="216">
        <v>0</v>
      </c>
      <c r="I9" s="216">
        <v>0</v>
      </c>
      <c r="J9">
        <v>0</v>
      </c>
      <c r="K9">
        <v>0</v>
      </c>
      <c r="L9" s="87">
        <f t="shared" si="0"/>
        <v>0</v>
      </c>
    </row>
    <row r="10" spans="1:13" ht="15" customHeight="1" x14ac:dyDescent="0.4">
      <c r="A10" s="6">
        <v>9</v>
      </c>
      <c r="B10" t="s">
        <v>185</v>
      </c>
      <c r="C10" s="216">
        <v>0</v>
      </c>
      <c r="D10" s="216">
        <v>0</v>
      </c>
      <c r="E10" s="216">
        <v>0</v>
      </c>
      <c r="F10" s="216">
        <v>0</v>
      </c>
      <c r="G10" s="216">
        <v>0</v>
      </c>
      <c r="H10" s="216">
        <v>0</v>
      </c>
      <c r="I10" s="216">
        <v>0</v>
      </c>
      <c r="J10">
        <v>0</v>
      </c>
      <c r="K10">
        <v>0</v>
      </c>
      <c r="L10" s="87">
        <f t="shared" si="0"/>
        <v>0</v>
      </c>
    </row>
    <row r="11" spans="1:13" ht="15" customHeight="1" x14ac:dyDescent="0.4">
      <c r="A11" s="6">
        <v>10</v>
      </c>
      <c r="B11" t="s">
        <v>186</v>
      </c>
      <c r="C11" s="216">
        <v>0</v>
      </c>
      <c r="D11" s="216">
        <v>0</v>
      </c>
      <c r="E11" s="216">
        <v>0</v>
      </c>
      <c r="F11" s="216">
        <v>0</v>
      </c>
      <c r="G11" s="216">
        <v>0</v>
      </c>
      <c r="H11" s="216">
        <v>0</v>
      </c>
      <c r="I11" s="216">
        <v>0</v>
      </c>
      <c r="J11">
        <v>0</v>
      </c>
      <c r="K11">
        <v>0</v>
      </c>
      <c r="L11" s="87">
        <f t="shared" si="0"/>
        <v>0</v>
      </c>
    </row>
    <row r="12" spans="1:13" ht="15" customHeight="1" x14ac:dyDescent="0.4">
      <c r="A12" s="6">
        <v>11</v>
      </c>
      <c r="B12" t="s">
        <v>187</v>
      </c>
      <c r="C12" s="216">
        <v>0</v>
      </c>
      <c r="D12" s="216">
        <v>0</v>
      </c>
      <c r="E12" s="216">
        <v>0</v>
      </c>
      <c r="F12" s="216">
        <v>0</v>
      </c>
      <c r="G12" s="216">
        <v>0</v>
      </c>
      <c r="H12" s="216">
        <v>0</v>
      </c>
      <c r="I12" s="216">
        <v>0</v>
      </c>
      <c r="J12">
        <v>0</v>
      </c>
      <c r="K12">
        <v>0</v>
      </c>
      <c r="L12" s="87">
        <f t="shared" si="0"/>
        <v>0</v>
      </c>
    </row>
    <row r="13" spans="1:13" ht="15" customHeight="1" x14ac:dyDescent="0.4">
      <c r="A13" s="6">
        <v>12</v>
      </c>
      <c r="B13" t="s">
        <v>188</v>
      </c>
      <c r="C13" s="216">
        <v>0</v>
      </c>
      <c r="D13" s="216">
        <v>0</v>
      </c>
      <c r="E13" s="216">
        <v>0</v>
      </c>
      <c r="F13" s="216">
        <v>0</v>
      </c>
      <c r="G13" s="216">
        <v>0</v>
      </c>
      <c r="H13" s="216">
        <v>0</v>
      </c>
      <c r="I13" s="216">
        <v>0</v>
      </c>
      <c r="J13">
        <v>0</v>
      </c>
      <c r="K13">
        <v>0</v>
      </c>
      <c r="L13" s="87">
        <f t="shared" si="0"/>
        <v>0</v>
      </c>
    </row>
    <row r="14" spans="1:13" ht="15" customHeight="1" x14ac:dyDescent="0.4">
      <c r="A14" s="6">
        <v>13</v>
      </c>
      <c r="B14" t="s">
        <v>189</v>
      </c>
      <c r="C14" s="216">
        <v>0</v>
      </c>
      <c r="D14" s="216">
        <v>0</v>
      </c>
      <c r="E14" s="216">
        <v>0</v>
      </c>
      <c r="F14" s="216">
        <v>0</v>
      </c>
      <c r="G14" s="216">
        <v>0</v>
      </c>
      <c r="H14" s="216">
        <v>0</v>
      </c>
      <c r="I14" s="216">
        <v>0</v>
      </c>
      <c r="J14">
        <v>0</v>
      </c>
      <c r="K14">
        <v>0</v>
      </c>
      <c r="L14" s="87">
        <f t="shared" si="0"/>
        <v>0</v>
      </c>
    </row>
    <row r="15" spans="1:13" ht="15" customHeight="1" x14ac:dyDescent="0.4">
      <c r="A15" s="6">
        <v>14</v>
      </c>
      <c r="B15" t="s">
        <v>273</v>
      </c>
      <c r="C15" s="216">
        <v>0</v>
      </c>
      <c r="D15" s="216">
        <v>0</v>
      </c>
      <c r="E15" s="216">
        <v>0</v>
      </c>
      <c r="F15" s="216">
        <v>0</v>
      </c>
      <c r="G15" s="216">
        <v>0</v>
      </c>
      <c r="H15" s="216">
        <v>0</v>
      </c>
      <c r="I15" s="216">
        <v>0</v>
      </c>
      <c r="J15">
        <v>0</v>
      </c>
      <c r="K15">
        <v>0</v>
      </c>
      <c r="L15" s="87">
        <f t="shared" si="0"/>
        <v>0</v>
      </c>
    </row>
    <row r="16" spans="1:13" ht="15" customHeight="1" x14ac:dyDescent="0.4">
      <c r="A16" s="6">
        <v>15</v>
      </c>
      <c r="B16" t="s">
        <v>190</v>
      </c>
      <c r="C16" s="216">
        <v>0</v>
      </c>
      <c r="D16" s="216">
        <v>0</v>
      </c>
      <c r="E16" s="216">
        <v>0</v>
      </c>
      <c r="F16" s="216">
        <v>0</v>
      </c>
      <c r="G16" s="216">
        <v>0</v>
      </c>
      <c r="H16" s="216">
        <v>0</v>
      </c>
      <c r="I16" s="216">
        <v>0</v>
      </c>
      <c r="J16">
        <v>0</v>
      </c>
      <c r="K16">
        <v>0</v>
      </c>
      <c r="L16" s="87">
        <f t="shared" si="0"/>
        <v>0</v>
      </c>
    </row>
    <row r="17" spans="1:12" ht="15" customHeight="1" x14ac:dyDescent="0.4">
      <c r="A17" s="6">
        <v>16</v>
      </c>
      <c r="B17" t="s">
        <v>191</v>
      </c>
      <c r="C17" s="216">
        <v>0</v>
      </c>
      <c r="D17" s="216">
        <v>0</v>
      </c>
      <c r="E17" s="216">
        <v>0</v>
      </c>
      <c r="F17" s="216">
        <v>0</v>
      </c>
      <c r="G17" s="216">
        <v>0</v>
      </c>
      <c r="H17" s="216">
        <v>0</v>
      </c>
      <c r="I17" s="216">
        <v>0</v>
      </c>
      <c r="J17">
        <v>0</v>
      </c>
      <c r="K17">
        <v>0</v>
      </c>
      <c r="L17" s="87">
        <f t="shared" si="0"/>
        <v>0</v>
      </c>
    </row>
    <row r="18" spans="1:12" ht="15" customHeight="1" x14ac:dyDescent="0.4">
      <c r="A18" s="6">
        <v>17</v>
      </c>
      <c r="B18" t="s">
        <v>192</v>
      </c>
      <c r="C18" s="231">
        <v>0</v>
      </c>
      <c r="D18" s="231">
        <v>1.46641328292668E-6</v>
      </c>
      <c r="E18" s="231">
        <v>0</v>
      </c>
      <c r="F18" s="231">
        <v>5.2508702097539602E-3</v>
      </c>
      <c r="G18" s="231">
        <v>0</v>
      </c>
      <c r="H18" s="231">
        <v>2.5020172701266701E-6</v>
      </c>
      <c r="I18" s="231">
        <v>1.379261279404759E-3</v>
      </c>
      <c r="J18" s="231">
        <v>1.6742854173083701E-7</v>
      </c>
      <c r="K18" s="231">
        <v>0</v>
      </c>
      <c r="L18" s="87">
        <f t="shared" si="0"/>
        <v>6.6342673482535034E-3</v>
      </c>
    </row>
    <row r="19" spans="1:12" ht="15" customHeight="1" x14ac:dyDescent="0.4">
      <c r="A19" s="6">
        <v>18</v>
      </c>
      <c r="B19" t="s">
        <v>193</v>
      </c>
      <c r="C19" s="216">
        <v>0</v>
      </c>
      <c r="D19" s="216">
        <v>0</v>
      </c>
      <c r="E19" s="216">
        <v>0</v>
      </c>
      <c r="F19" s="216">
        <v>0</v>
      </c>
      <c r="G19" s="216">
        <v>0</v>
      </c>
      <c r="H19" s="216">
        <v>0</v>
      </c>
      <c r="I19" s="216">
        <v>0</v>
      </c>
      <c r="J19">
        <v>0</v>
      </c>
      <c r="K19">
        <v>0</v>
      </c>
      <c r="L19" s="87">
        <f t="shared" si="0"/>
        <v>0</v>
      </c>
    </row>
    <row r="20" spans="1:12" ht="15" customHeight="1" x14ac:dyDescent="0.4">
      <c r="A20" s="6">
        <v>19</v>
      </c>
      <c r="B20" t="s">
        <v>194</v>
      </c>
      <c r="C20" s="231">
        <v>0</v>
      </c>
      <c r="D20" s="232">
        <v>3.72782401674648E-6</v>
      </c>
      <c r="E20" s="231">
        <v>0</v>
      </c>
      <c r="F20" s="231">
        <v>6.81376870897517E-4</v>
      </c>
      <c r="G20" s="231">
        <v>0</v>
      </c>
      <c r="H20" s="231">
        <v>0</v>
      </c>
      <c r="I20" s="232">
        <v>8.8113801652056703E-11</v>
      </c>
      <c r="J20" s="231">
        <v>0</v>
      </c>
      <c r="K20">
        <v>6.9447432756545313E-6</v>
      </c>
      <c r="L20" s="87">
        <f t="shared" si="0"/>
        <v>6.920495263037196E-4</v>
      </c>
    </row>
    <row r="21" spans="1:12" ht="15" customHeight="1" x14ac:dyDescent="0.4">
      <c r="A21" s="6">
        <v>20</v>
      </c>
      <c r="B21" t="s">
        <v>195</v>
      </c>
      <c r="C21" s="231">
        <v>0</v>
      </c>
      <c r="D21" s="231">
        <v>0</v>
      </c>
      <c r="E21" s="231">
        <v>0</v>
      </c>
      <c r="F21" s="232">
        <v>6.2865716010270594E-5</v>
      </c>
      <c r="G21" s="231">
        <v>0</v>
      </c>
      <c r="H21" s="231">
        <v>0</v>
      </c>
      <c r="I21" s="231">
        <v>2.6052305479670299E-3</v>
      </c>
      <c r="J21" s="231">
        <v>0</v>
      </c>
      <c r="K21" s="231">
        <v>0</v>
      </c>
      <c r="L21" s="87">
        <f t="shared" si="0"/>
        <v>2.6680962639773005E-3</v>
      </c>
    </row>
    <row r="22" spans="1:12" ht="15" customHeight="1" x14ac:dyDescent="0.4">
      <c r="A22" s="6">
        <v>21</v>
      </c>
      <c r="B22" t="s">
        <v>196</v>
      </c>
      <c r="C22" s="231">
        <v>0</v>
      </c>
      <c r="D22" s="232">
        <v>1.9876072230468401E-7</v>
      </c>
      <c r="E22" s="231">
        <v>0</v>
      </c>
      <c r="F22" s="231">
        <v>1.10848178163297E-2</v>
      </c>
      <c r="G22" s="231">
        <v>0</v>
      </c>
      <c r="H22" s="231">
        <v>0</v>
      </c>
      <c r="I22" s="232">
        <v>7.6846692378076904E-7</v>
      </c>
      <c r="J22" s="231">
        <v>0</v>
      </c>
      <c r="K22">
        <v>1.1233666074691296E-6</v>
      </c>
      <c r="L22" s="87">
        <f t="shared" si="0"/>
        <v>1.1086908410583254E-2</v>
      </c>
    </row>
    <row r="23" spans="1:12" ht="15" customHeight="1" x14ac:dyDescent="0.4">
      <c r="A23" s="6">
        <v>22</v>
      </c>
      <c r="B23" t="s">
        <v>197</v>
      </c>
      <c r="C23" s="231">
        <v>0</v>
      </c>
      <c r="D23" s="231">
        <v>0</v>
      </c>
      <c r="E23" s="231">
        <v>0</v>
      </c>
      <c r="F23" s="231">
        <v>6.0442555293518897E-4</v>
      </c>
      <c r="G23" s="231">
        <v>0</v>
      </c>
      <c r="H23" s="231">
        <v>0</v>
      </c>
      <c r="I23" s="231">
        <v>2.5046105780398301E-4</v>
      </c>
      <c r="J23" s="231">
        <v>0</v>
      </c>
      <c r="K23">
        <v>3.3376325794169521E-6</v>
      </c>
      <c r="L23" s="87">
        <f t="shared" si="0"/>
        <v>8.582242433185889E-4</v>
      </c>
    </row>
    <row r="24" spans="1:12" ht="15" customHeight="1" x14ac:dyDescent="0.4">
      <c r="A24" s="6">
        <v>23</v>
      </c>
      <c r="B24" t="s">
        <v>198</v>
      </c>
      <c r="C24" s="231">
        <v>0</v>
      </c>
      <c r="D24" s="231">
        <v>0</v>
      </c>
      <c r="E24" s="231">
        <v>0</v>
      </c>
      <c r="F24" s="231">
        <v>1.5102173172055301E-4</v>
      </c>
      <c r="G24" s="231">
        <v>0</v>
      </c>
      <c r="H24" s="231">
        <v>0</v>
      </c>
      <c r="I24" s="231">
        <v>0</v>
      </c>
      <c r="J24" s="231">
        <v>0</v>
      </c>
      <c r="K24" s="231">
        <v>0</v>
      </c>
      <c r="L24" s="87">
        <f t="shared" si="0"/>
        <v>1.5102173172055301E-4</v>
      </c>
    </row>
    <row r="25" spans="1:12" ht="15" customHeight="1" x14ac:dyDescent="0.4">
      <c r="A25" s="6">
        <v>24</v>
      </c>
      <c r="B25" t="s">
        <v>199</v>
      </c>
      <c r="C25" s="217">
        <v>0</v>
      </c>
      <c r="D25" s="216">
        <v>0</v>
      </c>
      <c r="E25" s="216">
        <v>0</v>
      </c>
      <c r="F25" s="216">
        <v>0</v>
      </c>
      <c r="G25" s="216">
        <v>0</v>
      </c>
      <c r="H25" s="216">
        <v>0</v>
      </c>
      <c r="I25" s="216">
        <v>0</v>
      </c>
      <c r="J25" s="231">
        <v>0</v>
      </c>
      <c r="K25">
        <v>0</v>
      </c>
      <c r="L25" s="87">
        <f t="shared" si="0"/>
        <v>0</v>
      </c>
    </row>
    <row r="26" spans="1:12" ht="15" customHeight="1" x14ac:dyDescent="0.4">
      <c r="A26" s="6">
        <v>25</v>
      </c>
      <c r="B26" t="s">
        <v>265</v>
      </c>
      <c r="C26" s="217">
        <v>0</v>
      </c>
      <c r="D26" s="216">
        <v>0</v>
      </c>
      <c r="E26" s="216">
        <v>0</v>
      </c>
      <c r="F26" s="216">
        <v>0</v>
      </c>
      <c r="G26" s="216">
        <v>0</v>
      </c>
      <c r="H26" s="216">
        <v>0</v>
      </c>
      <c r="I26" s="216">
        <v>0</v>
      </c>
      <c r="J26" s="231">
        <v>0</v>
      </c>
      <c r="K26">
        <v>0</v>
      </c>
      <c r="L26" s="87">
        <f t="shared" si="0"/>
        <v>0</v>
      </c>
    </row>
    <row r="27" spans="1:12" ht="15" customHeight="1" x14ac:dyDescent="0.4">
      <c r="A27" s="6">
        <v>26</v>
      </c>
      <c r="B27" t="s">
        <v>274</v>
      </c>
      <c r="C27" s="217">
        <v>0</v>
      </c>
      <c r="D27" s="216">
        <v>0</v>
      </c>
      <c r="E27" s="216">
        <v>0</v>
      </c>
      <c r="F27" s="216">
        <v>0</v>
      </c>
      <c r="G27" s="216">
        <v>0</v>
      </c>
      <c r="H27" s="216">
        <v>0</v>
      </c>
      <c r="I27" s="216">
        <v>0</v>
      </c>
      <c r="J27" s="231">
        <v>0</v>
      </c>
      <c r="K27">
        <v>0</v>
      </c>
      <c r="L27" s="87">
        <f t="shared" si="0"/>
        <v>0</v>
      </c>
    </row>
    <row r="28" spans="1:12" ht="15" customHeight="1" x14ac:dyDescent="0.4">
      <c r="A28" s="6">
        <v>27</v>
      </c>
      <c r="B28" t="s">
        <v>275</v>
      </c>
      <c r="C28" s="217">
        <v>0</v>
      </c>
      <c r="D28" s="216">
        <v>0</v>
      </c>
      <c r="E28" s="216">
        <v>0</v>
      </c>
      <c r="F28" s="216">
        <v>0</v>
      </c>
      <c r="G28" s="216">
        <v>0</v>
      </c>
      <c r="H28" s="216">
        <v>0</v>
      </c>
      <c r="I28" s="216">
        <v>0</v>
      </c>
      <c r="J28" s="231">
        <v>0</v>
      </c>
      <c r="K28">
        <v>0</v>
      </c>
      <c r="L28" s="87">
        <f t="shared" si="0"/>
        <v>0</v>
      </c>
    </row>
    <row r="29" spans="1:12" ht="15" customHeight="1" x14ac:dyDescent="0.4">
      <c r="A29" s="6">
        <v>28</v>
      </c>
      <c r="B29" t="s">
        <v>276</v>
      </c>
      <c r="C29" s="217">
        <v>0</v>
      </c>
      <c r="D29" s="216">
        <v>0</v>
      </c>
      <c r="E29" s="216">
        <v>0</v>
      </c>
      <c r="F29" s="216">
        <v>0</v>
      </c>
      <c r="G29" s="216">
        <v>0</v>
      </c>
      <c r="H29" s="216">
        <v>0</v>
      </c>
      <c r="I29" s="216">
        <v>0</v>
      </c>
      <c r="J29" s="231">
        <v>0</v>
      </c>
      <c r="K29">
        <v>0</v>
      </c>
      <c r="L29" s="87">
        <f t="shared" si="0"/>
        <v>0</v>
      </c>
    </row>
    <row r="30" spans="1:12" ht="15" customHeight="1" x14ac:dyDescent="0.4">
      <c r="A30" s="6">
        <v>29</v>
      </c>
      <c r="B30" t="s">
        <v>277</v>
      </c>
      <c r="C30" s="217">
        <v>0</v>
      </c>
      <c r="D30" s="216">
        <v>0</v>
      </c>
      <c r="E30" s="216">
        <v>0</v>
      </c>
      <c r="F30" s="216">
        <v>0</v>
      </c>
      <c r="G30" s="216">
        <v>0</v>
      </c>
      <c r="H30" s="216">
        <v>0</v>
      </c>
      <c r="I30" s="216">
        <v>0</v>
      </c>
      <c r="J30" s="231">
        <v>0</v>
      </c>
      <c r="K30">
        <v>0</v>
      </c>
      <c r="L30" s="87">
        <f t="shared" si="0"/>
        <v>0</v>
      </c>
    </row>
    <row r="31" spans="1:12" ht="15" customHeight="1" x14ac:dyDescent="0.4">
      <c r="A31" s="6">
        <v>30</v>
      </c>
      <c r="B31" t="s">
        <v>278</v>
      </c>
      <c r="C31" s="217">
        <v>0</v>
      </c>
      <c r="D31" s="216">
        <v>0</v>
      </c>
      <c r="E31" s="216">
        <v>0</v>
      </c>
      <c r="F31" s="216">
        <v>0</v>
      </c>
      <c r="G31" s="216">
        <v>0</v>
      </c>
      <c r="H31" s="216">
        <v>0</v>
      </c>
      <c r="I31" s="216">
        <v>0</v>
      </c>
      <c r="J31" s="231">
        <v>0</v>
      </c>
      <c r="K31">
        <v>0</v>
      </c>
      <c r="L31" s="87">
        <f t="shared" si="0"/>
        <v>0</v>
      </c>
    </row>
    <row r="32" spans="1:12" ht="15" customHeight="1" x14ac:dyDescent="0.4">
      <c r="A32" s="6">
        <v>31</v>
      </c>
      <c r="B32" t="s">
        <v>279</v>
      </c>
      <c r="C32" s="217">
        <v>0</v>
      </c>
      <c r="D32" s="216">
        <v>0</v>
      </c>
      <c r="E32" s="216">
        <v>0</v>
      </c>
      <c r="F32" s="216">
        <v>0</v>
      </c>
      <c r="G32" s="216">
        <v>0</v>
      </c>
      <c r="H32" s="216">
        <v>0</v>
      </c>
      <c r="I32" s="216">
        <v>0</v>
      </c>
      <c r="J32" s="231">
        <v>0</v>
      </c>
      <c r="K32">
        <v>0</v>
      </c>
      <c r="L32" s="87">
        <f t="shared" si="0"/>
        <v>0</v>
      </c>
    </row>
    <row r="33" spans="1:12" ht="15" customHeight="1" x14ac:dyDescent="0.4">
      <c r="A33" s="6">
        <v>32</v>
      </c>
      <c r="B33" t="s">
        <v>200</v>
      </c>
      <c r="C33" s="217">
        <v>0</v>
      </c>
      <c r="D33" s="216">
        <v>0</v>
      </c>
      <c r="E33" s="216">
        <v>0</v>
      </c>
      <c r="F33" s="216">
        <v>0</v>
      </c>
      <c r="G33" s="216">
        <v>0</v>
      </c>
      <c r="H33" s="216">
        <v>0</v>
      </c>
      <c r="I33" s="216">
        <v>0</v>
      </c>
      <c r="J33" s="231">
        <v>0</v>
      </c>
      <c r="K33">
        <v>0</v>
      </c>
      <c r="L33" s="87">
        <f t="shared" si="0"/>
        <v>0</v>
      </c>
    </row>
    <row r="34" spans="1:12" ht="15" customHeight="1" x14ac:dyDescent="0.4">
      <c r="A34" s="6">
        <v>33</v>
      </c>
      <c r="B34" t="s">
        <v>201</v>
      </c>
      <c r="C34" s="217">
        <v>0</v>
      </c>
      <c r="D34" s="216">
        <v>0</v>
      </c>
      <c r="E34" s="216">
        <v>0</v>
      </c>
      <c r="F34" s="216">
        <v>0</v>
      </c>
      <c r="G34" s="216">
        <v>0</v>
      </c>
      <c r="H34" s="216">
        <v>0</v>
      </c>
      <c r="I34" s="216">
        <v>0</v>
      </c>
      <c r="J34" s="231">
        <v>0</v>
      </c>
      <c r="K34">
        <v>0</v>
      </c>
      <c r="L34" s="87">
        <f t="shared" si="0"/>
        <v>0</v>
      </c>
    </row>
    <row r="35" spans="1:12" x14ac:dyDescent="0.4">
      <c r="A35" s="6">
        <v>34</v>
      </c>
      <c r="B35" t="s">
        <v>202</v>
      </c>
      <c r="C35" s="217">
        <v>0</v>
      </c>
      <c r="D35" s="216">
        <v>2.1328021816096449E-4</v>
      </c>
      <c r="E35" s="216">
        <v>2.6846165746556848E-4</v>
      </c>
      <c r="F35" s="216">
        <v>1.1100430458391559E-5</v>
      </c>
      <c r="G35" s="216">
        <v>1.0746335213051632E-5</v>
      </c>
      <c r="H35" s="216">
        <v>1.4510669025909781E-5</v>
      </c>
      <c r="I35" s="216">
        <v>3.8981321000268652E-3</v>
      </c>
      <c r="J35">
        <v>3.3695895376425938E-5</v>
      </c>
      <c r="K35">
        <v>8.5060929910646583E-4</v>
      </c>
      <c r="L35" s="87">
        <f t="shared" si="0"/>
        <v>5.300536604833643E-3</v>
      </c>
    </row>
    <row r="36" spans="1:12" x14ac:dyDescent="0.4">
      <c r="A36" s="6">
        <v>35</v>
      </c>
      <c r="B36" t="s">
        <v>203</v>
      </c>
      <c r="C36" s="231">
        <v>0</v>
      </c>
      <c r="D36" s="232">
        <v>1.8774721116232499E-7</v>
      </c>
      <c r="E36" s="231">
        <v>0</v>
      </c>
      <c r="F36" s="232">
        <v>8.3798066572543105E-5</v>
      </c>
      <c r="G36" s="231">
        <v>0</v>
      </c>
      <c r="H36" s="232">
        <v>7.6837859104981002E-6</v>
      </c>
      <c r="I36" s="232">
        <v>8.51970747681073E-9</v>
      </c>
      <c r="J36" s="231">
        <v>0</v>
      </c>
      <c r="K36">
        <v>1.7182587060240322E-2</v>
      </c>
      <c r="L36" s="87">
        <f t="shared" si="0"/>
        <v>1.7274265179642003E-2</v>
      </c>
    </row>
    <row r="37" spans="1:12" x14ac:dyDescent="0.4">
      <c r="A37" s="6">
        <v>36</v>
      </c>
      <c r="B37" t="s">
        <v>204</v>
      </c>
      <c r="C37" s="231">
        <v>0</v>
      </c>
      <c r="D37" s="232">
        <v>2.89767462018242E-5</v>
      </c>
      <c r="E37" s="232">
        <v>2.9130201265910203E-7</v>
      </c>
      <c r="F37" s="231">
        <v>3.0369464471478101E-3</v>
      </c>
      <c r="G37" s="232">
        <v>3.3085814245765298E-7</v>
      </c>
      <c r="H37" s="231">
        <v>1.9797181009873301E-3</v>
      </c>
      <c r="I37" s="232">
        <v>1.0959262016113201E-5</v>
      </c>
      <c r="J37" s="231">
        <v>0</v>
      </c>
      <c r="K37">
        <v>5.9234325764393903E-3</v>
      </c>
      <c r="L37" s="87">
        <f t="shared" si="0"/>
        <v>1.0980655292947585E-2</v>
      </c>
    </row>
    <row r="38" spans="1:12" x14ac:dyDescent="0.4">
      <c r="A38" s="6">
        <v>37</v>
      </c>
      <c r="B38" t="s">
        <v>205</v>
      </c>
      <c r="C38" s="231">
        <v>0</v>
      </c>
      <c r="D38" s="231">
        <v>0</v>
      </c>
      <c r="E38" s="231">
        <v>0</v>
      </c>
      <c r="F38" s="231">
        <v>0</v>
      </c>
      <c r="G38" s="231">
        <v>0</v>
      </c>
      <c r="H38" s="231">
        <v>0</v>
      </c>
      <c r="I38" s="231">
        <v>0</v>
      </c>
      <c r="J38" s="231">
        <v>0</v>
      </c>
      <c r="K38">
        <v>8.6032290789569629E-7</v>
      </c>
      <c r="L38" s="87">
        <f t="shared" si="0"/>
        <v>8.6032290789569629E-7</v>
      </c>
    </row>
    <row r="39" spans="1:12" x14ac:dyDescent="0.4">
      <c r="A39" s="6">
        <v>38</v>
      </c>
      <c r="B39" t="s">
        <v>206</v>
      </c>
      <c r="C39" s="217">
        <v>0</v>
      </c>
      <c r="D39" s="216">
        <v>1.9247071690772507E-6</v>
      </c>
      <c r="E39" s="216">
        <v>6.9582681346401918E-5</v>
      </c>
      <c r="F39" s="216">
        <v>4.5862889821507082E-5</v>
      </c>
      <c r="G39" s="216">
        <v>1.1960383979233635E-5</v>
      </c>
      <c r="H39" s="216">
        <v>2.4086448221607557E-7</v>
      </c>
      <c r="I39" s="216">
        <v>9.2385383449606632E-6</v>
      </c>
      <c r="J39">
        <v>2.9137818328831612E-7</v>
      </c>
      <c r="K39">
        <v>1.2585720135514895E-3</v>
      </c>
      <c r="L39" s="87">
        <f t="shared" si="0"/>
        <v>1.3976734568781745E-3</v>
      </c>
    </row>
    <row r="40" spans="1:12" x14ac:dyDescent="0.4">
      <c r="A40" s="6">
        <v>39</v>
      </c>
      <c r="B40" t="s">
        <v>207</v>
      </c>
      <c r="C40" s="231">
        <v>0</v>
      </c>
      <c r="D40" s="232">
        <v>8.4131356788784498E-7</v>
      </c>
      <c r="E40" s="231">
        <v>0</v>
      </c>
      <c r="F40" s="231">
        <v>4.0473752538015899E-4</v>
      </c>
      <c r="G40" s="231">
        <v>0</v>
      </c>
      <c r="H40" s="232">
        <v>9.3777775261173103E-7</v>
      </c>
      <c r="I40" s="231">
        <v>1.18061241537917E-3</v>
      </c>
      <c r="J40" s="231">
        <v>0</v>
      </c>
      <c r="K40">
        <v>2.4013953542745249E-6</v>
      </c>
      <c r="L40" s="87">
        <f t="shared" si="0"/>
        <v>1.5895304274341031E-3</v>
      </c>
    </row>
    <row r="41" spans="1:12" x14ac:dyDescent="0.4">
      <c r="A41" s="6">
        <v>40</v>
      </c>
      <c r="B41" t="s">
        <v>208</v>
      </c>
      <c r="C41" s="231">
        <v>0</v>
      </c>
      <c r="D41" s="232">
        <v>9.5191911318346196E-7</v>
      </c>
      <c r="E41" s="231">
        <v>0</v>
      </c>
      <c r="F41" s="231">
        <v>1.0471689222092699E-3</v>
      </c>
      <c r="G41" s="232">
        <v>1.52615990939673E-9</v>
      </c>
      <c r="H41" s="232">
        <v>1.7190760403672301E-7</v>
      </c>
      <c r="I41" s="232">
        <v>3.0477255780056501E-5</v>
      </c>
      <c r="J41" s="231">
        <v>0</v>
      </c>
      <c r="K41">
        <v>6.9031261732758752E-6</v>
      </c>
      <c r="L41" s="87">
        <f t="shared" si="0"/>
        <v>1.0856746570397321E-3</v>
      </c>
    </row>
    <row r="42" spans="1:12" x14ac:dyDescent="0.4">
      <c r="A42" s="6">
        <v>41</v>
      </c>
      <c r="B42" t="s">
        <v>209</v>
      </c>
      <c r="C42" s="217">
        <v>0</v>
      </c>
      <c r="D42" s="216">
        <v>1.0627146691658189E-3</v>
      </c>
      <c r="E42" s="216">
        <v>1.3308693668858667E-3</v>
      </c>
      <c r="F42" s="216">
        <v>5.4101819292476522E-5</v>
      </c>
      <c r="G42" s="216">
        <v>4.8899778993070957E-5</v>
      </c>
      <c r="H42" s="216">
        <v>7.1700623471306939E-5</v>
      </c>
      <c r="I42" s="216">
        <v>1.7946222201394805E-2</v>
      </c>
      <c r="J42">
        <v>1.3773325499828832E-4</v>
      </c>
      <c r="K42">
        <v>1.8869133711345902E-2</v>
      </c>
      <c r="L42" s="87">
        <f t="shared" si="0"/>
        <v>3.9521375425547539E-2</v>
      </c>
    </row>
    <row r="43" spans="1:12" x14ac:dyDescent="0.4">
      <c r="A43" s="6">
        <v>42</v>
      </c>
      <c r="B43" t="s">
        <v>210</v>
      </c>
      <c r="C43" s="217">
        <v>0</v>
      </c>
      <c r="D43" s="216">
        <v>2.5614610037647617E-5</v>
      </c>
      <c r="E43" s="216">
        <v>2.2503531524714019E-3</v>
      </c>
      <c r="F43" s="216">
        <v>2.3222213397619966E-4</v>
      </c>
      <c r="G43" s="216">
        <v>2.6422269715439895E-6</v>
      </c>
      <c r="H43" s="216">
        <v>3.3688063148820748E-6</v>
      </c>
      <c r="I43" s="216">
        <v>6.3381070550894945E-3</v>
      </c>
      <c r="J43">
        <v>2.4611612210914869E-5</v>
      </c>
      <c r="K43">
        <v>1.3565404434913614E-6</v>
      </c>
      <c r="L43" s="87">
        <f t="shared" si="0"/>
        <v>8.8782761375155762E-3</v>
      </c>
    </row>
    <row r="44" spans="1:12" x14ac:dyDescent="0.4">
      <c r="A44" s="6">
        <v>43</v>
      </c>
      <c r="B44" t="s">
        <v>211</v>
      </c>
      <c r="C44" s="231">
        <v>0</v>
      </c>
      <c r="D44" s="232">
        <v>3.9028735566211298E-6</v>
      </c>
      <c r="E44" s="231">
        <v>0</v>
      </c>
      <c r="F44" s="231">
        <v>0</v>
      </c>
      <c r="G44" s="231">
        <v>0</v>
      </c>
      <c r="H44" s="231">
        <v>0</v>
      </c>
      <c r="I44" s="231">
        <v>3.24537570624859</v>
      </c>
      <c r="J44" s="231">
        <v>0</v>
      </c>
      <c r="K44">
        <v>4.3635974579147698E-6</v>
      </c>
      <c r="L44" s="87">
        <f t="shared" si="0"/>
        <v>3.2453839727196048</v>
      </c>
    </row>
    <row r="45" spans="1:12" x14ac:dyDescent="0.4">
      <c r="A45" s="6">
        <v>44</v>
      </c>
      <c r="B45" t="s">
        <v>212</v>
      </c>
      <c r="C45" s="217">
        <v>0</v>
      </c>
      <c r="D45" s="216">
        <v>1.8841070158558827E-3</v>
      </c>
      <c r="E45" s="216">
        <v>1.3008876354037659E-4</v>
      </c>
      <c r="F45" s="216">
        <v>2.604527389281124E-3</v>
      </c>
      <c r="G45" s="216">
        <v>0</v>
      </c>
      <c r="H45" s="216">
        <v>3.0038531732742301E-2</v>
      </c>
      <c r="I45" s="216">
        <v>0</v>
      </c>
      <c r="J45" s="231">
        <v>0</v>
      </c>
      <c r="K45">
        <v>1.1326954203975725E-2</v>
      </c>
      <c r="L45" s="87">
        <f t="shared" si="0"/>
        <v>4.5984209105395413E-2</v>
      </c>
    </row>
    <row r="46" spans="1:12" x14ac:dyDescent="0.4">
      <c r="A46" s="6">
        <v>45</v>
      </c>
      <c r="B46" t="s">
        <v>213</v>
      </c>
      <c r="C46" s="231">
        <v>0</v>
      </c>
      <c r="D46" s="231">
        <v>2.9806975488547601E-2</v>
      </c>
      <c r="E46" s="231">
        <v>0</v>
      </c>
      <c r="F46" s="231">
        <v>0</v>
      </c>
      <c r="G46" s="231">
        <v>2.0340449882310201E-2</v>
      </c>
      <c r="H46" s="232">
        <v>2.6896292405426001E-5</v>
      </c>
      <c r="I46" s="231">
        <v>2.46923199796521E-2</v>
      </c>
      <c r="J46" s="231">
        <v>0</v>
      </c>
      <c r="K46">
        <v>1.0586328280812875E-4</v>
      </c>
      <c r="L46" s="87">
        <f t="shared" si="0"/>
        <v>7.4972504925723438E-2</v>
      </c>
    </row>
    <row r="47" spans="1:12" x14ac:dyDescent="0.4">
      <c r="A47" s="6">
        <v>46</v>
      </c>
      <c r="B47" t="s">
        <v>214</v>
      </c>
      <c r="C47" s="231">
        <v>0</v>
      </c>
      <c r="D47" s="231">
        <v>3.0175718533837657E-3</v>
      </c>
      <c r="E47" s="231">
        <v>5.3652455588148103E-6</v>
      </c>
      <c r="F47" s="231">
        <v>6.4067322208204596E-7</v>
      </c>
      <c r="G47" s="231">
        <v>2.030970111150687E-4</v>
      </c>
      <c r="H47" s="231">
        <v>1.03568930727128E-4</v>
      </c>
      <c r="I47" s="231">
        <v>6.5882412094157702E-3</v>
      </c>
      <c r="J47" s="231">
        <v>0</v>
      </c>
      <c r="K47">
        <v>4.9449559109015382E-3</v>
      </c>
      <c r="L47" s="87">
        <f t="shared" si="0"/>
        <v>1.4863440834324167E-2</v>
      </c>
    </row>
    <row r="48" spans="1:12" x14ac:dyDescent="0.4">
      <c r="A48" s="6">
        <v>47</v>
      </c>
      <c r="B48" t="s">
        <v>215</v>
      </c>
      <c r="C48" s="217">
        <v>0</v>
      </c>
      <c r="D48" s="216">
        <v>7.5228634524876394E-4</v>
      </c>
      <c r="E48" s="216">
        <v>7.2094473759785008E-3</v>
      </c>
      <c r="F48" s="216">
        <v>3.3906551046027542E-3</v>
      </c>
      <c r="G48" s="216">
        <v>4.7853792324363169E-3</v>
      </c>
      <c r="H48" s="216">
        <v>1.545472010683802E-4</v>
      </c>
      <c r="I48" s="216">
        <v>6.0301291744763404E-2</v>
      </c>
      <c r="J48">
        <v>4.1624666649538888E-4</v>
      </c>
      <c r="K48">
        <v>1.024069765524465E-2</v>
      </c>
      <c r="L48" s="87">
        <f t="shared" si="0"/>
        <v>8.7250551325838172E-2</v>
      </c>
    </row>
    <row r="49" spans="1:12" x14ac:dyDescent="0.4">
      <c r="A49" s="6">
        <v>48</v>
      </c>
      <c r="B49" t="s">
        <v>216</v>
      </c>
      <c r="C49" s="217">
        <v>0</v>
      </c>
      <c r="D49" s="216">
        <v>3.2066376672404626E-5</v>
      </c>
      <c r="E49" s="216">
        <v>2.7638715706894898E-3</v>
      </c>
      <c r="F49" s="216">
        <v>2.9107805878224313E-4</v>
      </c>
      <c r="G49" s="216">
        <v>3.474478389483623E-6</v>
      </c>
      <c r="H49" s="216">
        <v>4.0763191266088401E-6</v>
      </c>
      <c r="I49" s="216">
        <v>8.3078817414630884E-3</v>
      </c>
      <c r="J49">
        <v>3.1336615653259363E-5</v>
      </c>
      <c r="K49">
        <v>1.7142704298950885E-6</v>
      </c>
      <c r="L49" s="87">
        <f t="shared" si="0"/>
        <v>1.1435499431206473E-2</v>
      </c>
    </row>
    <row r="50" spans="1:12" x14ac:dyDescent="0.4">
      <c r="A50" s="6">
        <v>49</v>
      </c>
      <c r="B50" t="s">
        <v>217</v>
      </c>
      <c r="C50" s="217">
        <v>0</v>
      </c>
      <c r="D50" s="216">
        <v>1.8782195339495688E-4</v>
      </c>
      <c r="E50" s="216">
        <v>1.5995786990342727E-3</v>
      </c>
      <c r="F50" s="216">
        <v>7.1114924404423751E-4</v>
      </c>
      <c r="G50" s="216">
        <v>2.420995883702474E-3</v>
      </c>
      <c r="H50" s="216">
        <v>3.9732599198345962E-5</v>
      </c>
      <c r="I50" s="216">
        <v>6.0417206328855456E-4</v>
      </c>
      <c r="J50">
        <v>5.7902495060766716E-5</v>
      </c>
      <c r="K50">
        <v>4.4252852195965997E-6</v>
      </c>
      <c r="L50" s="87">
        <f t="shared" si="0"/>
        <v>5.6257782229432052E-3</v>
      </c>
    </row>
    <row r="51" spans="1:12" ht="15" customHeight="1" x14ac:dyDescent="0.4">
      <c r="A51" s="6">
        <v>50</v>
      </c>
      <c r="B51" t="s">
        <v>218</v>
      </c>
      <c r="C51" s="217">
        <v>0</v>
      </c>
      <c r="D51" s="216">
        <v>4.9018862972005726E-4</v>
      </c>
      <c r="E51" s="216">
        <v>6.2531934794478447E-4</v>
      </c>
      <c r="F51" s="216">
        <v>2.0066057633451421E-5</v>
      </c>
      <c r="G51" s="216">
        <v>2.2041075925917579E-5</v>
      </c>
      <c r="H51" s="216">
        <v>2.6533382815924405E-5</v>
      </c>
      <c r="I51" s="216">
        <v>6.9479250159589587E-3</v>
      </c>
      <c r="J51">
        <v>3.2584658672761941E-5</v>
      </c>
      <c r="K51">
        <v>1.459282443621089E-3</v>
      </c>
      <c r="L51" s="87">
        <f t="shared" si="0"/>
        <v>9.6239406122929447E-3</v>
      </c>
    </row>
    <row r="52" spans="1:12" ht="15" customHeight="1" x14ac:dyDescent="0.4">
      <c r="A52" s="6">
        <v>51</v>
      </c>
      <c r="B52" t="s">
        <v>219</v>
      </c>
      <c r="C52" s="231">
        <v>0</v>
      </c>
      <c r="D52" s="231">
        <v>1.06260550267837E-4</v>
      </c>
      <c r="E52" s="231">
        <v>0</v>
      </c>
      <c r="F52" s="231">
        <v>0</v>
      </c>
      <c r="G52" s="231">
        <v>0</v>
      </c>
      <c r="H52" s="231">
        <v>5.8976683336008601E-7</v>
      </c>
      <c r="I52" s="231">
        <v>4.8580849797700372E-3</v>
      </c>
      <c r="J52" s="231">
        <v>0</v>
      </c>
      <c r="K52">
        <v>1.8750009921030228E-4</v>
      </c>
      <c r="L52" s="87">
        <f t="shared" si="0"/>
        <v>5.1524353960815368E-3</v>
      </c>
    </row>
    <row r="53" spans="1:12" ht="15" customHeight="1" x14ac:dyDescent="0.4">
      <c r="A53" s="6">
        <v>52</v>
      </c>
      <c r="B53" t="s">
        <v>220</v>
      </c>
      <c r="C53" s="217">
        <v>0</v>
      </c>
      <c r="D53" s="216">
        <v>1.3520731186753738E-5</v>
      </c>
      <c r="E53" s="216">
        <v>3.3128584166187474E-5</v>
      </c>
      <c r="F53" s="216">
        <v>6.4909171252169549E-6</v>
      </c>
      <c r="G53" s="216">
        <v>7.7890590627752016E-6</v>
      </c>
      <c r="H53" s="216">
        <v>8.5140518396335042E-6</v>
      </c>
      <c r="I53" s="216">
        <v>5.9879326049738439E-2</v>
      </c>
      <c r="J53">
        <v>1.34323999347742E-4</v>
      </c>
      <c r="K53">
        <v>4.1395734812807456E-7</v>
      </c>
      <c r="L53" s="87">
        <f t="shared" si="0"/>
        <v>6.008350734981488E-2</v>
      </c>
    </row>
    <row r="54" spans="1:12" ht="15" customHeight="1" x14ac:dyDescent="0.4">
      <c r="A54" s="6">
        <v>53</v>
      </c>
      <c r="B54" t="s">
        <v>221</v>
      </c>
      <c r="C54" s="217">
        <v>0</v>
      </c>
      <c r="D54" s="216">
        <v>1.5094532907314603E-6</v>
      </c>
      <c r="E54" s="216">
        <v>3.7298628279531666E-6</v>
      </c>
      <c r="F54" s="216">
        <v>6.6184883277893474E-7</v>
      </c>
      <c r="G54" s="216">
        <v>8.4250416169165676E-7</v>
      </c>
      <c r="H54" s="216">
        <v>1.1318147971432726E-6</v>
      </c>
      <c r="I54" s="216">
        <v>6.292990987539257E-3</v>
      </c>
      <c r="J54">
        <v>1.5493061316400713E-5</v>
      </c>
      <c r="K54">
        <v>6.454487906498935E-5</v>
      </c>
      <c r="L54" s="87">
        <f t="shared" si="0"/>
        <v>6.3809044118309458E-3</v>
      </c>
    </row>
    <row r="55" spans="1:12" ht="15" customHeight="1" x14ac:dyDescent="0.4">
      <c r="A55" s="6">
        <v>54</v>
      </c>
      <c r="B55" t="s">
        <v>222</v>
      </c>
      <c r="C55" s="217">
        <v>0</v>
      </c>
      <c r="D55" s="216">
        <v>1.0877207568025193E-6</v>
      </c>
      <c r="E55" s="216">
        <v>9.944389950439785E-5</v>
      </c>
      <c r="F55" s="216">
        <v>1.1695724624527536E-5</v>
      </c>
      <c r="G55" s="216">
        <v>1.2865511969854801E-7</v>
      </c>
      <c r="H55" s="216">
        <v>2.0836519593080291E-7</v>
      </c>
      <c r="I55" s="216">
        <v>3.2063228054613483E-4</v>
      </c>
      <c r="J55">
        <v>1.8254508478484683E-6</v>
      </c>
      <c r="K55">
        <v>0</v>
      </c>
      <c r="L55" s="87">
        <f t="shared" si="0"/>
        <v>4.3502209659534058E-4</v>
      </c>
    </row>
    <row r="56" spans="1:12" ht="15" customHeight="1" x14ac:dyDescent="0.4">
      <c r="A56" s="6">
        <v>55</v>
      </c>
      <c r="B56" t="s">
        <v>223</v>
      </c>
      <c r="C56" s="217">
        <v>0</v>
      </c>
      <c r="D56" s="216">
        <v>0</v>
      </c>
      <c r="E56" s="216">
        <v>0</v>
      </c>
      <c r="F56" s="216">
        <v>0</v>
      </c>
      <c r="G56" s="216">
        <v>0</v>
      </c>
      <c r="H56" s="216">
        <v>0</v>
      </c>
      <c r="I56" s="216">
        <v>0</v>
      </c>
      <c r="J56">
        <v>0</v>
      </c>
      <c r="K56">
        <v>0</v>
      </c>
      <c r="L56" s="87">
        <f t="shared" si="0"/>
        <v>0</v>
      </c>
    </row>
    <row r="57" spans="1:12" ht="15" customHeight="1" x14ac:dyDescent="0.4">
      <c r="A57" s="6">
        <v>56</v>
      </c>
      <c r="B57" t="s">
        <v>224</v>
      </c>
      <c r="C57" s="217">
        <v>0</v>
      </c>
      <c r="D57" s="216">
        <v>0</v>
      </c>
      <c r="E57" s="216">
        <v>0</v>
      </c>
      <c r="F57" s="216">
        <v>0</v>
      </c>
      <c r="G57" s="216">
        <v>0</v>
      </c>
      <c r="H57" s="216">
        <v>0</v>
      </c>
      <c r="I57" s="216">
        <v>0</v>
      </c>
      <c r="J57">
        <v>0</v>
      </c>
      <c r="K57">
        <v>0</v>
      </c>
      <c r="L57" s="87">
        <f t="shared" si="0"/>
        <v>0</v>
      </c>
    </row>
    <row r="58" spans="1:12" ht="15" customHeight="1" x14ac:dyDescent="0.4">
      <c r="A58" s="6">
        <v>57</v>
      </c>
      <c r="B58" t="s">
        <v>225</v>
      </c>
      <c r="C58" s="217">
        <v>0</v>
      </c>
      <c r="D58" s="216">
        <v>0</v>
      </c>
      <c r="E58" s="216">
        <v>0</v>
      </c>
      <c r="F58" s="216">
        <v>0</v>
      </c>
      <c r="G58" s="216">
        <v>0</v>
      </c>
      <c r="H58" s="216">
        <v>0</v>
      </c>
      <c r="I58" s="216">
        <v>0</v>
      </c>
      <c r="J58">
        <v>0</v>
      </c>
      <c r="K58">
        <v>0</v>
      </c>
      <c r="L58" s="87">
        <f t="shared" si="0"/>
        <v>0</v>
      </c>
    </row>
    <row r="59" spans="1:12" ht="15" customHeight="1" x14ac:dyDescent="0.4">
      <c r="A59" s="6">
        <v>58</v>
      </c>
      <c r="B59" t="s">
        <v>226</v>
      </c>
      <c r="C59" s="217">
        <v>0</v>
      </c>
      <c r="D59" s="216">
        <v>0</v>
      </c>
      <c r="E59" s="216">
        <v>0</v>
      </c>
      <c r="F59" s="216">
        <v>0</v>
      </c>
      <c r="G59" s="216">
        <v>0</v>
      </c>
      <c r="H59" s="216">
        <v>0</v>
      </c>
      <c r="I59" s="216">
        <v>0</v>
      </c>
      <c r="J59">
        <v>0</v>
      </c>
      <c r="K59">
        <v>0</v>
      </c>
      <c r="L59" s="87">
        <f t="shared" si="0"/>
        <v>0</v>
      </c>
    </row>
    <row r="60" spans="1:12" ht="15" customHeight="1" x14ac:dyDescent="0.4">
      <c r="A60" s="6">
        <v>59</v>
      </c>
      <c r="B60" t="s">
        <v>227</v>
      </c>
      <c r="C60" s="217">
        <v>0</v>
      </c>
      <c r="D60" s="216">
        <v>3.2164094980409966E-6</v>
      </c>
      <c r="E60" s="216">
        <v>2.4897918985541901E-3</v>
      </c>
      <c r="F60" s="216">
        <v>1.3486406064160723E-2</v>
      </c>
      <c r="G60" s="216">
        <v>7.8182815607668391E-3</v>
      </c>
      <c r="H60" s="216">
        <v>0</v>
      </c>
      <c r="I60" s="216">
        <v>1.1343313503162059E-3</v>
      </c>
      <c r="J60">
        <v>0.38067641894379506</v>
      </c>
      <c r="K60">
        <v>0</v>
      </c>
      <c r="L60" s="87">
        <f t="shared" si="0"/>
        <v>0.40560844622709108</v>
      </c>
    </row>
    <row r="61" spans="1:12" ht="15" customHeight="1" x14ac:dyDescent="0.4">
      <c r="A61" s="6">
        <v>60</v>
      </c>
      <c r="B61" t="s">
        <v>228</v>
      </c>
      <c r="C61" s="217">
        <v>1.0000000000000001E-5</v>
      </c>
      <c r="D61" s="216">
        <v>6.4861485686331368E-8</v>
      </c>
      <c r="E61" s="216">
        <v>5.5779455109990908E-5</v>
      </c>
      <c r="F61" s="216">
        <v>2.7273161674504058E-4</v>
      </c>
      <c r="G61" s="216">
        <v>1.7310031119219005E-4</v>
      </c>
      <c r="H61" s="216">
        <v>0</v>
      </c>
      <c r="I61" s="216">
        <v>2.241923404719447E-5</v>
      </c>
      <c r="J61">
        <v>7.8861644483571424E-3</v>
      </c>
      <c r="K61">
        <v>0</v>
      </c>
      <c r="L61" s="87">
        <f t="shared" si="0"/>
        <v>8.4202599269372451E-3</v>
      </c>
    </row>
    <row r="62" spans="1:12" ht="15" customHeight="1" x14ac:dyDescent="0.4">
      <c r="A62" s="6">
        <v>61</v>
      </c>
      <c r="B62" t="s">
        <v>229</v>
      </c>
      <c r="C62" s="217">
        <v>0</v>
      </c>
      <c r="D62" s="216">
        <v>0</v>
      </c>
      <c r="E62" s="216">
        <v>0</v>
      </c>
      <c r="F62" s="216">
        <v>0</v>
      </c>
      <c r="G62" s="216">
        <v>0</v>
      </c>
      <c r="H62" s="216">
        <v>0</v>
      </c>
      <c r="I62" s="216">
        <v>0</v>
      </c>
      <c r="J62">
        <v>0</v>
      </c>
      <c r="K62">
        <v>0</v>
      </c>
      <c r="L62" s="87">
        <f t="shared" si="0"/>
        <v>0</v>
      </c>
    </row>
    <row r="63" spans="1:12" ht="15" customHeight="1" x14ac:dyDescent="0.4">
      <c r="A63" s="6">
        <v>62</v>
      </c>
      <c r="B63" t="s">
        <v>230</v>
      </c>
      <c r="C63" s="217">
        <v>1.0000000000000001E-5</v>
      </c>
      <c r="D63" s="216">
        <v>5.1193148028907377E-6</v>
      </c>
      <c r="E63" s="216">
        <v>1.3957821831240148E-2</v>
      </c>
      <c r="F63" s="216">
        <v>1.1990079550127078E-3</v>
      </c>
      <c r="G63" s="216">
        <v>4.3219601013293436E-6</v>
      </c>
      <c r="H63" s="216">
        <v>6.4916643754749764E-6</v>
      </c>
      <c r="I63" s="216">
        <v>1.404827251056604E-4</v>
      </c>
      <c r="J63">
        <v>5.408697034519172E-5</v>
      </c>
      <c r="K63">
        <v>0</v>
      </c>
      <c r="L63" s="87">
        <f t="shared" si="0"/>
        <v>1.5377332420983405E-2</v>
      </c>
    </row>
    <row r="64" spans="1:12" ht="15" customHeight="1" x14ac:dyDescent="0.4">
      <c r="A64" s="6">
        <v>63</v>
      </c>
      <c r="B64" t="s">
        <v>231</v>
      </c>
      <c r="C64" s="217">
        <v>0</v>
      </c>
      <c r="D64" s="216">
        <v>0</v>
      </c>
      <c r="E64" s="216">
        <v>0</v>
      </c>
      <c r="F64" s="216">
        <v>0</v>
      </c>
      <c r="G64" s="216">
        <v>0</v>
      </c>
      <c r="H64" s="216">
        <v>0</v>
      </c>
      <c r="I64" s="216">
        <v>0</v>
      </c>
      <c r="J64">
        <v>0</v>
      </c>
      <c r="K64">
        <v>0</v>
      </c>
      <c r="L64" s="87">
        <f t="shared" si="0"/>
        <v>0</v>
      </c>
    </row>
    <row r="65" spans="1:13" ht="15" customHeight="1" x14ac:dyDescent="0.4">
      <c r="A65" s="6">
        <v>64</v>
      </c>
      <c r="B65" t="s">
        <v>232</v>
      </c>
      <c r="C65" s="203">
        <v>4.0657140000000001E-2</v>
      </c>
      <c r="D65" s="231">
        <v>0</v>
      </c>
      <c r="E65" s="216">
        <v>1.3809788871137435E-3</v>
      </c>
      <c r="F65" s="231">
        <v>0</v>
      </c>
      <c r="G65" s="231">
        <v>0</v>
      </c>
      <c r="H65" s="231">
        <v>0</v>
      </c>
      <c r="I65" s="231">
        <v>0</v>
      </c>
      <c r="J65" s="231">
        <v>0</v>
      </c>
      <c r="K65">
        <v>1E-4</v>
      </c>
      <c r="L65" s="87">
        <f t="shared" si="0"/>
        <v>4.2138118887113746E-2</v>
      </c>
      <c r="M65" s="190" t="s">
        <v>489</v>
      </c>
    </row>
    <row r="66" spans="1:13" ht="15" customHeight="1" x14ac:dyDescent="0.4">
      <c r="A66" s="6">
        <v>65</v>
      </c>
      <c r="B66" t="s">
        <v>233</v>
      </c>
      <c r="C66" s="217">
        <v>1.0000000000000001E-5</v>
      </c>
      <c r="D66" s="216">
        <v>0</v>
      </c>
      <c r="E66" s="216">
        <v>0</v>
      </c>
      <c r="F66" s="216">
        <v>0</v>
      </c>
      <c r="G66" s="216">
        <v>0</v>
      </c>
      <c r="H66" s="216">
        <v>0</v>
      </c>
      <c r="I66" s="216">
        <v>0</v>
      </c>
      <c r="J66">
        <v>0</v>
      </c>
      <c r="K66">
        <v>0</v>
      </c>
      <c r="L66" s="87">
        <f t="shared" si="0"/>
        <v>1.0000000000000001E-5</v>
      </c>
    </row>
    <row r="67" spans="1:13" ht="15" customHeight="1" x14ac:dyDescent="0.4">
      <c r="A67" s="6">
        <v>66</v>
      </c>
      <c r="B67" t="s">
        <v>234</v>
      </c>
      <c r="C67" s="217">
        <v>1E-4</v>
      </c>
      <c r="D67" s="216">
        <v>5.347799825131826E-7</v>
      </c>
      <c r="E67" s="216">
        <v>3.6253043276916691E-5</v>
      </c>
      <c r="F67" s="216">
        <v>2.3515984903657502E-5</v>
      </c>
      <c r="G67" s="216">
        <v>7.2845310617922723E-2</v>
      </c>
      <c r="H67" s="216">
        <v>9.4329490885568438E-6</v>
      </c>
      <c r="I67" s="216">
        <v>3.0163015290078234E-6</v>
      </c>
      <c r="J67">
        <v>2.7061479744040317E-6</v>
      </c>
      <c r="K67">
        <v>5.0000000000000001E-3</v>
      </c>
      <c r="L67" s="87">
        <f t="shared" ref="L67:L100" si="1">SUM(C67:K67)</f>
        <v>7.8020769824677788E-2</v>
      </c>
      <c r="M67" s="190" t="s">
        <v>489</v>
      </c>
    </row>
    <row r="68" spans="1:13" ht="15" customHeight="1" x14ac:dyDescent="0.4">
      <c r="A68" s="6">
        <v>67</v>
      </c>
      <c r="B68" t="s">
        <v>235</v>
      </c>
      <c r="C68" s="217">
        <v>0</v>
      </c>
      <c r="D68" s="216">
        <v>0</v>
      </c>
      <c r="E68" s="216">
        <v>0</v>
      </c>
      <c r="F68" s="216">
        <v>0</v>
      </c>
      <c r="G68" s="216">
        <v>0</v>
      </c>
      <c r="H68" s="216">
        <v>0</v>
      </c>
      <c r="I68" s="216">
        <v>0</v>
      </c>
      <c r="J68">
        <v>0</v>
      </c>
      <c r="K68">
        <v>0</v>
      </c>
      <c r="L68" s="87">
        <f t="shared" si="1"/>
        <v>0</v>
      </c>
    </row>
    <row r="69" spans="1:13" ht="15" customHeight="1" x14ac:dyDescent="0.4">
      <c r="A69" s="6">
        <v>68</v>
      </c>
      <c r="B69" t="s">
        <v>236</v>
      </c>
      <c r="C69" s="217">
        <v>0</v>
      </c>
      <c r="D69" s="216">
        <v>0</v>
      </c>
      <c r="E69" s="216">
        <v>0</v>
      </c>
      <c r="F69" s="216">
        <v>0</v>
      </c>
      <c r="G69" s="216">
        <v>0</v>
      </c>
      <c r="H69" s="216">
        <v>0</v>
      </c>
      <c r="I69" s="216">
        <v>0</v>
      </c>
      <c r="J69">
        <v>0</v>
      </c>
      <c r="K69">
        <v>4.2856760747377198E-7</v>
      </c>
      <c r="L69" s="87">
        <f t="shared" si="1"/>
        <v>4.2856760747377198E-7</v>
      </c>
    </row>
    <row r="70" spans="1:13" ht="15" customHeight="1" x14ac:dyDescent="0.4">
      <c r="A70" s="6">
        <v>69</v>
      </c>
      <c r="B70" t="s">
        <v>237</v>
      </c>
      <c r="C70" s="217">
        <v>0</v>
      </c>
      <c r="D70" s="216">
        <v>0</v>
      </c>
      <c r="E70" s="216">
        <v>0</v>
      </c>
      <c r="F70" s="216">
        <v>0</v>
      </c>
      <c r="G70" s="216">
        <v>0</v>
      </c>
      <c r="H70" s="216">
        <v>0</v>
      </c>
      <c r="I70" s="216">
        <v>0</v>
      </c>
      <c r="J70">
        <v>0</v>
      </c>
      <c r="K70">
        <v>0</v>
      </c>
      <c r="L70" s="87">
        <f t="shared" si="1"/>
        <v>0</v>
      </c>
    </row>
    <row r="71" spans="1:13" ht="15" customHeight="1" x14ac:dyDescent="0.4">
      <c r="A71" s="6">
        <v>70</v>
      </c>
      <c r="B71" t="s">
        <v>238</v>
      </c>
      <c r="C71" s="217">
        <v>0</v>
      </c>
      <c r="D71" s="216">
        <v>0</v>
      </c>
      <c r="E71" s="216">
        <v>0</v>
      </c>
      <c r="F71" s="216">
        <v>0</v>
      </c>
      <c r="G71" s="216">
        <v>0</v>
      </c>
      <c r="H71" s="216">
        <v>0</v>
      </c>
      <c r="I71" s="216">
        <v>0</v>
      </c>
      <c r="J71">
        <v>0</v>
      </c>
      <c r="K71">
        <v>0</v>
      </c>
      <c r="L71" s="87">
        <f t="shared" si="1"/>
        <v>0</v>
      </c>
    </row>
    <row r="72" spans="1:13" ht="15" customHeight="1" x14ac:dyDescent="0.4">
      <c r="A72" s="6">
        <v>71</v>
      </c>
      <c r="B72" t="s">
        <v>239</v>
      </c>
      <c r="C72" s="217">
        <v>0</v>
      </c>
      <c r="D72" s="216">
        <v>0</v>
      </c>
      <c r="E72" s="216">
        <v>0</v>
      </c>
      <c r="F72" s="216">
        <v>0</v>
      </c>
      <c r="G72" s="216">
        <v>0</v>
      </c>
      <c r="H72" s="216">
        <v>0</v>
      </c>
      <c r="I72" s="216">
        <v>0</v>
      </c>
      <c r="J72">
        <v>0</v>
      </c>
      <c r="K72">
        <v>0</v>
      </c>
      <c r="L72" s="87">
        <f t="shared" si="1"/>
        <v>0</v>
      </c>
    </row>
    <row r="73" spans="1:13" ht="15" customHeight="1" x14ac:dyDescent="0.4">
      <c r="A73" s="6">
        <v>72</v>
      </c>
      <c r="B73" t="s">
        <v>240</v>
      </c>
      <c r="C73" s="217">
        <v>0</v>
      </c>
      <c r="D73" s="216">
        <v>0</v>
      </c>
      <c r="E73" s="216">
        <v>0</v>
      </c>
      <c r="F73" s="216">
        <v>0</v>
      </c>
      <c r="G73" s="216">
        <v>0</v>
      </c>
      <c r="H73" s="216">
        <v>0</v>
      </c>
      <c r="I73" s="216">
        <v>0</v>
      </c>
      <c r="J73">
        <v>0</v>
      </c>
      <c r="K73">
        <v>0</v>
      </c>
      <c r="L73" s="87">
        <f t="shared" si="1"/>
        <v>0</v>
      </c>
    </row>
    <row r="74" spans="1:13" ht="15" customHeight="1" x14ac:dyDescent="0.4">
      <c r="A74" s="6">
        <v>73</v>
      </c>
      <c r="B74" t="s">
        <v>241</v>
      </c>
      <c r="C74" s="217">
        <v>0</v>
      </c>
      <c r="D74" s="216">
        <v>0</v>
      </c>
      <c r="E74" s="216">
        <v>0</v>
      </c>
      <c r="F74" s="216">
        <v>0</v>
      </c>
      <c r="G74" s="216">
        <v>0</v>
      </c>
      <c r="H74" s="216">
        <v>0</v>
      </c>
      <c r="I74" s="216">
        <v>0</v>
      </c>
      <c r="J74">
        <v>0</v>
      </c>
      <c r="K74">
        <v>0</v>
      </c>
      <c r="L74" s="87">
        <f t="shared" si="1"/>
        <v>0</v>
      </c>
    </row>
    <row r="75" spans="1:13" ht="15" customHeight="1" x14ac:dyDescent="0.4">
      <c r="A75" s="6">
        <v>74</v>
      </c>
      <c r="B75" t="s">
        <v>242</v>
      </c>
      <c r="C75" s="217">
        <v>0</v>
      </c>
      <c r="D75" s="216">
        <v>0</v>
      </c>
      <c r="E75" s="216">
        <v>0</v>
      </c>
      <c r="F75" s="216">
        <v>0</v>
      </c>
      <c r="G75" s="216">
        <v>0</v>
      </c>
      <c r="H75" s="216">
        <v>0</v>
      </c>
      <c r="I75" s="216">
        <v>0</v>
      </c>
      <c r="J75">
        <v>0</v>
      </c>
      <c r="K75">
        <v>0</v>
      </c>
      <c r="L75" s="87">
        <f t="shared" si="1"/>
        <v>0</v>
      </c>
    </row>
    <row r="76" spans="1:13" ht="15" customHeight="1" x14ac:dyDescent="0.4">
      <c r="A76" s="6">
        <v>75</v>
      </c>
      <c r="B76" t="s">
        <v>243</v>
      </c>
      <c r="C76" s="217">
        <v>0</v>
      </c>
      <c r="D76" s="216">
        <v>0</v>
      </c>
      <c r="E76" s="216">
        <v>0</v>
      </c>
      <c r="F76" s="216">
        <v>0</v>
      </c>
      <c r="G76" s="216">
        <v>0</v>
      </c>
      <c r="H76" s="216">
        <v>0</v>
      </c>
      <c r="I76" s="216">
        <v>0</v>
      </c>
      <c r="J76">
        <v>0</v>
      </c>
      <c r="K76">
        <v>0</v>
      </c>
      <c r="L76" s="87">
        <f t="shared" si="1"/>
        <v>0</v>
      </c>
    </row>
    <row r="77" spans="1:13" ht="15" customHeight="1" x14ac:dyDescent="0.4">
      <c r="A77" s="6">
        <v>76</v>
      </c>
      <c r="B77" t="s">
        <v>244</v>
      </c>
      <c r="C77" s="217">
        <v>0</v>
      </c>
      <c r="D77" s="216">
        <v>0</v>
      </c>
      <c r="E77" s="216">
        <v>0</v>
      </c>
      <c r="F77" s="216">
        <v>0</v>
      </c>
      <c r="G77" s="216">
        <v>0</v>
      </c>
      <c r="H77" s="216">
        <v>0</v>
      </c>
      <c r="I77" s="216">
        <v>0</v>
      </c>
      <c r="J77">
        <v>0</v>
      </c>
      <c r="K77">
        <v>0</v>
      </c>
      <c r="L77" s="87">
        <f t="shared" si="1"/>
        <v>0</v>
      </c>
    </row>
    <row r="78" spans="1:13" ht="15" customHeight="1" x14ac:dyDescent="0.4">
      <c r="A78" s="6">
        <v>77</v>
      </c>
      <c r="B78" t="s">
        <v>245</v>
      </c>
      <c r="C78" s="217">
        <v>0</v>
      </c>
      <c r="D78" s="216">
        <v>0</v>
      </c>
      <c r="E78" s="216">
        <v>0</v>
      </c>
      <c r="F78" s="216">
        <v>0</v>
      </c>
      <c r="G78" s="216">
        <v>0</v>
      </c>
      <c r="H78" s="216">
        <v>0</v>
      </c>
      <c r="I78" s="216">
        <v>0</v>
      </c>
      <c r="J78">
        <v>0</v>
      </c>
      <c r="K78">
        <v>0</v>
      </c>
      <c r="L78" s="87">
        <f t="shared" si="1"/>
        <v>0</v>
      </c>
    </row>
    <row r="79" spans="1:13" ht="15" customHeight="1" x14ac:dyDescent="0.4">
      <c r="A79" s="6">
        <v>78</v>
      </c>
      <c r="B79" t="s">
        <v>246</v>
      </c>
      <c r="C79" s="217">
        <v>0</v>
      </c>
      <c r="D79" s="216">
        <v>0</v>
      </c>
      <c r="E79" s="216">
        <v>0</v>
      </c>
      <c r="F79" s="216">
        <v>0</v>
      </c>
      <c r="G79" s="216">
        <v>0</v>
      </c>
      <c r="H79" s="216">
        <v>0</v>
      </c>
      <c r="I79" s="216">
        <v>0</v>
      </c>
      <c r="J79">
        <v>0</v>
      </c>
      <c r="K79">
        <v>0</v>
      </c>
      <c r="L79" s="87">
        <f t="shared" si="1"/>
        <v>0</v>
      </c>
    </row>
    <row r="80" spans="1:13" ht="15" customHeight="1" x14ac:dyDescent="0.4">
      <c r="A80" s="6">
        <v>79</v>
      </c>
      <c r="B80" t="s">
        <v>247</v>
      </c>
      <c r="C80" s="217">
        <v>0</v>
      </c>
      <c r="D80" s="216">
        <v>0</v>
      </c>
      <c r="E80" s="216">
        <v>0</v>
      </c>
      <c r="F80" s="216">
        <v>0</v>
      </c>
      <c r="G80" s="216">
        <v>0</v>
      </c>
      <c r="H80" s="216">
        <v>0</v>
      </c>
      <c r="I80" s="216">
        <v>0</v>
      </c>
      <c r="J80">
        <v>0</v>
      </c>
      <c r="K80">
        <v>0</v>
      </c>
      <c r="L80" s="87">
        <f t="shared" si="1"/>
        <v>0</v>
      </c>
    </row>
    <row r="81" spans="1:12" ht="15" customHeight="1" x14ac:dyDescent="0.4">
      <c r="A81" s="6">
        <v>80</v>
      </c>
      <c r="B81" t="s">
        <v>280</v>
      </c>
      <c r="C81" s="217">
        <v>0</v>
      </c>
      <c r="D81" s="216">
        <v>0</v>
      </c>
      <c r="E81" s="216">
        <v>0</v>
      </c>
      <c r="F81" s="216">
        <v>0</v>
      </c>
      <c r="G81" s="216">
        <v>0</v>
      </c>
      <c r="H81" s="216">
        <v>0</v>
      </c>
      <c r="I81" s="216">
        <v>0</v>
      </c>
      <c r="J81">
        <v>0</v>
      </c>
      <c r="K81">
        <v>0</v>
      </c>
      <c r="L81" s="87">
        <f t="shared" si="1"/>
        <v>0</v>
      </c>
    </row>
    <row r="82" spans="1:12" ht="15" customHeight="1" x14ac:dyDescent="0.4">
      <c r="A82" s="6">
        <v>81</v>
      </c>
      <c r="B82" t="s">
        <v>281</v>
      </c>
      <c r="C82" s="217">
        <v>0</v>
      </c>
      <c r="D82" s="216">
        <v>0</v>
      </c>
      <c r="E82" s="216">
        <v>0</v>
      </c>
      <c r="F82" s="216">
        <v>0</v>
      </c>
      <c r="G82" s="216">
        <v>0</v>
      </c>
      <c r="H82" s="216">
        <v>0</v>
      </c>
      <c r="I82" s="216">
        <v>0</v>
      </c>
      <c r="J82">
        <v>0</v>
      </c>
      <c r="K82">
        <v>0</v>
      </c>
      <c r="L82" s="87">
        <f t="shared" si="1"/>
        <v>0</v>
      </c>
    </row>
    <row r="83" spans="1:12" ht="15" customHeight="1" x14ac:dyDescent="0.4">
      <c r="A83" s="6">
        <v>82</v>
      </c>
      <c r="B83" t="s">
        <v>248</v>
      </c>
      <c r="C83" s="217">
        <v>0</v>
      </c>
      <c r="D83" s="216">
        <v>0</v>
      </c>
      <c r="E83" s="216">
        <v>0</v>
      </c>
      <c r="F83" s="216">
        <v>0</v>
      </c>
      <c r="G83" s="216">
        <v>0</v>
      </c>
      <c r="H83" s="216">
        <v>0</v>
      </c>
      <c r="I83" s="216">
        <v>0</v>
      </c>
      <c r="J83">
        <v>0</v>
      </c>
      <c r="K83">
        <v>0</v>
      </c>
      <c r="L83" s="87">
        <f t="shared" si="1"/>
        <v>0</v>
      </c>
    </row>
    <row r="84" spans="1:12" ht="15" customHeight="1" x14ac:dyDescent="0.4">
      <c r="A84" s="6">
        <v>83</v>
      </c>
      <c r="B84" t="s">
        <v>249</v>
      </c>
      <c r="C84" s="217">
        <v>0</v>
      </c>
      <c r="D84" s="216">
        <v>0</v>
      </c>
      <c r="E84" s="216">
        <v>0</v>
      </c>
      <c r="F84" s="216">
        <v>0</v>
      </c>
      <c r="G84" s="216">
        <v>0</v>
      </c>
      <c r="H84" s="216">
        <v>0</v>
      </c>
      <c r="I84" s="216">
        <v>0</v>
      </c>
      <c r="J84">
        <v>0</v>
      </c>
      <c r="K84">
        <v>0</v>
      </c>
      <c r="L84" s="87">
        <f t="shared" si="1"/>
        <v>0</v>
      </c>
    </row>
    <row r="85" spans="1:12" ht="15" customHeight="1" x14ac:dyDescent="0.4">
      <c r="A85" s="6">
        <v>84</v>
      </c>
      <c r="B85" t="s">
        <v>282</v>
      </c>
      <c r="C85" s="217">
        <v>0</v>
      </c>
      <c r="D85" s="216">
        <v>0</v>
      </c>
      <c r="E85" s="216">
        <v>0</v>
      </c>
      <c r="F85" s="216">
        <v>0</v>
      </c>
      <c r="G85" s="216">
        <v>0</v>
      </c>
      <c r="H85" s="216">
        <v>0</v>
      </c>
      <c r="I85" s="216">
        <v>0</v>
      </c>
      <c r="J85">
        <v>0</v>
      </c>
      <c r="K85">
        <v>0</v>
      </c>
      <c r="L85" s="87">
        <f t="shared" si="1"/>
        <v>0</v>
      </c>
    </row>
    <row r="86" spans="1:12" ht="15" customHeight="1" x14ac:dyDescent="0.4">
      <c r="A86" s="6">
        <v>85</v>
      </c>
      <c r="B86" t="s">
        <v>283</v>
      </c>
      <c r="C86" s="217">
        <v>0</v>
      </c>
      <c r="D86" s="216">
        <v>0</v>
      </c>
      <c r="E86" s="216">
        <v>0</v>
      </c>
      <c r="F86" s="216">
        <v>0</v>
      </c>
      <c r="G86" s="216">
        <v>0</v>
      </c>
      <c r="H86" s="216">
        <v>0</v>
      </c>
      <c r="I86" s="216">
        <v>0</v>
      </c>
      <c r="J86">
        <v>0</v>
      </c>
      <c r="K86">
        <v>0</v>
      </c>
      <c r="L86" s="87">
        <f t="shared" si="1"/>
        <v>0</v>
      </c>
    </row>
    <row r="87" spans="1:12" ht="15" customHeight="1" x14ac:dyDescent="0.4">
      <c r="A87" s="6">
        <v>86</v>
      </c>
      <c r="B87" t="s">
        <v>250</v>
      </c>
      <c r="C87" s="217">
        <v>0</v>
      </c>
      <c r="D87" s="216">
        <v>0</v>
      </c>
      <c r="E87" s="216">
        <v>0</v>
      </c>
      <c r="F87" s="216">
        <v>0</v>
      </c>
      <c r="G87" s="216">
        <v>0</v>
      </c>
      <c r="H87" s="216">
        <v>0</v>
      </c>
      <c r="I87" s="216">
        <v>0</v>
      </c>
      <c r="J87">
        <v>0</v>
      </c>
      <c r="K87">
        <v>0</v>
      </c>
      <c r="L87" s="87">
        <f t="shared" si="1"/>
        <v>0</v>
      </c>
    </row>
    <row r="88" spans="1:12" ht="15" customHeight="1" x14ac:dyDescent="0.4">
      <c r="A88" s="6">
        <v>87</v>
      </c>
      <c r="B88" t="s">
        <v>251</v>
      </c>
      <c r="C88" s="217">
        <v>0</v>
      </c>
      <c r="D88" s="216">
        <v>0</v>
      </c>
      <c r="E88" s="216">
        <v>0</v>
      </c>
      <c r="F88" s="216">
        <v>0</v>
      </c>
      <c r="G88" s="216">
        <v>0</v>
      </c>
      <c r="H88" s="216">
        <v>0</v>
      </c>
      <c r="I88" s="216">
        <v>0</v>
      </c>
      <c r="J88">
        <v>0</v>
      </c>
      <c r="K88">
        <v>0</v>
      </c>
      <c r="L88" s="87">
        <f t="shared" si="1"/>
        <v>0</v>
      </c>
    </row>
    <row r="89" spans="1:12" ht="15" customHeight="1" x14ac:dyDescent="0.4">
      <c r="A89" s="6">
        <v>88</v>
      </c>
      <c r="B89" t="s">
        <v>252</v>
      </c>
      <c r="C89" s="217">
        <v>0</v>
      </c>
      <c r="D89" s="216">
        <v>0</v>
      </c>
      <c r="E89" s="216">
        <v>0</v>
      </c>
      <c r="F89" s="216">
        <v>0</v>
      </c>
      <c r="G89" s="216">
        <v>0</v>
      </c>
      <c r="H89" s="216">
        <v>0</v>
      </c>
      <c r="I89" s="216">
        <v>0</v>
      </c>
      <c r="J89">
        <v>0</v>
      </c>
      <c r="K89">
        <v>0</v>
      </c>
      <c r="L89" s="87">
        <f t="shared" si="1"/>
        <v>0</v>
      </c>
    </row>
    <row r="90" spans="1:12" ht="15" customHeight="1" x14ac:dyDescent="0.4">
      <c r="A90" s="6">
        <v>89</v>
      </c>
      <c r="B90" t="s">
        <v>253</v>
      </c>
      <c r="C90" s="217">
        <v>0</v>
      </c>
      <c r="D90" s="216">
        <v>0</v>
      </c>
      <c r="E90" s="216">
        <v>0</v>
      </c>
      <c r="F90" s="216">
        <v>0</v>
      </c>
      <c r="G90" s="216">
        <v>0</v>
      </c>
      <c r="H90" s="216">
        <v>0</v>
      </c>
      <c r="I90" s="216">
        <v>0</v>
      </c>
      <c r="J90">
        <v>0</v>
      </c>
      <c r="K90">
        <v>0</v>
      </c>
      <c r="L90" s="87">
        <f t="shared" si="1"/>
        <v>0</v>
      </c>
    </row>
    <row r="91" spans="1:12" ht="15" customHeight="1" x14ac:dyDescent="0.4">
      <c r="A91" s="6">
        <v>90</v>
      </c>
      <c r="B91" t="s">
        <v>254</v>
      </c>
      <c r="C91" s="217">
        <v>0</v>
      </c>
      <c r="D91" s="216">
        <v>0</v>
      </c>
      <c r="E91" s="216">
        <v>0</v>
      </c>
      <c r="F91" s="216">
        <v>0</v>
      </c>
      <c r="G91" s="216">
        <v>0</v>
      </c>
      <c r="H91" s="216">
        <v>0</v>
      </c>
      <c r="I91" s="216">
        <v>0</v>
      </c>
      <c r="J91">
        <v>0</v>
      </c>
      <c r="K91">
        <v>0</v>
      </c>
      <c r="L91" s="87">
        <f t="shared" si="1"/>
        <v>0</v>
      </c>
    </row>
    <row r="92" spans="1:12" ht="15" customHeight="1" x14ac:dyDescent="0.4">
      <c r="A92" s="6">
        <v>91</v>
      </c>
      <c r="B92" s="234" t="s">
        <v>433</v>
      </c>
      <c r="C92" s="217">
        <v>0</v>
      </c>
      <c r="D92" s="216">
        <v>0</v>
      </c>
      <c r="E92" s="216">
        <v>0</v>
      </c>
      <c r="F92" s="216">
        <v>0</v>
      </c>
      <c r="G92" s="216">
        <v>0</v>
      </c>
      <c r="H92" s="216">
        <v>0</v>
      </c>
      <c r="I92" s="216">
        <v>0</v>
      </c>
      <c r="J92">
        <v>0</v>
      </c>
      <c r="K92">
        <v>0</v>
      </c>
      <c r="L92" s="87">
        <f t="shared" si="1"/>
        <v>0</v>
      </c>
    </row>
    <row r="93" spans="1:12" ht="15" customHeight="1" x14ac:dyDescent="0.4">
      <c r="A93" s="6">
        <v>92</v>
      </c>
      <c r="B93" s="234" t="s">
        <v>434</v>
      </c>
      <c r="C93" s="217">
        <v>0</v>
      </c>
      <c r="D93" s="216">
        <v>0</v>
      </c>
      <c r="E93" s="216">
        <v>0</v>
      </c>
      <c r="F93" s="216">
        <v>0</v>
      </c>
      <c r="G93" s="216">
        <v>0</v>
      </c>
      <c r="H93" s="216">
        <v>0</v>
      </c>
      <c r="I93" s="216">
        <v>0</v>
      </c>
      <c r="J93">
        <v>0</v>
      </c>
      <c r="K93">
        <v>0</v>
      </c>
      <c r="L93" s="87">
        <f t="shared" si="1"/>
        <v>0</v>
      </c>
    </row>
    <row r="94" spans="1:12" ht="15" customHeight="1" x14ac:dyDescent="0.4">
      <c r="A94" s="6">
        <v>93</v>
      </c>
      <c r="B94" s="234" t="s">
        <v>435</v>
      </c>
      <c r="C94" s="217">
        <v>0</v>
      </c>
      <c r="D94" s="216">
        <v>0</v>
      </c>
      <c r="E94" s="216">
        <v>0</v>
      </c>
      <c r="F94" s="216">
        <v>0</v>
      </c>
      <c r="G94" s="216">
        <v>0</v>
      </c>
      <c r="H94" s="216">
        <v>0</v>
      </c>
      <c r="I94" s="216">
        <v>0</v>
      </c>
      <c r="J94">
        <v>0</v>
      </c>
      <c r="K94">
        <v>0</v>
      </c>
      <c r="L94" s="87">
        <f t="shared" si="1"/>
        <v>0</v>
      </c>
    </row>
    <row r="95" spans="1:12" ht="15" customHeight="1" x14ac:dyDescent="0.4">
      <c r="A95" s="6">
        <v>94</v>
      </c>
      <c r="B95" s="234" t="s">
        <v>436</v>
      </c>
      <c r="C95" s="217">
        <v>0</v>
      </c>
      <c r="D95" s="216">
        <v>0</v>
      </c>
      <c r="E95" s="216">
        <v>0</v>
      </c>
      <c r="F95" s="216">
        <v>0</v>
      </c>
      <c r="G95" s="216">
        <v>0</v>
      </c>
      <c r="H95" s="216">
        <v>0</v>
      </c>
      <c r="I95" s="216">
        <v>0</v>
      </c>
      <c r="J95">
        <v>0</v>
      </c>
      <c r="K95">
        <v>0</v>
      </c>
      <c r="L95" s="87">
        <f t="shared" si="1"/>
        <v>0</v>
      </c>
    </row>
    <row r="96" spans="1:12" ht="15" customHeight="1" x14ac:dyDescent="0.4">
      <c r="A96" s="6">
        <v>95</v>
      </c>
      <c r="B96" s="234" t="s">
        <v>437</v>
      </c>
      <c r="C96" s="217">
        <v>0</v>
      </c>
      <c r="D96" s="216">
        <v>0</v>
      </c>
      <c r="E96" s="216">
        <v>0</v>
      </c>
      <c r="F96" s="216">
        <v>0</v>
      </c>
      <c r="G96" s="216">
        <v>0</v>
      </c>
      <c r="H96" s="216">
        <v>0</v>
      </c>
      <c r="I96" s="216">
        <v>0</v>
      </c>
      <c r="J96">
        <v>0</v>
      </c>
      <c r="K96">
        <v>0</v>
      </c>
      <c r="L96" s="87">
        <f t="shared" si="1"/>
        <v>0</v>
      </c>
    </row>
    <row r="97" spans="1:12" ht="15" customHeight="1" x14ac:dyDescent="0.4">
      <c r="A97" s="6">
        <v>96</v>
      </c>
      <c r="B97" s="234" t="s">
        <v>438</v>
      </c>
      <c r="C97" s="217">
        <v>0</v>
      </c>
      <c r="D97" s="216">
        <v>0</v>
      </c>
      <c r="E97" s="216">
        <v>0</v>
      </c>
      <c r="F97" s="216">
        <v>0</v>
      </c>
      <c r="G97" s="216">
        <v>0</v>
      </c>
      <c r="H97" s="216">
        <v>0</v>
      </c>
      <c r="I97" s="216">
        <v>0</v>
      </c>
      <c r="J97">
        <v>0</v>
      </c>
      <c r="K97">
        <v>0</v>
      </c>
      <c r="L97" s="87">
        <f t="shared" si="1"/>
        <v>0</v>
      </c>
    </row>
    <row r="98" spans="1:12" ht="15" customHeight="1" x14ac:dyDescent="0.4">
      <c r="A98" s="6">
        <v>97</v>
      </c>
      <c r="B98" s="234" t="s">
        <v>439</v>
      </c>
      <c r="C98" s="217">
        <v>0</v>
      </c>
      <c r="D98" s="216">
        <v>0</v>
      </c>
      <c r="E98" s="216">
        <v>0</v>
      </c>
      <c r="F98" s="216">
        <v>0</v>
      </c>
      <c r="G98" s="216">
        <v>0</v>
      </c>
      <c r="H98" s="216">
        <v>0</v>
      </c>
      <c r="I98" s="216">
        <v>0</v>
      </c>
      <c r="J98">
        <v>0</v>
      </c>
      <c r="K98">
        <v>0</v>
      </c>
      <c r="L98" s="87">
        <f t="shared" si="1"/>
        <v>0</v>
      </c>
    </row>
    <row r="99" spans="1:12" ht="15" customHeight="1" x14ac:dyDescent="0.4">
      <c r="A99" s="6">
        <v>98</v>
      </c>
      <c r="B99" s="235" t="s">
        <v>440</v>
      </c>
      <c r="C99" s="217">
        <v>0</v>
      </c>
      <c r="D99" s="216">
        <v>0</v>
      </c>
      <c r="E99" s="216">
        <v>0</v>
      </c>
      <c r="F99" s="216">
        <v>0</v>
      </c>
      <c r="G99" s="216">
        <v>0</v>
      </c>
      <c r="H99" s="216">
        <v>0</v>
      </c>
      <c r="I99" s="216">
        <v>0</v>
      </c>
      <c r="J99">
        <v>0</v>
      </c>
      <c r="K99">
        <v>0</v>
      </c>
      <c r="L99" s="87">
        <f t="shared" si="1"/>
        <v>0</v>
      </c>
    </row>
    <row r="100" spans="1:12" ht="15" customHeight="1" x14ac:dyDescent="0.4">
      <c r="A100" s="6">
        <v>99</v>
      </c>
      <c r="B100" s="235" t="s">
        <v>264</v>
      </c>
      <c r="C100" s="217">
        <v>0</v>
      </c>
      <c r="D100" s="216">
        <v>0</v>
      </c>
      <c r="E100" s="216">
        <v>0</v>
      </c>
      <c r="F100" s="216">
        <v>0</v>
      </c>
      <c r="G100" s="216">
        <v>0</v>
      </c>
      <c r="H100" s="216">
        <v>0</v>
      </c>
      <c r="I100" s="216">
        <v>0</v>
      </c>
      <c r="J100">
        <v>0</v>
      </c>
      <c r="K100">
        <v>0</v>
      </c>
      <c r="L100" s="87">
        <f t="shared" si="1"/>
        <v>0</v>
      </c>
    </row>
  </sheetData>
  <phoneticPr fontId="2" type="noConversion"/>
  <pageMargins left="0.18" right="0.18" top="0.19" bottom="0.18" header="0.18" footer="0.17"/>
  <pageSetup scale="70" fitToWidth="2" fitToHeight="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P100"/>
  <sheetViews>
    <sheetView zoomScale="85" zoomScaleNormal="85" workbookViewId="0">
      <pane xSplit="2" ySplit="1" topLeftCell="C47" activePane="bottomRight" state="frozen"/>
      <selection pane="topRight" activeCell="D1" sqref="D1"/>
      <selection pane="bottomLeft" activeCell="A2" sqref="A2"/>
      <selection pane="bottomRight" activeCell="C67" sqref="C67"/>
    </sheetView>
  </sheetViews>
  <sheetFormatPr defaultColWidth="8.83203125" defaultRowHeight="12.3" x14ac:dyDescent="0.4"/>
  <cols>
    <col min="1" max="1" width="12.6640625" customWidth="1"/>
    <col min="2" max="2" width="46.5" bestFit="1" customWidth="1"/>
    <col min="3" max="3" width="22.5" style="216" customWidth="1"/>
    <col min="4" max="5" width="25.1640625" style="216" customWidth="1"/>
    <col min="6" max="6" width="21.33203125" style="216" customWidth="1"/>
    <col min="7" max="7" width="19.5" style="216" customWidth="1"/>
    <col min="8" max="8" width="23.5" style="216" customWidth="1"/>
    <col min="9" max="9" width="30.33203125" style="216" customWidth="1"/>
    <col min="10" max="10" width="25" style="216" customWidth="1"/>
    <col min="11" max="11" width="22" customWidth="1"/>
    <col min="12" max="12" width="10.83203125" customWidth="1"/>
  </cols>
  <sheetData>
    <row r="1" spans="1:14" s="86" customFormat="1" ht="24.6" x14ac:dyDescent="0.4">
      <c r="A1" s="5" t="s">
        <v>22</v>
      </c>
      <c r="B1" s="46" t="s">
        <v>0</v>
      </c>
      <c r="C1" s="230" t="s">
        <v>433</v>
      </c>
      <c r="D1" s="230" t="s">
        <v>434</v>
      </c>
      <c r="E1" s="230" t="s">
        <v>435</v>
      </c>
      <c r="F1" s="230" t="s">
        <v>436</v>
      </c>
      <c r="G1" s="230" t="s">
        <v>437</v>
      </c>
      <c r="H1" s="230" t="s">
        <v>438</v>
      </c>
      <c r="I1" s="230" t="s">
        <v>439</v>
      </c>
      <c r="J1" s="88" t="s">
        <v>440</v>
      </c>
      <c r="K1" s="249" t="s">
        <v>264</v>
      </c>
      <c r="L1" s="86" t="s">
        <v>11</v>
      </c>
    </row>
    <row r="2" spans="1:14" x14ac:dyDescent="0.4">
      <c r="A2" s="6">
        <v>1</v>
      </c>
      <c r="B2" t="s">
        <v>177</v>
      </c>
      <c r="C2" s="216">
        <v>0</v>
      </c>
      <c r="D2" s="216">
        <v>0</v>
      </c>
      <c r="E2" s="216">
        <v>0</v>
      </c>
      <c r="F2" s="216">
        <v>0</v>
      </c>
      <c r="G2" s="216">
        <v>0</v>
      </c>
      <c r="H2" s="216">
        <v>0</v>
      </c>
      <c r="I2" s="216">
        <v>0</v>
      </c>
      <c r="J2" s="216">
        <v>0</v>
      </c>
      <c r="K2" s="220">
        <v>0</v>
      </c>
      <c r="L2" s="87">
        <f>SUM(C2:K2)</f>
        <v>0</v>
      </c>
      <c r="N2" s="38" t="s">
        <v>456</v>
      </c>
    </row>
    <row r="3" spans="1:14" x14ac:dyDescent="0.4">
      <c r="A3" s="6">
        <v>2</v>
      </c>
      <c r="B3" t="s">
        <v>178</v>
      </c>
      <c r="C3" s="216">
        <v>0</v>
      </c>
      <c r="D3" s="216">
        <v>0</v>
      </c>
      <c r="E3" s="216">
        <v>0</v>
      </c>
      <c r="F3" s="216">
        <v>0</v>
      </c>
      <c r="G3" s="216">
        <v>0</v>
      </c>
      <c r="H3" s="216">
        <v>0</v>
      </c>
      <c r="I3" s="216">
        <v>0</v>
      </c>
      <c r="J3" s="216">
        <v>0</v>
      </c>
      <c r="K3" s="220">
        <v>0</v>
      </c>
      <c r="L3" s="87">
        <f t="shared" ref="L3:L66" si="0">SUM(C3:K3)</f>
        <v>0</v>
      </c>
    </row>
    <row r="4" spans="1:14" x14ac:dyDescent="0.4">
      <c r="A4" s="6">
        <v>3</v>
      </c>
      <c r="B4" t="s">
        <v>179</v>
      </c>
      <c r="C4" s="216">
        <v>0</v>
      </c>
      <c r="D4" s="216">
        <v>0</v>
      </c>
      <c r="E4" s="216">
        <v>0</v>
      </c>
      <c r="F4" s="216">
        <v>0</v>
      </c>
      <c r="G4" s="216">
        <v>0</v>
      </c>
      <c r="H4" s="216">
        <v>0</v>
      </c>
      <c r="I4" s="216">
        <v>0</v>
      </c>
      <c r="J4" s="216">
        <v>0</v>
      </c>
      <c r="K4" s="220">
        <v>0</v>
      </c>
      <c r="L4" s="87">
        <f t="shared" si="0"/>
        <v>0</v>
      </c>
    </row>
    <row r="5" spans="1:14" x14ac:dyDescent="0.4">
      <c r="A5" s="6">
        <v>4</v>
      </c>
      <c r="B5" t="s">
        <v>180</v>
      </c>
      <c r="C5" s="216">
        <v>0</v>
      </c>
      <c r="D5" s="216">
        <v>0</v>
      </c>
      <c r="E5" s="216">
        <v>0</v>
      </c>
      <c r="F5" s="216">
        <v>0</v>
      </c>
      <c r="G5" s="216">
        <v>0</v>
      </c>
      <c r="H5" s="216">
        <v>0</v>
      </c>
      <c r="I5" s="216">
        <v>0</v>
      </c>
      <c r="J5" s="216">
        <v>0</v>
      </c>
      <c r="K5" s="220">
        <v>0</v>
      </c>
      <c r="L5" s="87">
        <f t="shared" si="0"/>
        <v>0</v>
      </c>
    </row>
    <row r="6" spans="1:14" x14ac:dyDescent="0.4">
      <c r="A6" s="6">
        <v>5</v>
      </c>
      <c r="B6" t="s">
        <v>181</v>
      </c>
      <c r="C6" s="216">
        <v>0</v>
      </c>
      <c r="D6" s="216">
        <v>0</v>
      </c>
      <c r="E6" s="216">
        <v>0</v>
      </c>
      <c r="F6" s="216">
        <v>0</v>
      </c>
      <c r="G6" s="216">
        <v>0</v>
      </c>
      <c r="H6" s="216">
        <v>0</v>
      </c>
      <c r="I6" s="216">
        <v>0</v>
      </c>
      <c r="J6" s="216">
        <v>0</v>
      </c>
      <c r="K6" s="220">
        <v>0</v>
      </c>
      <c r="L6" s="87">
        <f t="shared" si="0"/>
        <v>0</v>
      </c>
    </row>
    <row r="7" spans="1:14" x14ac:dyDescent="0.4">
      <c r="A7" s="6">
        <v>6</v>
      </c>
      <c r="B7" t="s">
        <v>182</v>
      </c>
      <c r="C7" s="216">
        <v>0</v>
      </c>
      <c r="D7" s="216">
        <v>0</v>
      </c>
      <c r="E7" s="216">
        <v>0</v>
      </c>
      <c r="F7" s="216">
        <v>0</v>
      </c>
      <c r="G7" s="216">
        <v>0</v>
      </c>
      <c r="H7" s="216">
        <v>0</v>
      </c>
      <c r="I7" s="216">
        <v>0</v>
      </c>
      <c r="J7" s="216">
        <v>0</v>
      </c>
      <c r="K7" s="220">
        <v>0</v>
      </c>
      <c r="L7" s="87">
        <f t="shared" si="0"/>
        <v>0</v>
      </c>
    </row>
    <row r="8" spans="1:14" x14ac:dyDescent="0.4">
      <c r="A8" s="6">
        <v>7</v>
      </c>
      <c r="B8" t="s">
        <v>183</v>
      </c>
      <c r="C8" s="216">
        <v>0</v>
      </c>
      <c r="D8" s="216">
        <v>0</v>
      </c>
      <c r="E8" s="216">
        <v>0</v>
      </c>
      <c r="F8" s="216">
        <v>0</v>
      </c>
      <c r="G8" s="216">
        <v>0</v>
      </c>
      <c r="H8" s="216">
        <v>0</v>
      </c>
      <c r="I8" s="216">
        <v>0</v>
      </c>
      <c r="J8" s="216">
        <v>0</v>
      </c>
      <c r="K8" s="220">
        <v>0</v>
      </c>
      <c r="L8" s="87">
        <f t="shared" si="0"/>
        <v>0</v>
      </c>
    </row>
    <row r="9" spans="1:14" x14ac:dyDescent="0.4">
      <c r="A9" s="6">
        <v>8</v>
      </c>
      <c r="B9" t="s">
        <v>184</v>
      </c>
      <c r="C9" s="216">
        <v>0</v>
      </c>
      <c r="D9" s="216">
        <v>0</v>
      </c>
      <c r="E9" s="216">
        <v>0</v>
      </c>
      <c r="F9" s="216">
        <v>0</v>
      </c>
      <c r="G9" s="216">
        <v>0</v>
      </c>
      <c r="H9" s="216">
        <v>0</v>
      </c>
      <c r="I9" s="216">
        <v>0</v>
      </c>
      <c r="J9" s="216">
        <v>0</v>
      </c>
      <c r="K9" s="220">
        <v>0</v>
      </c>
      <c r="L9" s="87">
        <f t="shared" si="0"/>
        <v>0</v>
      </c>
    </row>
    <row r="10" spans="1:14" x14ac:dyDescent="0.4">
      <c r="A10" s="6">
        <v>9</v>
      </c>
      <c r="B10" t="s">
        <v>185</v>
      </c>
      <c r="C10" s="216">
        <v>0</v>
      </c>
      <c r="D10" s="216">
        <v>0</v>
      </c>
      <c r="E10" s="216">
        <v>0</v>
      </c>
      <c r="F10" s="216">
        <v>0</v>
      </c>
      <c r="G10" s="216">
        <v>0</v>
      </c>
      <c r="H10" s="216">
        <v>0</v>
      </c>
      <c r="I10" s="216">
        <v>0</v>
      </c>
      <c r="J10" s="216">
        <v>0</v>
      </c>
      <c r="K10" s="220">
        <v>0</v>
      </c>
      <c r="L10" s="87">
        <f t="shared" si="0"/>
        <v>0</v>
      </c>
    </row>
    <row r="11" spans="1:14" x14ac:dyDescent="0.4">
      <c r="A11" s="6">
        <v>10</v>
      </c>
      <c r="B11" t="s">
        <v>186</v>
      </c>
      <c r="C11" s="216">
        <v>0</v>
      </c>
      <c r="D11" s="216">
        <v>0</v>
      </c>
      <c r="E11" s="216">
        <v>0</v>
      </c>
      <c r="F11" s="216">
        <v>0</v>
      </c>
      <c r="G11" s="216">
        <v>0</v>
      </c>
      <c r="H11" s="216">
        <v>0</v>
      </c>
      <c r="I11" s="216">
        <v>0</v>
      </c>
      <c r="J11" s="216">
        <v>0</v>
      </c>
      <c r="K11" s="220">
        <v>0</v>
      </c>
      <c r="L11" s="87">
        <f t="shared" si="0"/>
        <v>0</v>
      </c>
    </row>
    <row r="12" spans="1:14" x14ac:dyDescent="0.4">
      <c r="A12" s="6">
        <v>11</v>
      </c>
      <c r="B12" t="s">
        <v>187</v>
      </c>
      <c r="C12" s="216">
        <v>0</v>
      </c>
      <c r="D12" s="216">
        <v>0</v>
      </c>
      <c r="E12" s="216">
        <v>0</v>
      </c>
      <c r="F12" s="216">
        <v>0</v>
      </c>
      <c r="G12" s="216">
        <v>0</v>
      </c>
      <c r="H12" s="216">
        <v>0</v>
      </c>
      <c r="I12" s="216">
        <v>0</v>
      </c>
      <c r="J12" s="216">
        <v>0</v>
      </c>
      <c r="K12" s="220">
        <v>0</v>
      </c>
      <c r="L12" s="87">
        <f t="shared" si="0"/>
        <v>0</v>
      </c>
    </row>
    <row r="13" spans="1:14" x14ac:dyDescent="0.4">
      <c r="A13" s="6">
        <v>12</v>
      </c>
      <c r="B13" t="s">
        <v>188</v>
      </c>
      <c r="C13" s="216">
        <v>0</v>
      </c>
      <c r="D13" s="216">
        <v>0</v>
      </c>
      <c r="E13" s="216">
        <v>0</v>
      </c>
      <c r="F13" s="216">
        <v>0</v>
      </c>
      <c r="G13" s="216">
        <v>0</v>
      </c>
      <c r="H13" s="216">
        <v>0</v>
      </c>
      <c r="I13" s="216">
        <v>0</v>
      </c>
      <c r="J13" s="216">
        <v>0</v>
      </c>
      <c r="K13" s="220">
        <v>0</v>
      </c>
      <c r="L13" s="87">
        <f t="shared" si="0"/>
        <v>0</v>
      </c>
    </row>
    <row r="14" spans="1:14" x14ac:dyDescent="0.4">
      <c r="A14" s="6">
        <v>13</v>
      </c>
      <c r="B14" t="s">
        <v>189</v>
      </c>
      <c r="C14" s="216">
        <v>0</v>
      </c>
      <c r="D14" s="216">
        <v>0</v>
      </c>
      <c r="E14" s="216">
        <v>0</v>
      </c>
      <c r="F14" s="216">
        <v>0</v>
      </c>
      <c r="G14" s="216">
        <v>0</v>
      </c>
      <c r="H14" s="216">
        <v>0</v>
      </c>
      <c r="I14" s="216">
        <v>0</v>
      </c>
      <c r="J14" s="216">
        <v>0</v>
      </c>
      <c r="K14" s="220">
        <v>0</v>
      </c>
      <c r="L14" s="87">
        <f t="shared" si="0"/>
        <v>0</v>
      </c>
    </row>
    <row r="15" spans="1:14" x14ac:dyDescent="0.4">
      <c r="A15" s="6">
        <v>14</v>
      </c>
      <c r="B15" t="s">
        <v>273</v>
      </c>
      <c r="C15" s="216">
        <v>0</v>
      </c>
      <c r="D15" s="216">
        <v>0</v>
      </c>
      <c r="E15" s="216">
        <v>0</v>
      </c>
      <c r="F15" s="216">
        <v>0</v>
      </c>
      <c r="G15" s="216">
        <v>0</v>
      </c>
      <c r="H15" s="216">
        <v>0</v>
      </c>
      <c r="I15" s="216">
        <v>0</v>
      </c>
      <c r="J15" s="216">
        <v>0</v>
      </c>
      <c r="K15" s="220">
        <v>0</v>
      </c>
      <c r="L15" s="87">
        <f t="shared" si="0"/>
        <v>0</v>
      </c>
    </row>
    <row r="16" spans="1:14" x14ac:dyDescent="0.4">
      <c r="A16" s="6">
        <v>15</v>
      </c>
      <c r="B16" t="s">
        <v>190</v>
      </c>
      <c r="C16" s="216">
        <v>0</v>
      </c>
      <c r="D16" s="216">
        <v>0</v>
      </c>
      <c r="E16" s="216">
        <v>0</v>
      </c>
      <c r="F16" s="216">
        <v>0</v>
      </c>
      <c r="G16" s="216">
        <v>0</v>
      </c>
      <c r="H16" s="216">
        <v>0</v>
      </c>
      <c r="I16" s="216">
        <v>0</v>
      </c>
      <c r="J16" s="216">
        <v>0</v>
      </c>
      <c r="K16" s="220">
        <v>0</v>
      </c>
      <c r="L16" s="87">
        <f t="shared" si="0"/>
        <v>0</v>
      </c>
    </row>
    <row r="17" spans="1:12" x14ac:dyDescent="0.4">
      <c r="A17" s="6">
        <v>16</v>
      </c>
      <c r="B17" t="s">
        <v>191</v>
      </c>
      <c r="C17" s="216">
        <v>0</v>
      </c>
      <c r="D17" s="216">
        <v>0</v>
      </c>
      <c r="E17" s="216">
        <v>0</v>
      </c>
      <c r="F17" s="216">
        <v>0</v>
      </c>
      <c r="G17" s="216">
        <v>0</v>
      </c>
      <c r="H17" s="216">
        <v>0</v>
      </c>
      <c r="I17" s="216">
        <v>0</v>
      </c>
      <c r="J17" s="216">
        <v>0</v>
      </c>
      <c r="K17" s="220">
        <v>0</v>
      </c>
      <c r="L17" s="87">
        <f t="shared" si="0"/>
        <v>0</v>
      </c>
    </row>
    <row r="18" spans="1:12" ht="15" customHeight="1" x14ac:dyDescent="0.4">
      <c r="A18" s="6">
        <v>17</v>
      </c>
      <c r="B18" t="s">
        <v>192</v>
      </c>
      <c r="C18" s="216">
        <v>0</v>
      </c>
      <c r="D18" s="216">
        <v>0</v>
      </c>
      <c r="E18" s="216">
        <v>0</v>
      </c>
      <c r="F18" s="216">
        <v>6.8149934401365547E-4</v>
      </c>
      <c r="G18" s="216">
        <v>0</v>
      </c>
      <c r="H18" s="216">
        <v>0</v>
      </c>
      <c r="I18" s="216">
        <v>0</v>
      </c>
      <c r="J18" s="216">
        <v>0</v>
      </c>
      <c r="K18" s="220">
        <v>0</v>
      </c>
      <c r="L18" s="87">
        <f t="shared" si="0"/>
        <v>6.8149934401365547E-4</v>
      </c>
    </row>
    <row r="19" spans="1:12" ht="15" customHeight="1" x14ac:dyDescent="0.4">
      <c r="A19" s="6">
        <v>18</v>
      </c>
      <c r="B19" t="s">
        <v>193</v>
      </c>
      <c r="C19" s="216">
        <v>0</v>
      </c>
      <c r="D19" s="216">
        <v>0</v>
      </c>
      <c r="E19" s="216">
        <v>0</v>
      </c>
      <c r="F19" s="216">
        <v>0</v>
      </c>
      <c r="G19" s="216">
        <v>0</v>
      </c>
      <c r="H19" s="216">
        <v>0</v>
      </c>
      <c r="I19" s="216">
        <v>0</v>
      </c>
      <c r="J19" s="216">
        <v>0</v>
      </c>
      <c r="K19" s="220">
        <v>0</v>
      </c>
      <c r="L19" s="87">
        <f t="shared" si="0"/>
        <v>0</v>
      </c>
    </row>
    <row r="20" spans="1:12" ht="15" customHeight="1" x14ac:dyDescent="0.4">
      <c r="A20" s="6">
        <v>19</v>
      </c>
      <c r="B20" t="s">
        <v>194</v>
      </c>
      <c r="C20" s="216">
        <v>0</v>
      </c>
      <c r="D20" s="216">
        <v>0</v>
      </c>
      <c r="E20" s="216">
        <v>0</v>
      </c>
      <c r="F20" s="216">
        <v>0</v>
      </c>
      <c r="G20" s="216">
        <v>0</v>
      </c>
      <c r="H20" s="216">
        <v>0</v>
      </c>
      <c r="I20" s="216">
        <v>0</v>
      </c>
      <c r="J20" s="216">
        <v>2.1710573539165349E-4</v>
      </c>
      <c r="K20" s="220">
        <v>0</v>
      </c>
      <c r="L20" s="87">
        <f t="shared" si="0"/>
        <v>2.1710573539165349E-4</v>
      </c>
    </row>
    <row r="21" spans="1:12" ht="15" customHeight="1" x14ac:dyDescent="0.4">
      <c r="A21" s="6">
        <v>20</v>
      </c>
      <c r="B21" t="s">
        <v>195</v>
      </c>
      <c r="C21" s="216">
        <v>0</v>
      </c>
      <c r="D21" s="216">
        <v>0</v>
      </c>
      <c r="E21" s="216">
        <v>0</v>
      </c>
      <c r="F21" s="216">
        <v>0</v>
      </c>
      <c r="G21" s="216">
        <v>0</v>
      </c>
      <c r="H21" s="216">
        <v>0</v>
      </c>
      <c r="I21" s="216">
        <v>0</v>
      </c>
      <c r="J21" s="216">
        <v>0</v>
      </c>
      <c r="K21" s="220">
        <v>0</v>
      </c>
      <c r="L21" s="87">
        <f t="shared" si="0"/>
        <v>0</v>
      </c>
    </row>
    <row r="22" spans="1:12" ht="15" customHeight="1" x14ac:dyDescent="0.4">
      <c r="A22" s="6">
        <v>21</v>
      </c>
      <c r="B22" t="s">
        <v>196</v>
      </c>
      <c r="C22" s="216">
        <v>0</v>
      </c>
      <c r="D22" s="216">
        <v>0</v>
      </c>
      <c r="E22" s="216">
        <v>0</v>
      </c>
      <c r="F22" s="216">
        <v>2.7314777231209463E-3</v>
      </c>
      <c r="G22" s="216">
        <v>0</v>
      </c>
      <c r="H22" s="216">
        <v>0</v>
      </c>
      <c r="I22" s="216">
        <v>0</v>
      </c>
      <c r="J22" s="216">
        <v>0</v>
      </c>
      <c r="K22" s="220">
        <v>0</v>
      </c>
      <c r="L22" s="87">
        <f t="shared" si="0"/>
        <v>2.7314777231209463E-3</v>
      </c>
    </row>
    <row r="23" spans="1:12" ht="15" customHeight="1" x14ac:dyDescent="0.4">
      <c r="A23" s="6">
        <v>22</v>
      </c>
      <c r="B23" t="s">
        <v>197</v>
      </c>
      <c r="C23" s="216">
        <v>0</v>
      </c>
      <c r="D23" s="216">
        <v>0</v>
      </c>
      <c r="E23" s="216">
        <v>0</v>
      </c>
      <c r="F23" s="216">
        <v>0</v>
      </c>
      <c r="G23" s="216">
        <v>0</v>
      </c>
      <c r="H23" s="216">
        <v>0</v>
      </c>
      <c r="I23" s="216">
        <v>0</v>
      </c>
      <c r="J23" s="216">
        <v>0</v>
      </c>
      <c r="K23" s="220">
        <v>0</v>
      </c>
      <c r="L23" s="87">
        <f t="shared" si="0"/>
        <v>0</v>
      </c>
    </row>
    <row r="24" spans="1:12" ht="15" customHeight="1" x14ac:dyDescent="0.4">
      <c r="A24" s="6">
        <v>23</v>
      </c>
      <c r="B24" t="s">
        <v>198</v>
      </c>
      <c r="C24" s="216">
        <v>0</v>
      </c>
      <c r="D24" s="216">
        <v>0</v>
      </c>
      <c r="E24" s="216">
        <v>0</v>
      </c>
      <c r="F24" s="216">
        <v>2.7314777231209463E-3</v>
      </c>
      <c r="G24" s="216">
        <v>0</v>
      </c>
      <c r="H24" s="216">
        <v>0</v>
      </c>
      <c r="I24" s="216">
        <v>0</v>
      </c>
      <c r="J24" s="216">
        <v>0</v>
      </c>
      <c r="K24" s="220">
        <v>0</v>
      </c>
      <c r="L24" s="87">
        <f t="shared" si="0"/>
        <v>2.7314777231209463E-3</v>
      </c>
    </row>
    <row r="25" spans="1:12" ht="15" customHeight="1" x14ac:dyDescent="0.4">
      <c r="A25" s="6">
        <v>24</v>
      </c>
      <c r="B25" t="s">
        <v>199</v>
      </c>
      <c r="C25" s="216">
        <v>0</v>
      </c>
      <c r="D25" s="216">
        <v>0</v>
      </c>
      <c r="E25" s="216">
        <v>0</v>
      </c>
      <c r="F25" s="216">
        <v>0</v>
      </c>
      <c r="G25" s="216">
        <v>0</v>
      </c>
      <c r="H25" s="216">
        <v>0</v>
      </c>
      <c r="I25" s="216">
        <v>0</v>
      </c>
      <c r="J25" s="216">
        <v>0</v>
      </c>
      <c r="K25" s="220">
        <v>0</v>
      </c>
      <c r="L25" s="87">
        <f t="shared" si="0"/>
        <v>0</v>
      </c>
    </row>
    <row r="26" spans="1:12" ht="15" customHeight="1" x14ac:dyDescent="0.4">
      <c r="A26" s="6">
        <v>25</v>
      </c>
      <c r="B26" t="s">
        <v>265</v>
      </c>
      <c r="C26" s="216">
        <v>0</v>
      </c>
      <c r="D26" s="216">
        <v>0</v>
      </c>
      <c r="E26" s="216">
        <v>0</v>
      </c>
      <c r="F26" s="216">
        <v>0</v>
      </c>
      <c r="G26" s="216">
        <v>0</v>
      </c>
      <c r="H26" s="216">
        <v>0</v>
      </c>
      <c r="I26" s="216">
        <v>0</v>
      </c>
      <c r="J26" s="216">
        <v>0</v>
      </c>
      <c r="K26" s="220">
        <v>0</v>
      </c>
      <c r="L26" s="87">
        <f t="shared" si="0"/>
        <v>0</v>
      </c>
    </row>
    <row r="27" spans="1:12" ht="15" customHeight="1" x14ac:dyDescent="0.4">
      <c r="A27" s="6">
        <v>26</v>
      </c>
      <c r="B27" t="s">
        <v>274</v>
      </c>
      <c r="C27" s="216">
        <v>0</v>
      </c>
      <c r="D27" s="216">
        <v>0</v>
      </c>
      <c r="E27" s="216">
        <v>0</v>
      </c>
      <c r="F27" s="216">
        <v>0</v>
      </c>
      <c r="G27" s="216">
        <v>0</v>
      </c>
      <c r="H27" s="216">
        <v>0</v>
      </c>
      <c r="I27" s="216">
        <v>0</v>
      </c>
      <c r="J27" s="216">
        <v>0</v>
      </c>
      <c r="K27" s="220">
        <v>0</v>
      </c>
      <c r="L27" s="87">
        <f t="shared" si="0"/>
        <v>0</v>
      </c>
    </row>
    <row r="28" spans="1:12" ht="15" customHeight="1" x14ac:dyDescent="0.4">
      <c r="A28" s="6">
        <v>27</v>
      </c>
      <c r="B28" t="s">
        <v>275</v>
      </c>
      <c r="C28" s="216">
        <v>0</v>
      </c>
      <c r="D28" s="216">
        <v>0</v>
      </c>
      <c r="E28" s="216">
        <v>0</v>
      </c>
      <c r="F28" s="216">
        <v>0</v>
      </c>
      <c r="G28" s="216">
        <v>0</v>
      </c>
      <c r="H28" s="216">
        <v>0</v>
      </c>
      <c r="I28" s="216">
        <v>0</v>
      </c>
      <c r="J28" s="216">
        <v>0</v>
      </c>
      <c r="K28" s="220">
        <v>0</v>
      </c>
      <c r="L28" s="87">
        <f t="shared" si="0"/>
        <v>0</v>
      </c>
    </row>
    <row r="29" spans="1:12" ht="15" customHeight="1" x14ac:dyDescent="0.4">
      <c r="A29" s="6">
        <v>28</v>
      </c>
      <c r="B29" t="s">
        <v>276</v>
      </c>
      <c r="C29" s="216">
        <v>0</v>
      </c>
      <c r="D29" s="216">
        <v>0</v>
      </c>
      <c r="E29" s="216">
        <v>0</v>
      </c>
      <c r="F29" s="216">
        <v>0</v>
      </c>
      <c r="G29" s="216">
        <v>0</v>
      </c>
      <c r="H29" s="216">
        <v>0</v>
      </c>
      <c r="I29" s="216">
        <v>0</v>
      </c>
      <c r="J29" s="216">
        <v>0</v>
      </c>
      <c r="K29" s="220">
        <v>0</v>
      </c>
      <c r="L29" s="87">
        <f t="shared" si="0"/>
        <v>0</v>
      </c>
    </row>
    <row r="30" spans="1:12" ht="15" customHeight="1" x14ac:dyDescent="0.4">
      <c r="A30" s="6">
        <v>29</v>
      </c>
      <c r="B30" t="s">
        <v>277</v>
      </c>
      <c r="C30" s="216">
        <v>0</v>
      </c>
      <c r="D30" s="216">
        <v>0</v>
      </c>
      <c r="E30" s="216">
        <v>0</v>
      </c>
      <c r="F30" s="216">
        <v>0</v>
      </c>
      <c r="G30" s="216">
        <v>0</v>
      </c>
      <c r="H30" s="216">
        <v>0</v>
      </c>
      <c r="I30" s="216">
        <v>0</v>
      </c>
      <c r="J30" s="216">
        <v>0</v>
      </c>
      <c r="K30" s="220">
        <v>0</v>
      </c>
      <c r="L30" s="87">
        <f t="shared" si="0"/>
        <v>0</v>
      </c>
    </row>
    <row r="31" spans="1:12" ht="15" customHeight="1" x14ac:dyDescent="0.4">
      <c r="A31" s="6">
        <v>30</v>
      </c>
      <c r="B31" t="s">
        <v>278</v>
      </c>
      <c r="C31" s="216">
        <v>0</v>
      </c>
      <c r="D31" s="216">
        <v>0</v>
      </c>
      <c r="E31" s="216">
        <v>0</v>
      </c>
      <c r="F31" s="216">
        <v>0</v>
      </c>
      <c r="G31" s="216">
        <v>0</v>
      </c>
      <c r="H31" s="216">
        <v>0</v>
      </c>
      <c r="I31" s="216">
        <v>0</v>
      </c>
      <c r="J31" s="216">
        <v>0</v>
      </c>
      <c r="K31" s="220">
        <v>0</v>
      </c>
      <c r="L31" s="87">
        <f t="shared" si="0"/>
        <v>0</v>
      </c>
    </row>
    <row r="32" spans="1:12" ht="15" customHeight="1" x14ac:dyDescent="0.4">
      <c r="A32" s="6">
        <v>31</v>
      </c>
      <c r="B32" t="s">
        <v>279</v>
      </c>
      <c r="C32" s="216">
        <v>0</v>
      </c>
      <c r="D32" s="216">
        <v>0</v>
      </c>
      <c r="E32" s="216">
        <v>0</v>
      </c>
      <c r="F32" s="216">
        <v>0</v>
      </c>
      <c r="G32" s="216">
        <v>0</v>
      </c>
      <c r="H32" s="216">
        <v>0</v>
      </c>
      <c r="I32" s="216">
        <v>0</v>
      </c>
      <c r="J32" s="216">
        <v>0</v>
      </c>
      <c r="K32" s="220">
        <v>0</v>
      </c>
      <c r="L32" s="87">
        <f t="shared" si="0"/>
        <v>0</v>
      </c>
    </row>
    <row r="33" spans="1:12" ht="15" customHeight="1" x14ac:dyDescent="0.4">
      <c r="A33" s="6">
        <v>32</v>
      </c>
      <c r="B33" t="s">
        <v>200</v>
      </c>
      <c r="C33" s="216">
        <v>0</v>
      </c>
      <c r="D33" s="216">
        <v>0</v>
      </c>
      <c r="E33" s="216">
        <v>0</v>
      </c>
      <c r="F33" s="216">
        <v>0</v>
      </c>
      <c r="G33" s="216">
        <v>0</v>
      </c>
      <c r="H33" s="216">
        <v>0</v>
      </c>
      <c r="I33" s="216">
        <v>0</v>
      </c>
      <c r="J33" s="216">
        <v>0</v>
      </c>
      <c r="K33" s="220">
        <v>0</v>
      </c>
      <c r="L33" s="87">
        <f t="shared" si="0"/>
        <v>0</v>
      </c>
    </row>
    <row r="34" spans="1:12" ht="15" customHeight="1" x14ac:dyDescent="0.4">
      <c r="A34" s="6">
        <v>33</v>
      </c>
      <c r="B34" t="s">
        <v>201</v>
      </c>
      <c r="C34" s="216">
        <v>0</v>
      </c>
      <c r="D34" s="216">
        <v>0</v>
      </c>
      <c r="E34" s="216">
        <v>0</v>
      </c>
      <c r="F34" s="216">
        <v>0</v>
      </c>
      <c r="G34" s="216">
        <v>0</v>
      </c>
      <c r="H34" s="216">
        <v>0</v>
      </c>
      <c r="I34" s="216">
        <v>0</v>
      </c>
      <c r="J34" s="216">
        <v>0</v>
      </c>
      <c r="K34" s="220">
        <v>0</v>
      </c>
      <c r="L34" s="87">
        <f t="shared" si="0"/>
        <v>0</v>
      </c>
    </row>
    <row r="35" spans="1:12" ht="15" customHeight="1" x14ac:dyDescent="0.4">
      <c r="A35" s="6">
        <v>34</v>
      </c>
      <c r="B35" t="s">
        <v>202</v>
      </c>
      <c r="C35" s="216">
        <v>0</v>
      </c>
      <c r="D35" s="216">
        <v>9.7755864414735851E-5</v>
      </c>
      <c r="E35" s="216">
        <v>1.6451224171401337E-4</v>
      </c>
      <c r="F35" s="216">
        <v>0</v>
      </c>
      <c r="G35" s="216">
        <v>1.2444013543983334E-3</v>
      </c>
      <c r="H35" s="216">
        <v>5.4548614945137665E-5</v>
      </c>
      <c r="I35" s="216">
        <v>4.9888189510460066E-3</v>
      </c>
      <c r="J35" s="216">
        <v>4.9619897826857216E-4</v>
      </c>
      <c r="K35" s="220">
        <v>0</v>
      </c>
      <c r="L35" s="87">
        <f t="shared" si="0"/>
        <v>7.0462360047867986E-3</v>
      </c>
    </row>
    <row r="36" spans="1:12" ht="15" customHeight="1" x14ac:dyDescent="0.4">
      <c r="A36" s="6">
        <v>35</v>
      </c>
      <c r="B36" t="s">
        <v>203</v>
      </c>
      <c r="C36" s="216">
        <v>0</v>
      </c>
      <c r="D36" s="216">
        <v>0</v>
      </c>
      <c r="E36" s="216">
        <v>0</v>
      </c>
      <c r="F36" s="216">
        <v>0</v>
      </c>
      <c r="G36" s="216">
        <v>0</v>
      </c>
      <c r="H36" s="216">
        <v>0</v>
      </c>
      <c r="I36" s="216">
        <v>0</v>
      </c>
      <c r="J36" s="216">
        <v>0</v>
      </c>
      <c r="K36" s="220">
        <v>0</v>
      </c>
      <c r="L36" s="87">
        <f t="shared" si="0"/>
        <v>0</v>
      </c>
    </row>
    <row r="37" spans="1:12" ht="15" customHeight="1" x14ac:dyDescent="0.4">
      <c r="A37" s="6">
        <v>36</v>
      </c>
      <c r="B37" t="s">
        <v>204</v>
      </c>
      <c r="C37" s="216">
        <v>0</v>
      </c>
      <c r="D37" s="216">
        <v>0</v>
      </c>
      <c r="E37" s="216">
        <v>0</v>
      </c>
      <c r="F37" s="216">
        <v>0</v>
      </c>
      <c r="G37" s="216">
        <v>0</v>
      </c>
      <c r="H37" s="216">
        <v>0</v>
      </c>
      <c r="I37" s="216">
        <v>0</v>
      </c>
      <c r="J37" s="216">
        <v>0</v>
      </c>
      <c r="K37" s="220">
        <v>0</v>
      </c>
      <c r="L37" s="87">
        <f t="shared" si="0"/>
        <v>0</v>
      </c>
    </row>
    <row r="38" spans="1:12" ht="15" customHeight="1" x14ac:dyDescent="0.4">
      <c r="A38" s="6">
        <v>37</v>
      </c>
      <c r="B38" t="s">
        <v>205</v>
      </c>
      <c r="C38" s="216">
        <v>0</v>
      </c>
      <c r="D38" s="216">
        <v>0</v>
      </c>
      <c r="E38" s="216">
        <v>0</v>
      </c>
      <c r="F38" s="216">
        <v>0</v>
      </c>
      <c r="G38" s="216">
        <v>0</v>
      </c>
      <c r="H38" s="216">
        <v>0</v>
      </c>
      <c r="I38" s="216">
        <v>0</v>
      </c>
      <c r="J38" s="216">
        <v>0</v>
      </c>
      <c r="K38" s="220">
        <v>0</v>
      </c>
      <c r="L38" s="87">
        <f t="shared" si="0"/>
        <v>0</v>
      </c>
    </row>
    <row r="39" spans="1:12" ht="15" customHeight="1" x14ac:dyDescent="0.4">
      <c r="A39" s="6">
        <v>38</v>
      </c>
      <c r="B39" t="s">
        <v>206</v>
      </c>
      <c r="C39" s="216">
        <v>0</v>
      </c>
      <c r="D39" s="216">
        <v>0</v>
      </c>
      <c r="E39" s="216">
        <v>0</v>
      </c>
      <c r="F39" s="216">
        <v>0</v>
      </c>
      <c r="G39" s="216">
        <v>0</v>
      </c>
      <c r="H39" s="216">
        <v>0</v>
      </c>
      <c r="I39" s="216">
        <v>0</v>
      </c>
      <c r="J39" s="216">
        <v>0</v>
      </c>
      <c r="K39" s="220">
        <v>0</v>
      </c>
      <c r="L39" s="87">
        <f t="shared" si="0"/>
        <v>0</v>
      </c>
    </row>
    <row r="40" spans="1:12" ht="15" customHeight="1" x14ac:dyDescent="0.4">
      <c r="A40" s="6">
        <v>39</v>
      </c>
      <c r="B40" t="s">
        <v>207</v>
      </c>
      <c r="C40" s="216">
        <v>0</v>
      </c>
      <c r="D40" s="216">
        <v>0</v>
      </c>
      <c r="E40" s="216">
        <v>0</v>
      </c>
      <c r="F40" s="216">
        <v>1.4618155911299774E-3</v>
      </c>
      <c r="G40" s="216">
        <v>0</v>
      </c>
      <c r="H40" s="216">
        <v>0</v>
      </c>
      <c r="I40" s="216">
        <v>0</v>
      </c>
      <c r="J40" s="216">
        <v>0</v>
      </c>
      <c r="K40" s="220">
        <v>0</v>
      </c>
      <c r="L40" s="87">
        <f t="shared" si="0"/>
        <v>1.4618155911299774E-3</v>
      </c>
    </row>
    <row r="41" spans="1:12" ht="15" customHeight="1" x14ac:dyDescent="0.4">
      <c r="A41" s="6">
        <v>40</v>
      </c>
      <c r="B41" t="s">
        <v>208</v>
      </c>
      <c r="C41" s="216">
        <v>0</v>
      </c>
      <c r="D41" s="216">
        <v>0</v>
      </c>
      <c r="E41" s="216">
        <v>0</v>
      </c>
      <c r="F41" s="216">
        <v>2.6271794541107086E-3</v>
      </c>
      <c r="G41" s="216">
        <v>0</v>
      </c>
      <c r="H41" s="216">
        <v>0</v>
      </c>
      <c r="I41" s="216">
        <v>0</v>
      </c>
      <c r="J41" s="216">
        <v>0</v>
      </c>
      <c r="K41" s="220">
        <v>0</v>
      </c>
      <c r="L41" s="87">
        <f t="shared" si="0"/>
        <v>2.6271794541107086E-3</v>
      </c>
    </row>
    <row r="42" spans="1:12" ht="15" customHeight="1" x14ac:dyDescent="0.4">
      <c r="A42" s="6">
        <v>41</v>
      </c>
      <c r="B42" t="s">
        <v>209</v>
      </c>
      <c r="C42" s="216">
        <v>0</v>
      </c>
      <c r="D42" s="216">
        <v>9.7906132853372435E-5</v>
      </c>
      <c r="E42" s="216">
        <v>8.594961667456688E-5</v>
      </c>
      <c r="F42" s="216">
        <v>0</v>
      </c>
      <c r="G42" s="216">
        <v>1.2843215034619706E-3</v>
      </c>
      <c r="H42" s="216">
        <v>2.7991249097030448E-5</v>
      </c>
      <c r="I42" s="216">
        <v>1.8089125857258614E-4</v>
      </c>
      <c r="J42" s="216">
        <v>1.4446244508117194E-6</v>
      </c>
      <c r="K42" s="220">
        <v>0</v>
      </c>
      <c r="L42" s="87">
        <f t="shared" si="0"/>
        <v>1.6785043851103385E-3</v>
      </c>
    </row>
    <row r="43" spans="1:12" ht="15" customHeight="1" x14ac:dyDescent="0.4">
      <c r="A43" s="6">
        <v>42</v>
      </c>
      <c r="B43" t="s">
        <v>210</v>
      </c>
      <c r="C43" s="216">
        <v>0</v>
      </c>
      <c r="D43" s="216">
        <v>4.4440930407084928E-4</v>
      </c>
      <c r="E43" s="216">
        <v>9.7088103776724489E-3</v>
      </c>
      <c r="F43" s="216">
        <v>0</v>
      </c>
      <c r="G43" s="216">
        <v>3.1146013534491695E-3</v>
      </c>
      <c r="H43" s="216">
        <v>3.2236736145521945E-3</v>
      </c>
      <c r="I43" s="216">
        <v>1.2570037331499306E-2</v>
      </c>
      <c r="J43" s="216">
        <v>9.0774896416407163E-5</v>
      </c>
      <c r="K43" s="220">
        <v>0</v>
      </c>
      <c r="L43" s="87">
        <f t="shared" si="0"/>
        <v>2.9152306877660378E-2</v>
      </c>
    </row>
    <row r="44" spans="1:12" ht="15" customHeight="1" x14ac:dyDescent="0.4">
      <c r="A44" s="6">
        <v>43</v>
      </c>
      <c r="B44" t="s">
        <v>211</v>
      </c>
      <c r="C44" s="216">
        <v>0</v>
      </c>
      <c r="D44" s="216">
        <v>2.0861174528146382E-6</v>
      </c>
      <c r="E44" s="216">
        <v>4.6115769340117744E-5</v>
      </c>
      <c r="F44" s="216">
        <v>0</v>
      </c>
      <c r="G44" s="216">
        <v>1.4579220897068971E-5</v>
      </c>
      <c r="H44" s="216">
        <v>1.4934837035926649E-5</v>
      </c>
      <c r="I44" s="216">
        <v>1.9376513710483392E-2</v>
      </c>
      <c r="J44" s="216">
        <v>3.1778588642478747E-2</v>
      </c>
      <c r="K44" s="220">
        <v>0</v>
      </c>
      <c r="L44" s="87">
        <f t="shared" si="0"/>
        <v>5.1232818297688068E-2</v>
      </c>
    </row>
    <row r="45" spans="1:12" ht="15" customHeight="1" x14ac:dyDescent="0.4">
      <c r="A45" s="6">
        <v>44</v>
      </c>
      <c r="B45" t="s">
        <v>212</v>
      </c>
      <c r="C45" s="216">
        <v>0</v>
      </c>
      <c r="D45" s="216">
        <v>4.2112281129761529E-6</v>
      </c>
      <c r="E45" s="216">
        <v>5.2016977210655174E-6</v>
      </c>
      <c r="F45" s="216">
        <v>0</v>
      </c>
      <c r="G45" s="216">
        <v>5.5070282830612554E-5</v>
      </c>
      <c r="H45" s="216">
        <v>1.6762313449050428E-6</v>
      </c>
      <c r="I45" s="216">
        <v>1.1427300479690927E-3</v>
      </c>
      <c r="J45" s="216">
        <v>2.7508752714053205E-6</v>
      </c>
      <c r="K45" s="220">
        <v>0</v>
      </c>
      <c r="L45" s="87">
        <f t="shared" si="0"/>
        <v>1.2116403632500574E-3</v>
      </c>
    </row>
    <row r="46" spans="1:12" ht="15" customHeight="1" x14ac:dyDescent="0.4">
      <c r="A46" s="6">
        <v>45</v>
      </c>
      <c r="B46" t="s">
        <v>213</v>
      </c>
      <c r="C46" s="216">
        <v>0</v>
      </c>
      <c r="D46" s="216">
        <v>1.7722003359979901E-4</v>
      </c>
      <c r="E46" s="216">
        <v>3.8894202018334655E-3</v>
      </c>
      <c r="F46" s="216">
        <v>0</v>
      </c>
      <c r="G46" s="216">
        <v>1.2340088958441495E-3</v>
      </c>
      <c r="H46" s="216">
        <v>1.2880306867911991E-3</v>
      </c>
      <c r="I46" s="216">
        <v>2.3154339396838095E-3</v>
      </c>
      <c r="J46" s="216">
        <v>1.6390509690071623E-5</v>
      </c>
      <c r="K46" s="220">
        <v>0</v>
      </c>
      <c r="L46" s="87">
        <f t="shared" si="0"/>
        <v>8.9205042674424945E-3</v>
      </c>
    </row>
    <row r="47" spans="1:12" ht="15" customHeight="1" x14ac:dyDescent="0.4">
      <c r="A47" s="6">
        <v>46</v>
      </c>
      <c r="B47" t="s">
        <v>214</v>
      </c>
      <c r="C47" s="216">
        <v>0</v>
      </c>
      <c r="D47" s="216">
        <v>4.3496592191359025E-5</v>
      </c>
      <c r="E47" s="216">
        <v>3.2925938449399154E-4</v>
      </c>
      <c r="F47" s="216">
        <v>0</v>
      </c>
      <c r="G47" s="216">
        <v>4.8659874934356352E-4</v>
      </c>
      <c r="H47" s="216">
        <v>1.0979763318987345E-4</v>
      </c>
      <c r="I47" s="216">
        <v>4.9809826489592419E-4</v>
      </c>
      <c r="J47" s="216">
        <v>8.5494909513117216E-6</v>
      </c>
      <c r="K47" s="220">
        <v>0</v>
      </c>
      <c r="L47" s="87">
        <f t="shared" si="0"/>
        <v>1.4758001150660235E-3</v>
      </c>
    </row>
    <row r="48" spans="1:12" ht="15" customHeight="1" x14ac:dyDescent="0.4">
      <c r="A48" s="6">
        <v>47</v>
      </c>
      <c r="B48" t="s">
        <v>215</v>
      </c>
      <c r="C48" s="216">
        <v>0</v>
      </c>
      <c r="D48" s="216">
        <v>5.1011419694091029E-4</v>
      </c>
      <c r="E48" s="216">
        <v>1.1228331678752966E-2</v>
      </c>
      <c r="F48" s="216">
        <v>0</v>
      </c>
      <c r="G48" s="216">
        <v>3.7746759982731607E-3</v>
      </c>
      <c r="H48" s="216">
        <v>3.6761782410692488E-3</v>
      </c>
      <c r="I48" s="216">
        <v>1.7248842819678468E-2</v>
      </c>
      <c r="J48" s="216">
        <v>4.3197987734712738E-4</v>
      </c>
      <c r="K48" s="220">
        <v>0</v>
      </c>
      <c r="L48" s="87">
        <f t="shared" si="0"/>
        <v>3.6870122812061881E-2</v>
      </c>
    </row>
    <row r="49" spans="1:16" ht="15" customHeight="1" x14ac:dyDescent="0.4">
      <c r="A49" s="6">
        <v>48</v>
      </c>
      <c r="B49" t="s">
        <v>216</v>
      </c>
      <c r="C49" s="216">
        <v>0</v>
      </c>
      <c r="D49" s="216">
        <v>2.1784593694208808E-4</v>
      </c>
      <c r="E49" s="216">
        <v>4.8753616542453167E-3</v>
      </c>
      <c r="F49" s="216">
        <v>0</v>
      </c>
      <c r="G49" s="216">
        <v>1.5375529505324969E-3</v>
      </c>
      <c r="H49" s="216">
        <v>1.6007807309780726E-3</v>
      </c>
      <c r="I49" s="216">
        <v>1.1576073996798253E-2</v>
      </c>
      <c r="J49" s="216">
        <v>3.257463935222923E-5</v>
      </c>
      <c r="K49" s="220">
        <v>0</v>
      </c>
      <c r="L49" s="87">
        <f t="shared" si="0"/>
        <v>1.9840189908848452E-2</v>
      </c>
    </row>
    <row r="50" spans="1:16" ht="15" customHeight="1" x14ac:dyDescent="0.4">
      <c r="A50" s="6">
        <v>49</v>
      </c>
      <c r="B50" t="s">
        <v>217</v>
      </c>
      <c r="C50" s="216">
        <v>0</v>
      </c>
      <c r="D50" s="216">
        <v>8.0846519032843538E-5</v>
      </c>
      <c r="E50" s="216">
        <v>1.6948983215994749E-4</v>
      </c>
      <c r="F50" s="216">
        <v>0</v>
      </c>
      <c r="G50" s="216">
        <v>1.0135050824387963E-3</v>
      </c>
      <c r="H50" s="216">
        <v>5.5734380965407318E-5</v>
      </c>
      <c r="I50" s="216">
        <v>2.3816996460626245E-3</v>
      </c>
      <c r="J50" s="216">
        <v>1.1156597147673804E-5</v>
      </c>
      <c r="K50" s="220">
        <v>0</v>
      </c>
      <c r="L50" s="87">
        <f t="shared" si="0"/>
        <v>3.7124320578072931E-3</v>
      </c>
      <c r="P50" s="38" t="s">
        <v>267</v>
      </c>
    </row>
    <row r="51" spans="1:16" ht="15" customHeight="1" x14ac:dyDescent="0.4">
      <c r="A51" s="6">
        <v>50</v>
      </c>
      <c r="B51" t="s">
        <v>218</v>
      </c>
      <c r="C51" s="216">
        <v>0</v>
      </c>
      <c r="D51" s="216">
        <v>2.6700794326910653E-4</v>
      </c>
      <c r="E51" s="216">
        <v>1.8504025722844064E-3</v>
      </c>
      <c r="F51" s="216">
        <v>0</v>
      </c>
      <c r="G51" s="216">
        <v>3.0020594376661616E-3</v>
      </c>
      <c r="H51" s="216">
        <v>6.1013548019626192E-4</v>
      </c>
      <c r="I51" s="216">
        <v>7.3372584360028694E-3</v>
      </c>
      <c r="J51" s="216">
        <v>2.6053109166088493E-4</v>
      </c>
      <c r="K51" s="220">
        <v>0</v>
      </c>
      <c r="L51" s="87">
        <f t="shared" si="0"/>
        <v>1.3327394961079691E-2</v>
      </c>
    </row>
    <row r="52" spans="1:16" ht="15" customHeight="1" x14ac:dyDescent="0.4">
      <c r="A52" s="6">
        <v>51</v>
      </c>
      <c r="B52" t="s">
        <v>219</v>
      </c>
      <c r="C52" s="216">
        <v>0</v>
      </c>
      <c r="D52" s="216">
        <v>1.3149977091164459E-7</v>
      </c>
      <c r="E52" s="216">
        <v>3.1246835318294621E-6</v>
      </c>
      <c r="F52" s="216">
        <v>0</v>
      </c>
      <c r="G52" s="216">
        <v>9.6534815313806443E-7</v>
      </c>
      <c r="H52" s="216">
        <v>1.0028213163549695E-6</v>
      </c>
      <c r="I52" s="216">
        <v>6.6096843241162699E-5</v>
      </c>
      <c r="J52" s="216">
        <v>3.9514337774080284E-7</v>
      </c>
      <c r="K52" s="220">
        <v>0</v>
      </c>
      <c r="L52" s="87">
        <f t="shared" si="0"/>
        <v>7.1716339391137646E-5</v>
      </c>
    </row>
    <row r="53" spans="1:16" ht="15" customHeight="1" x14ac:dyDescent="0.4">
      <c r="A53" s="6">
        <v>52</v>
      </c>
      <c r="B53" t="s">
        <v>220</v>
      </c>
      <c r="C53" s="216">
        <v>0</v>
      </c>
      <c r="D53" s="216">
        <v>1.6248473806212398E-5</v>
      </c>
      <c r="E53" s="216">
        <v>3.5979946633717661E-4</v>
      </c>
      <c r="F53" s="216">
        <v>0</v>
      </c>
      <c r="G53" s="216">
        <v>1.1389505853744436E-4</v>
      </c>
      <c r="H53" s="216">
        <v>1.1814811304560206E-4</v>
      </c>
      <c r="I53" s="216">
        <v>1.1026542235041691E-2</v>
      </c>
      <c r="J53" s="216">
        <v>3.3160784263253887E-4</v>
      </c>
      <c r="K53" s="220">
        <v>0</v>
      </c>
      <c r="L53" s="87">
        <f t="shared" si="0"/>
        <v>1.1966241189400666E-2</v>
      </c>
    </row>
    <row r="54" spans="1:16" ht="15" customHeight="1" x14ac:dyDescent="0.4">
      <c r="A54" s="6">
        <v>53</v>
      </c>
      <c r="B54" t="s">
        <v>221</v>
      </c>
      <c r="C54" s="216">
        <v>0</v>
      </c>
      <c r="D54" s="216">
        <v>3.6860946651054164E-8</v>
      </c>
      <c r="E54" s="216">
        <v>9.0134923168317042E-7</v>
      </c>
      <c r="F54" s="216">
        <v>0</v>
      </c>
      <c r="G54" s="216">
        <v>2.7883492984788882E-7</v>
      </c>
      <c r="H54" s="216">
        <v>2.8746346978530991E-7</v>
      </c>
      <c r="I54" s="216">
        <v>3.7967651462247191E-3</v>
      </c>
      <c r="J54" s="216">
        <v>2.6832846209013266E-3</v>
      </c>
      <c r="K54" s="220">
        <v>0</v>
      </c>
      <c r="L54" s="87">
        <f t="shared" si="0"/>
        <v>6.4815542757040131E-3</v>
      </c>
    </row>
    <row r="55" spans="1:16" ht="15" customHeight="1" x14ac:dyDescent="0.4">
      <c r="A55" s="6">
        <v>54</v>
      </c>
      <c r="B55" t="s">
        <v>222</v>
      </c>
      <c r="C55" s="216">
        <v>0</v>
      </c>
      <c r="D55" s="216">
        <v>3.9522962880420604E-5</v>
      </c>
      <c r="E55" s="216">
        <v>8.7771720202657469E-4</v>
      </c>
      <c r="F55" s="216">
        <v>0</v>
      </c>
      <c r="G55" s="216">
        <v>2.7792479978314426E-4</v>
      </c>
      <c r="H55" s="216">
        <v>2.8771270370696724E-4</v>
      </c>
      <c r="I55" s="216">
        <v>2.7452879702904304E-3</v>
      </c>
      <c r="J55" s="216">
        <v>0</v>
      </c>
      <c r="K55" s="220">
        <v>0</v>
      </c>
      <c r="L55" s="87">
        <f t="shared" si="0"/>
        <v>4.2281656386875376E-3</v>
      </c>
    </row>
    <row r="56" spans="1:16" ht="15" customHeight="1" x14ac:dyDescent="0.4">
      <c r="A56" s="6">
        <v>55</v>
      </c>
      <c r="B56" t="s">
        <v>223</v>
      </c>
      <c r="C56" s="216">
        <v>0</v>
      </c>
      <c r="D56" s="216">
        <v>0</v>
      </c>
      <c r="E56" s="216">
        <v>0</v>
      </c>
      <c r="F56" s="216">
        <v>0</v>
      </c>
      <c r="G56" s="216">
        <v>0</v>
      </c>
      <c r="H56" s="216">
        <v>0</v>
      </c>
      <c r="I56" s="216">
        <v>0</v>
      </c>
      <c r="J56" s="216">
        <v>0</v>
      </c>
      <c r="K56" s="220">
        <v>0</v>
      </c>
      <c r="L56" s="87">
        <f t="shared" si="0"/>
        <v>0</v>
      </c>
    </row>
    <row r="57" spans="1:16" ht="15" customHeight="1" x14ac:dyDescent="0.4">
      <c r="A57" s="6">
        <v>56</v>
      </c>
      <c r="B57" t="s">
        <v>224</v>
      </c>
      <c r="C57" s="216">
        <v>0</v>
      </c>
      <c r="D57" s="216">
        <v>0</v>
      </c>
      <c r="E57" s="216">
        <v>0</v>
      </c>
      <c r="F57" s="216">
        <v>0</v>
      </c>
      <c r="G57" s="216">
        <v>0</v>
      </c>
      <c r="H57" s="216">
        <v>0</v>
      </c>
      <c r="I57" s="216">
        <v>0</v>
      </c>
      <c r="J57" s="216">
        <v>0</v>
      </c>
      <c r="K57" s="220">
        <v>0</v>
      </c>
      <c r="L57" s="87">
        <f t="shared" si="0"/>
        <v>0</v>
      </c>
    </row>
    <row r="58" spans="1:16" ht="15" customHeight="1" x14ac:dyDescent="0.4">
      <c r="A58" s="6">
        <v>57</v>
      </c>
      <c r="B58" t="s">
        <v>225</v>
      </c>
      <c r="C58" s="216">
        <v>0</v>
      </c>
      <c r="D58" s="216">
        <v>0</v>
      </c>
      <c r="E58" s="216">
        <v>0</v>
      </c>
      <c r="F58" s="216">
        <v>0</v>
      </c>
      <c r="G58" s="216">
        <v>0</v>
      </c>
      <c r="H58" s="216">
        <v>0</v>
      </c>
      <c r="I58" s="216">
        <v>0</v>
      </c>
      <c r="J58" s="216">
        <v>0</v>
      </c>
      <c r="K58" s="220">
        <v>0</v>
      </c>
      <c r="L58" s="87">
        <f t="shared" si="0"/>
        <v>0</v>
      </c>
    </row>
    <row r="59" spans="1:16" ht="15" customHeight="1" x14ac:dyDescent="0.4">
      <c r="A59" s="6">
        <v>58</v>
      </c>
      <c r="B59" t="s">
        <v>226</v>
      </c>
      <c r="C59" s="216">
        <v>0</v>
      </c>
      <c r="D59" s="216">
        <v>0</v>
      </c>
      <c r="E59" s="216">
        <v>0</v>
      </c>
      <c r="F59" s="216">
        <v>0</v>
      </c>
      <c r="G59" s="216">
        <v>0</v>
      </c>
      <c r="H59" s="216">
        <v>0</v>
      </c>
      <c r="I59" s="216">
        <v>0</v>
      </c>
      <c r="J59" s="216">
        <v>0</v>
      </c>
      <c r="K59" s="220">
        <v>0</v>
      </c>
      <c r="L59" s="87">
        <f t="shared" si="0"/>
        <v>0</v>
      </c>
    </row>
    <row r="60" spans="1:16" ht="15" customHeight="1" x14ac:dyDescent="0.4">
      <c r="A60" s="6">
        <v>59</v>
      </c>
      <c r="B60" t="s">
        <v>227</v>
      </c>
      <c r="C60" s="216">
        <v>0</v>
      </c>
      <c r="D60" s="216">
        <v>0</v>
      </c>
      <c r="E60" s="216">
        <v>0</v>
      </c>
      <c r="F60" s="216">
        <v>0</v>
      </c>
      <c r="G60" s="216">
        <v>0</v>
      </c>
      <c r="H60" s="216">
        <v>0</v>
      </c>
      <c r="I60" s="216">
        <v>0</v>
      </c>
      <c r="J60" s="216">
        <v>7.1260848385904544E-3</v>
      </c>
      <c r="K60" s="220">
        <v>0</v>
      </c>
      <c r="L60" s="87">
        <f t="shared" si="0"/>
        <v>7.1260848385904544E-3</v>
      </c>
    </row>
    <row r="61" spans="1:16" ht="15" customHeight="1" x14ac:dyDescent="0.4">
      <c r="A61" s="6">
        <v>60</v>
      </c>
      <c r="B61" t="s">
        <v>228</v>
      </c>
      <c r="C61" s="217">
        <v>1.0000000000000001E-5</v>
      </c>
      <c r="D61" s="216">
        <v>0</v>
      </c>
      <c r="E61" s="216">
        <v>0</v>
      </c>
      <c r="F61" s="216">
        <v>0</v>
      </c>
      <c r="G61" s="216">
        <v>0</v>
      </c>
      <c r="H61" s="216">
        <v>0</v>
      </c>
      <c r="I61" s="216">
        <v>0</v>
      </c>
      <c r="J61" s="216">
        <v>0</v>
      </c>
      <c r="K61" s="220">
        <v>0</v>
      </c>
      <c r="L61" s="87">
        <f t="shared" si="0"/>
        <v>1.0000000000000001E-5</v>
      </c>
    </row>
    <row r="62" spans="1:16" ht="15" customHeight="1" x14ac:dyDescent="0.4">
      <c r="A62" s="6">
        <v>61</v>
      </c>
      <c r="B62" t="s">
        <v>229</v>
      </c>
      <c r="C62" s="217">
        <v>0</v>
      </c>
      <c r="D62" s="216">
        <v>0</v>
      </c>
      <c r="E62" s="216">
        <v>0</v>
      </c>
      <c r="F62" s="216">
        <v>0</v>
      </c>
      <c r="G62" s="216">
        <v>0</v>
      </c>
      <c r="H62" s="216">
        <v>0</v>
      </c>
      <c r="I62" s="216">
        <v>0</v>
      </c>
      <c r="J62" s="216">
        <v>0</v>
      </c>
      <c r="K62" s="220">
        <v>0</v>
      </c>
      <c r="L62" s="87">
        <f t="shared" si="0"/>
        <v>0</v>
      </c>
    </row>
    <row r="63" spans="1:16" ht="15" customHeight="1" x14ac:dyDescent="0.4">
      <c r="A63" s="6">
        <v>62</v>
      </c>
      <c r="B63" t="s">
        <v>230</v>
      </c>
      <c r="C63" s="217">
        <v>1.0000000000000001E-5</v>
      </c>
      <c r="D63" s="216">
        <v>0</v>
      </c>
      <c r="E63" s="216">
        <v>0</v>
      </c>
      <c r="F63" s="216">
        <v>0</v>
      </c>
      <c r="G63" s="216">
        <v>0</v>
      </c>
      <c r="H63" s="216">
        <v>0</v>
      </c>
      <c r="I63" s="216">
        <v>0</v>
      </c>
      <c r="J63" s="216">
        <v>0</v>
      </c>
      <c r="K63" s="220">
        <v>0</v>
      </c>
      <c r="L63" s="87">
        <f t="shared" si="0"/>
        <v>1.0000000000000001E-5</v>
      </c>
    </row>
    <row r="64" spans="1:16" ht="15" customHeight="1" x14ac:dyDescent="0.4">
      <c r="A64" s="6">
        <v>63</v>
      </c>
      <c r="B64" t="s">
        <v>231</v>
      </c>
      <c r="C64" s="217">
        <v>0</v>
      </c>
      <c r="D64" s="216">
        <v>0</v>
      </c>
      <c r="E64" s="216">
        <v>0</v>
      </c>
      <c r="F64" s="216">
        <v>0</v>
      </c>
      <c r="G64" s="216">
        <v>0</v>
      </c>
      <c r="H64" s="216">
        <v>0</v>
      </c>
      <c r="I64" s="216">
        <v>0</v>
      </c>
      <c r="J64" s="216">
        <v>0</v>
      </c>
      <c r="K64" s="220">
        <v>0</v>
      </c>
      <c r="L64" s="87">
        <f t="shared" si="0"/>
        <v>0</v>
      </c>
    </row>
    <row r="65" spans="1:12" ht="15" customHeight="1" x14ac:dyDescent="0.4">
      <c r="A65" s="6">
        <v>64</v>
      </c>
      <c r="B65" t="s">
        <v>232</v>
      </c>
      <c r="C65" s="200">
        <v>0</v>
      </c>
      <c r="D65" s="216">
        <v>0</v>
      </c>
      <c r="E65" s="216">
        <v>0</v>
      </c>
      <c r="F65" s="216">
        <v>0</v>
      </c>
      <c r="G65" s="216">
        <v>0</v>
      </c>
      <c r="H65" s="216">
        <v>0</v>
      </c>
      <c r="I65" s="216">
        <v>0</v>
      </c>
      <c r="J65" s="216">
        <v>0</v>
      </c>
      <c r="K65" s="220">
        <v>0</v>
      </c>
      <c r="L65" s="87">
        <f t="shared" si="0"/>
        <v>0</v>
      </c>
    </row>
    <row r="66" spans="1:12" ht="15" customHeight="1" x14ac:dyDescent="0.4">
      <c r="A66" s="6">
        <v>65</v>
      </c>
      <c r="B66" t="s">
        <v>233</v>
      </c>
      <c r="C66" s="217">
        <v>1.0000000000000001E-5</v>
      </c>
      <c r="D66" s="216">
        <v>0</v>
      </c>
      <c r="E66" s="216">
        <v>0</v>
      </c>
      <c r="F66" s="216">
        <v>0</v>
      </c>
      <c r="G66" s="216">
        <v>0</v>
      </c>
      <c r="H66" s="216">
        <v>0</v>
      </c>
      <c r="I66" s="216">
        <v>0</v>
      </c>
      <c r="J66" s="216">
        <v>0</v>
      </c>
      <c r="K66" s="220">
        <v>0</v>
      </c>
      <c r="L66" s="87">
        <f t="shared" si="0"/>
        <v>1.0000000000000001E-5</v>
      </c>
    </row>
    <row r="67" spans="1:12" ht="15" customHeight="1" x14ac:dyDescent="0.4">
      <c r="A67" s="6">
        <v>66</v>
      </c>
      <c r="B67" t="s">
        <v>234</v>
      </c>
      <c r="C67" s="217">
        <v>1E-4</v>
      </c>
      <c r="D67" s="216">
        <v>1.2899493016540122E-5</v>
      </c>
      <c r="E67" s="216">
        <v>4.4060265161358028E-5</v>
      </c>
      <c r="F67" s="216">
        <v>0</v>
      </c>
      <c r="G67" s="216">
        <v>1.5812678711815624E-4</v>
      </c>
      <c r="H67" s="216">
        <v>1.4343286915979647E-5</v>
      </c>
      <c r="I67" s="216">
        <v>3.0803989826155976E-3</v>
      </c>
      <c r="J67" s="216">
        <v>7.517968762033633E-6</v>
      </c>
      <c r="K67" s="220">
        <v>0</v>
      </c>
      <c r="L67" s="87">
        <f>SUM(C67:K67)</f>
        <v>3.4173467835896653E-3</v>
      </c>
    </row>
    <row r="68" spans="1:12" ht="15" customHeight="1" x14ac:dyDescent="0.4">
      <c r="A68" s="6">
        <v>67</v>
      </c>
      <c r="B68" t="s">
        <v>235</v>
      </c>
      <c r="C68" s="216">
        <v>0</v>
      </c>
      <c r="D68" s="216">
        <v>6.142372672787887E-6</v>
      </c>
      <c r="E68" s="216">
        <v>1.3484854424617807E-4</v>
      </c>
      <c r="F68" s="216">
        <v>0</v>
      </c>
      <c r="G68" s="216">
        <v>4.2885000677693057E-5</v>
      </c>
      <c r="H68" s="216">
        <v>4.4141393160212709E-5</v>
      </c>
      <c r="I68" s="216">
        <v>6.5521215229844285E-3</v>
      </c>
      <c r="J68" s="216">
        <v>0</v>
      </c>
      <c r="K68" s="220">
        <v>0</v>
      </c>
      <c r="L68" s="87">
        <f t="shared" ref="L68:L100" si="1">SUM(C68:K68)</f>
        <v>6.7801388337413006E-3</v>
      </c>
    </row>
    <row r="69" spans="1:12" ht="15" customHeight="1" x14ac:dyDescent="0.4">
      <c r="A69" s="6">
        <v>68</v>
      </c>
      <c r="B69" t="s">
        <v>236</v>
      </c>
      <c r="C69" s="216">
        <v>0</v>
      </c>
      <c r="D69" s="216">
        <v>0</v>
      </c>
      <c r="E69" s="216">
        <v>0</v>
      </c>
      <c r="F69" s="216">
        <v>0</v>
      </c>
      <c r="G69" s="216">
        <v>0</v>
      </c>
      <c r="H69" s="216">
        <v>0</v>
      </c>
      <c r="I69" s="216">
        <v>0</v>
      </c>
      <c r="J69" s="216">
        <v>0</v>
      </c>
      <c r="K69" s="220">
        <v>0</v>
      </c>
      <c r="L69" s="87">
        <f t="shared" si="1"/>
        <v>0</v>
      </c>
    </row>
    <row r="70" spans="1:12" ht="15" customHeight="1" x14ac:dyDescent="0.4">
      <c r="A70" s="6">
        <v>69</v>
      </c>
      <c r="B70" t="s">
        <v>237</v>
      </c>
      <c r="C70" s="216">
        <v>0</v>
      </c>
      <c r="D70" s="216">
        <v>0</v>
      </c>
      <c r="E70" s="216">
        <v>0</v>
      </c>
      <c r="F70" s="216">
        <v>0</v>
      </c>
      <c r="G70" s="216">
        <v>0</v>
      </c>
      <c r="H70" s="216">
        <v>0</v>
      </c>
      <c r="I70" s="216">
        <v>0</v>
      </c>
      <c r="J70" s="216">
        <v>0</v>
      </c>
      <c r="K70" s="220">
        <v>0</v>
      </c>
      <c r="L70" s="87">
        <f t="shared" si="1"/>
        <v>0</v>
      </c>
    </row>
    <row r="71" spans="1:12" ht="15" customHeight="1" x14ac:dyDescent="0.4">
      <c r="A71" s="6">
        <v>70</v>
      </c>
      <c r="B71" t="s">
        <v>238</v>
      </c>
      <c r="C71" s="216">
        <v>0</v>
      </c>
      <c r="D71" s="216">
        <v>0</v>
      </c>
      <c r="E71" s="216">
        <v>0</v>
      </c>
      <c r="F71" s="216">
        <v>0</v>
      </c>
      <c r="G71" s="216">
        <v>0</v>
      </c>
      <c r="H71" s="216">
        <v>0</v>
      </c>
      <c r="I71" s="216">
        <v>0</v>
      </c>
      <c r="J71" s="216">
        <v>0</v>
      </c>
      <c r="K71" s="220">
        <v>0</v>
      </c>
      <c r="L71" s="87">
        <f t="shared" si="1"/>
        <v>0</v>
      </c>
    </row>
    <row r="72" spans="1:12" ht="15" customHeight="1" x14ac:dyDescent="0.4">
      <c r="A72" s="6">
        <v>71</v>
      </c>
      <c r="B72" t="s">
        <v>239</v>
      </c>
      <c r="C72" s="216">
        <v>0</v>
      </c>
      <c r="D72" s="216">
        <v>0</v>
      </c>
      <c r="E72" s="216">
        <v>0</v>
      </c>
      <c r="F72" s="216">
        <v>0</v>
      </c>
      <c r="G72" s="216">
        <v>0</v>
      </c>
      <c r="H72" s="216">
        <v>0</v>
      </c>
      <c r="I72" s="216">
        <v>0</v>
      </c>
      <c r="J72" s="216">
        <v>0</v>
      </c>
      <c r="K72" s="220">
        <v>0</v>
      </c>
      <c r="L72" s="87">
        <f t="shared" si="1"/>
        <v>0</v>
      </c>
    </row>
    <row r="73" spans="1:12" ht="15" customHeight="1" x14ac:dyDescent="0.4">
      <c r="A73" s="6">
        <v>72</v>
      </c>
      <c r="B73" t="s">
        <v>240</v>
      </c>
      <c r="C73" s="216">
        <v>0</v>
      </c>
      <c r="D73" s="216">
        <v>0</v>
      </c>
      <c r="E73" s="216">
        <v>0</v>
      </c>
      <c r="F73" s="216">
        <v>0</v>
      </c>
      <c r="G73" s="216">
        <v>0</v>
      </c>
      <c r="H73" s="216">
        <v>0</v>
      </c>
      <c r="I73" s="216">
        <v>0</v>
      </c>
      <c r="J73" s="216">
        <v>0</v>
      </c>
      <c r="K73" s="220">
        <v>0</v>
      </c>
      <c r="L73" s="87">
        <f t="shared" si="1"/>
        <v>0</v>
      </c>
    </row>
    <row r="74" spans="1:12" ht="15" customHeight="1" x14ac:dyDescent="0.4">
      <c r="A74" s="6">
        <v>73</v>
      </c>
      <c r="B74" t="s">
        <v>241</v>
      </c>
      <c r="C74" s="216">
        <v>0</v>
      </c>
      <c r="D74" s="216">
        <v>0</v>
      </c>
      <c r="E74" s="216">
        <v>0</v>
      </c>
      <c r="F74" s="216">
        <v>0</v>
      </c>
      <c r="G74" s="216">
        <v>0</v>
      </c>
      <c r="H74" s="216">
        <v>0</v>
      </c>
      <c r="I74" s="216">
        <v>0</v>
      </c>
      <c r="J74" s="216">
        <v>0</v>
      </c>
      <c r="K74" s="220">
        <v>0</v>
      </c>
      <c r="L74" s="87">
        <f t="shared" si="1"/>
        <v>0</v>
      </c>
    </row>
    <row r="75" spans="1:12" ht="15" customHeight="1" x14ac:dyDescent="0.4">
      <c r="A75" s="6">
        <v>74</v>
      </c>
      <c r="B75" t="s">
        <v>242</v>
      </c>
      <c r="C75" s="216">
        <v>0</v>
      </c>
      <c r="D75" s="216">
        <v>0</v>
      </c>
      <c r="E75" s="216">
        <v>0</v>
      </c>
      <c r="F75" s="216">
        <v>0</v>
      </c>
      <c r="G75" s="216">
        <v>0</v>
      </c>
      <c r="H75" s="216">
        <v>0</v>
      </c>
      <c r="I75" s="216">
        <v>0</v>
      </c>
      <c r="J75" s="216">
        <v>0</v>
      </c>
      <c r="K75" s="220">
        <v>0</v>
      </c>
      <c r="L75" s="87">
        <f t="shared" si="1"/>
        <v>0</v>
      </c>
    </row>
    <row r="76" spans="1:12" ht="15" customHeight="1" x14ac:dyDescent="0.4">
      <c r="A76" s="6">
        <v>75</v>
      </c>
      <c r="B76" t="s">
        <v>243</v>
      </c>
      <c r="C76" s="216">
        <v>0</v>
      </c>
      <c r="D76" s="216">
        <v>0</v>
      </c>
      <c r="E76" s="216">
        <v>0</v>
      </c>
      <c r="F76" s="216">
        <v>0</v>
      </c>
      <c r="G76" s="216">
        <v>0</v>
      </c>
      <c r="H76" s="216">
        <v>0</v>
      </c>
      <c r="I76" s="216">
        <v>0</v>
      </c>
      <c r="J76" s="216">
        <v>0</v>
      </c>
      <c r="K76" s="220">
        <v>0</v>
      </c>
      <c r="L76" s="87">
        <f t="shared" si="1"/>
        <v>0</v>
      </c>
    </row>
    <row r="77" spans="1:12" ht="15" customHeight="1" x14ac:dyDescent="0.4">
      <c r="A77" s="6">
        <v>76</v>
      </c>
      <c r="B77" t="s">
        <v>244</v>
      </c>
      <c r="C77" s="216">
        <v>0</v>
      </c>
      <c r="D77" s="216">
        <v>0</v>
      </c>
      <c r="E77" s="216">
        <v>0</v>
      </c>
      <c r="F77" s="216">
        <v>0</v>
      </c>
      <c r="G77" s="216">
        <v>0</v>
      </c>
      <c r="H77" s="216">
        <v>0</v>
      </c>
      <c r="I77" s="216">
        <v>0</v>
      </c>
      <c r="J77" s="216">
        <v>0</v>
      </c>
      <c r="K77" s="220">
        <v>0</v>
      </c>
      <c r="L77" s="87">
        <f t="shared" si="1"/>
        <v>0</v>
      </c>
    </row>
    <row r="78" spans="1:12" ht="15" customHeight="1" x14ac:dyDescent="0.4">
      <c r="A78" s="6">
        <v>77</v>
      </c>
      <c r="B78" t="s">
        <v>245</v>
      </c>
      <c r="C78" s="216">
        <v>0</v>
      </c>
      <c r="D78" s="216">
        <v>0</v>
      </c>
      <c r="E78" s="216">
        <v>0</v>
      </c>
      <c r="F78" s="216">
        <v>0</v>
      </c>
      <c r="G78" s="216">
        <v>0</v>
      </c>
      <c r="H78" s="216">
        <v>0</v>
      </c>
      <c r="I78" s="216">
        <v>0</v>
      </c>
      <c r="J78" s="216">
        <v>0</v>
      </c>
      <c r="K78" s="220">
        <v>0</v>
      </c>
      <c r="L78" s="87">
        <f t="shared" si="1"/>
        <v>0</v>
      </c>
    </row>
    <row r="79" spans="1:12" ht="15" customHeight="1" x14ac:dyDescent="0.4">
      <c r="A79" s="6">
        <v>78</v>
      </c>
      <c r="B79" t="s">
        <v>246</v>
      </c>
      <c r="C79" s="216">
        <v>0</v>
      </c>
      <c r="D79" s="216">
        <v>0</v>
      </c>
      <c r="E79" s="216">
        <v>0</v>
      </c>
      <c r="F79" s="216">
        <v>0</v>
      </c>
      <c r="G79" s="216">
        <v>0</v>
      </c>
      <c r="H79" s="216">
        <v>0</v>
      </c>
      <c r="I79" s="216">
        <v>0</v>
      </c>
      <c r="J79" s="216">
        <v>0</v>
      </c>
      <c r="K79" s="220">
        <v>0</v>
      </c>
      <c r="L79" s="87">
        <f t="shared" si="1"/>
        <v>0</v>
      </c>
    </row>
    <row r="80" spans="1:12" ht="15" customHeight="1" x14ac:dyDescent="0.4">
      <c r="A80" s="6">
        <v>79</v>
      </c>
      <c r="B80" t="s">
        <v>247</v>
      </c>
      <c r="C80" s="216">
        <v>0</v>
      </c>
      <c r="D80" s="216">
        <v>0</v>
      </c>
      <c r="E80" s="216">
        <v>0</v>
      </c>
      <c r="F80" s="216">
        <v>0</v>
      </c>
      <c r="G80" s="216">
        <v>0</v>
      </c>
      <c r="H80" s="216">
        <v>0</v>
      </c>
      <c r="I80" s="216">
        <v>0</v>
      </c>
      <c r="J80" s="216">
        <v>0</v>
      </c>
      <c r="K80" s="220">
        <v>0</v>
      </c>
      <c r="L80" s="87">
        <f t="shared" si="1"/>
        <v>0</v>
      </c>
    </row>
    <row r="81" spans="1:12" ht="15" customHeight="1" x14ac:dyDescent="0.4">
      <c r="A81" s="6">
        <v>80</v>
      </c>
      <c r="B81" t="s">
        <v>280</v>
      </c>
      <c r="C81" s="216">
        <v>0</v>
      </c>
      <c r="D81" s="216">
        <v>0</v>
      </c>
      <c r="E81" s="216">
        <v>0</v>
      </c>
      <c r="F81" s="216">
        <v>0</v>
      </c>
      <c r="G81" s="216">
        <v>0</v>
      </c>
      <c r="H81" s="216">
        <v>0</v>
      </c>
      <c r="I81" s="216">
        <v>0</v>
      </c>
      <c r="J81" s="216">
        <v>0</v>
      </c>
      <c r="K81" s="220">
        <v>0</v>
      </c>
      <c r="L81" s="87">
        <f t="shared" si="1"/>
        <v>0</v>
      </c>
    </row>
    <row r="82" spans="1:12" ht="15" customHeight="1" x14ac:dyDescent="0.4">
      <c r="A82" s="6">
        <v>81</v>
      </c>
      <c r="B82" t="s">
        <v>281</v>
      </c>
      <c r="C82" s="216">
        <v>0</v>
      </c>
      <c r="D82" s="216">
        <v>0</v>
      </c>
      <c r="E82" s="216">
        <v>0</v>
      </c>
      <c r="F82" s="216">
        <v>0</v>
      </c>
      <c r="G82" s="216">
        <v>0</v>
      </c>
      <c r="H82" s="216">
        <v>0</v>
      </c>
      <c r="I82" s="216">
        <v>0</v>
      </c>
      <c r="J82" s="216">
        <v>0</v>
      </c>
      <c r="K82" s="220">
        <v>0</v>
      </c>
      <c r="L82" s="87">
        <f t="shared" si="1"/>
        <v>0</v>
      </c>
    </row>
    <row r="83" spans="1:12" ht="15" customHeight="1" x14ac:dyDescent="0.4">
      <c r="A83" s="6">
        <v>82</v>
      </c>
      <c r="B83" t="s">
        <v>248</v>
      </c>
      <c r="C83" s="216">
        <v>0</v>
      </c>
      <c r="D83" s="216">
        <v>0</v>
      </c>
      <c r="E83" s="216">
        <v>0</v>
      </c>
      <c r="F83" s="216">
        <v>0</v>
      </c>
      <c r="G83" s="216">
        <v>0</v>
      </c>
      <c r="H83" s="216">
        <v>0</v>
      </c>
      <c r="I83" s="216">
        <v>0</v>
      </c>
      <c r="J83" s="216">
        <v>0</v>
      </c>
      <c r="K83" s="220">
        <v>0</v>
      </c>
      <c r="L83" s="87">
        <f t="shared" si="1"/>
        <v>0</v>
      </c>
    </row>
    <row r="84" spans="1:12" ht="15" customHeight="1" x14ac:dyDescent="0.4">
      <c r="A84" s="6">
        <v>83</v>
      </c>
      <c r="B84" t="s">
        <v>249</v>
      </c>
      <c r="C84" s="216">
        <v>0</v>
      </c>
      <c r="D84" s="216">
        <v>0</v>
      </c>
      <c r="E84" s="216">
        <v>0</v>
      </c>
      <c r="F84" s="216">
        <v>0</v>
      </c>
      <c r="G84" s="216">
        <v>0</v>
      </c>
      <c r="H84" s="216">
        <v>0</v>
      </c>
      <c r="I84" s="216">
        <v>0</v>
      </c>
      <c r="J84" s="216">
        <v>0</v>
      </c>
      <c r="K84" s="220">
        <v>0</v>
      </c>
      <c r="L84" s="87">
        <f t="shared" si="1"/>
        <v>0</v>
      </c>
    </row>
    <row r="85" spans="1:12" ht="15" customHeight="1" x14ac:dyDescent="0.4">
      <c r="A85" s="6">
        <v>84</v>
      </c>
      <c r="B85" t="s">
        <v>282</v>
      </c>
      <c r="C85" s="216">
        <v>0</v>
      </c>
      <c r="D85" s="216">
        <v>0</v>
      </c>
      <c r="E85" s="216">
        <v>0</v>
      </c>
      <c r="F85" s="216">
        <v>0</v>
      </c>
      <c r="G85" s="216">
        <v>0</v>
      </c>
      <c r="H85" s="216">
        <v>0</v>
      </c>
      <c r="I85" s="216">
        <v>0</v>
      </c>
      <c r="J85" s="216">
        <v>0</v>
      </c>
      <c r="K85" s="220">
        <v>0</v>
      </c>
      <c r="L85" s="87">
        <f t="shared" si="1"/>
        <v>0</v>
      </c>
    </row>
    <row r="86" spans="1:12" ht="15" customHeight="1" x14ac:dyDescent="0.4">
      <c r="A86" s="6">
        <v>85</v>
      </c>
      <c r="B86" t="s">
        <v>283</v>
      </c>
      <c r="C86" s="216">
        <v>0</v>
      </c>
      <c r="D86" s="216">
        <v>0</v>
      </c>
      <c r="E86" s="216">
        <v>0</v>
      </c>
      <c r="F86" s="216">
        <v>0</v>
      </c>
      <c r="G86" s="216">
        <v>0</v>
      </c>
      <c r="H86" s="216">
        <v>0</v>
      </c>
      <c r="I86" s="216">
        <v>0</v>
      </c>
      <c r="J86" s="216">
        <v>0</v>
      </c>
      <c r="K86" s="220">
        <v>0</v>
      </c>
      <c r="L86" s="87">
        <f t="shared" si="1"/>
        <v>0</v>
      </c>
    </row>
    <row r="87" spans="1:12" ht="15" customHeight="1" x14ac:dyDescent="0.4">
      <c r="A87" s="6">
        <v>86</v>
      </c>
      <c r="B87" t="s">
        <v>250</v>
      </c>
      <c r="C87" s="216">
        <v>0</v>
      </c>
      <c r="D87" s="216">
        <v>0</v>
      </c>
      <c r="E87" s="216">
        <v>0</v>
      </c>
      <c r="F87" s="216">
        <v>0</v>
      </c>
      <c r="G87" s="216">
        <v>0</v>
      </c>
      <c r="H87" s="216">
        <v>0</v>
      </c>
      <c r="I87" s="216">
        <v>0</v>
      </c>
      <c r="J87" s="216">
        <v>0</v>
      </c>
      <c r="K87" s="220">
        <v>0</v>
      </c>
      <c r="L87" s="87">
        <f t="shared" si="1"/>
        <v>0</v>
      </c>
    </row>
    <row r="88" spans="1:12" ht="15" customHeight="1" x14ac:dyDescent="0.4">
      <c r="A88" s="6">
        <v>87</v>
      </c>
      <c r="B88" t="s">
        <v>251</v>
      </c>
      <c r="C88" s="216">
        <v>0</v>
      </c>
      <c r="D88" s="216">
        <v>0</v>
      </c>
      <c r="E88" s="216">
        <v>0</v>
      </c>
      <c r="F88" s="216">
        <v>0</v>
      </c>
      <c r="G88" s="216">
        <v>0</v>
      </c>
      <c r="H88" s="216">
        <v>0</v>
      </c>
      <c r="I88" s="216">
        <v>0</v>
      </c>
      <c r="J88" s="216">
        <v>0</v>
      </c>
      <c r="K88" s="220">
        <v>0</v>
      </c>
      <c r="L88" s="87">
        <f t="shared" si="1"/>
        <v>0</v>
      </c>
    </row>
    <row r="89" spans="1:12" ht="15" customHeight="1" x14ac:dyDescent="0.4">
      <c r="A89" s="6">
        <v>88</v>
      </c>
      <c r="B89" t="s">
        <v>252</v>
      </c>
      <c r="C89" s="216">
        <v>0</v>
      </c>
      <c r="D89" s="216">
        <v>0</v>
      </c>
      <c r="E89" s="216">
        <v>0</v>
      </c>
      <c r="F89" s="216">
        <v>0</v>
      </c>
      <c r="G89" s="216">
        <v>0</v>
      </c>
      <c r="H89" s="216">
        <v>0</v>
      </c>
      <c r="I89" s="216">
        <v>0</v>
      </c>
      <c r="J89" s="216">
        <v>0</v>
      </c>
      <c r="K89" s="220">
        <v>0</v>
      </c>
      <c r="L89" s="87">
        <f t="shared" si="1"/>
        <v>0</v>
      </c>
    </row>
    <row r="90" spans="1:12" ht="15" customHeight="1" x14ac:dyDescent="0.4">
      <c r="A90" s="6">
        <v>89</v>
      </c>
      <c r="B90" t="s">
        <v>253</v>
      </c>
      <c r="C90" s="216">
        <v>0</v>
      </c>
      <c r="D90" s="216">
        <v>0</v>
      </c>
      <c r="E90" s="216">
        <v>0</v>
      </c>
      <c r="F90" s="216">
        <v>0</v>
      </c>
      <c r="G90" s="216">
        <v>0</v>
      </c>
      <c r="H90" s="216">
        <v>0</v>
      </c>
      <c r="I90" s="216">
        <v>0</v>
      </c>
      <c r="J90" s="216">
        <v>0</v>
      </c>
      <c r="K90" s="220">
        <v>0</v>
      </c>
      <c r="L90" s="87">
        <f t="shared" si="1"/>
        <v>0</v>
      </c>
    </row>
    <row r="91" spans="1:12" ht="15" customHeight="1" x14ac:dyDescent="0.4">
      <c r="A91" s="6">
        <v>90</v>
      </c>
      <c r="B91" t="s">
        <v>254</v>
      </c>
      <c r="C91" s="216">
        <v>0</v>
      </c>
      <c r="D91" s="216">
        <v>0</v>
      </c>
      <c r="E91" s="216">
        <v>0</v>
      </c>
      <c r="F91" s="216">
        <v>0</v>
      </c>
      <c r="G91" s="216">
        <v>0</v>
      </c>
      <c r="H91" s="216">
        <v>0</v>
      </c>
      <c r="I91" s="216">
        <v>0</v>
      </c>
      <c r="J91" s="216">
        <v>0</v>
      </c>
      <c r="K91" s="220">
        <v>0</v>
      </c>
      <c r="L91" s="87">
        <f t="shared" si="1"/>
        <v>0</v>
      </c>
    </row>
    <row r="92" spans="1:12" ht="15" customHeight="1" x14ac:dyDescent="0.4">
      <c r="A92" s="6">
        <v>91</v>
      </c>
      <c r="B92" s="234" t="s">
        <v>433</v>
      </c>
      <c r="C92" s="216">
        <v>0</v>
      </c>
      <c r="D92" s="216">
        <v>0</v>
      </c>
      <c r="E92" s="216">
        <v>0</v>
      </c>
      <c r="F92" s="216">
        <v>0</v>
      </c>
      <c r="G92" s="216">
        <v>0</v>
      </c>
      <c r="H92" s="216">
        <v>0</v>
      </c>
      <c r="I92" s="216">
        <v>0</v>
      </c>
      <c r="J92" s="216">
        <v>0</v>
      </c>
      <c r="K92" s="220">
        <v>0</v>
      </c>
      <c r="L92" s="87">
        <f t="shared" si="1"/>
        <v>0</v>
      </c>
    </row>
    <row r="93" spans="1:12" ht="15" customHeight="1" x14ac:dyDescent="0.4">
      <c r="A93" s="6">
        <v>92</v>
      </c>
      <c r="B93" s="234" t="s">
        <v>434</v>
      </c>
      <c r="C93" s="216">
        <v>0</v>
      </c>
      <c r="D93" s="216">
        <v>0</v>
      </c>
      <c r="E93" s="216">
        <v>0</v>
      </c>
      <c r="F93" s="216">
        <v>0</v>
      </c>
      <c r="G93" s="216">
        <v>0</v>
      </c>
      <c r="H93" s="216">
        <v>0</v>
      </c>
      <c r="I93" s="216">
        <v>0</v>
      </c>
      <c r="J93" s="216">
        <v>0</v>
      </c>
      <c r="K93" s="220">
        <v>0</v>
      </c>
      <c r="L93" s="87">
        <f t="shared" si="1"/>
        <v>0</v>
      </c>
    </row>
    <row r="94" spans="1:12" ht="15" customHeight="1" x14ac:dyDescent="0.4">
      <c r="A94" s="6">
        <v>93</v>
      </c>
      <c r="B94" s="234" t="s">
        <v>435</v>
      </c>
      <c r="C94" s="216">
        <v>0</v>
      </c>
      <c r="D94" s="216">
        <v>0</v>
      </c>
      <c r="E94" s="216">
        <v>0</v>
      </c>
      <c r="F94" s="216">
        <v>0</v>
      </c>
      <c r="G94" s="216">
        <v>0</v>
      </c>
      <c r="H94" s="216">
        <v>0</v>
      </c>
      <c r="I94" s="216">
        <v>0</v>
      </c>
      <c r="J94" s="216">
        <v>0</v>
      </c>
      <c r="K94" s="220">
        <v>0</v>
      </c>
      <c r="L94" s="87">
        <f t="shared" si="1"/>
        <v>0</v>
      </c>
    </row>
    <row r="95" spans="1:12" ht="15" customHeight="1" x14ac:dyDescent="0.4">
      <c r="A95" s="6">
        <v>94</v>
      </c>
      <c r="B95" s="234" t="s">
        <v>436</v>
      </c>
      <c r="C95" s="216">
        <v>0</v>
      </c>
      <c r="D95" s="216">
        <v>0</v>
      </c>
      <c r="E95" s="216">
        <v>0</v>
      </c>
      <c r="F95" s="216">
        <v>0</v>
      </c>
      <c r="G95" s="216">
        <v>0</v>
      </c>
      <c r="H95" s="216">
        <v>0</v>
      </c>
      <c r="I95" s="216">
        <v>0</v>
      </c>
      <c r="J95" s="216">
        <v>0</v>
      </c>
      <c r="K95" s="220">
        <v>0</v>
      </c>
      <c r="L95" s="87">
        <f t="shared" si="1"/>
        <v>0</v>
      </c>
    </row>
    <row r="96" spans="1:12" ht="15" customHeight="1" x14ac:dyDescent="0.4">
      <c r="A96" s="6">
        <v>95</v>
      </c>
      <c r="B96" s="234" t="s">
        <v>437</v>
      </c>
      <c r="C96" s="216">
        <v>0</v>
      </c>
      <c r="D96" s="216">
        <v>0</v>
      </c>
      <c r="E96" s="216">
        <v>0</v>
      </c>
      <c r="F96" s="216">
        <v>0</v>
      </c>
      <c r="G96" s="216">
        <v>0</v>
      </c>
      <c r="H96" s="216">
        <v>0</v>
      </c>
      <c r="I96" s="216">
        <v>0</v>
      </c>
      <c r="J96" s="216">
        <v>0</v>
      </c>
      <c r="K96" s="220">
        <v>0</v>
      </c>
      <c r="L96" s="87">
        <f t="shared" si="1"/>
        <v>0</v>
      </c>
    </row>
    <row r="97" spans="1:12" ht="15" customHeight="1" x14ac:dyDescent="0.4">
      <c r="A97" s="6">
        <v>96</v>
      </c>
      <c r="B97" s="234" t="s">
        <v>438</v>
      </c>
      <c r="C97" s="216">
        <v>0</v>
      </c>
      <c r="D97" s="216">
        <v>0</v>
      </c>
      <c r="E97" s="216">
        <v>0</v>
      </c>
      <c r="F97" s="216">
        <v>0</v>
      </c>
      <c r="G97" s="216">
        <v>0</v>
      </c>
      <c r="H97" s="216">
        <v>0</v>
      </c>
      <c r="I97" s="216">
        <v>0</v>
      </c>
      <c r="J97" s="216">
        <v>0</v>
      </c>
      <c r="K97" s="220">
        <v>0</v>
      </c>
      <c r="L97" s="87">
        <f t="shared" si="1"/>
        <v>0</v>
      </c>
    </row>
    <row r="98" spans="1:12" ht="15" customHeight="1" x14ac:dyDescent="0.4">
      <c r="A98" s="6">
        <v>97</v>
      </c>
      <c r="B98" s="234" t="s">
        <v>439</v>
      </c>
      <c r="C98" s="216">
        <v>0</v>
      </c>
      <c r="D98" s="216">
        <v>0</v>
      </c>
      <c r="E98" s="216">
        <v>0</v>
      </c>
      <c r="F98" s="216">
        <v>0</v>
      </c>
      <c r="G98" s="216">
        <v>0</v>
      </c>
      <c r="H98" s="216">
        <v>0</v>
      </c>
      <c r="I98" s="216">
        <v>0</v>
      </c>
      <c r="J98" s="216">
        <v>0</v>
      </c>
      <c r="K98" s="220">
        <v>0</v>
      </c>
      <c r="L98" s="87">
        <f t="shared" si="1"/>
        <v>0</v>
      </c>
    </row>
    <row r="99" spans="1:12" ht="15" customHeight="1" x14ac:dyDescent="0.4">
      <c r="A99" s="6">
        <v>98</v>
      </c>
      <c r="B99" s="235" t="s">
        <v>440</v>
      </c>
      <c r="C99" s="216">
        <v>0</v>
      </c>
      <c r="D99" s="216">
        <v>0</v>
      </c>
      <c r="E99" s="216">
        <v>0</v>
      </c>
      <c r="F99" s="216">
        <v>0</v>
      </c>
      <c r="G99" s="216">
        <v>0</v>
      </c>
      <c r="H99" s="216">
        <v>0</v>
      </c>
      <c r="I99" s="216">
        <v>0</v>
      </c>
      <c r="J99" s="216">
        <v>0</v>
      </c>
      <c r="K99" s="220">
        <v>0</v>
      </c>
      <c r="L99" s="87">
        <f t="shared" si="1"/>
        <v>0</v>
      </c>
    </row>
    <row r="100" spans="1:12" ht="15" customHeight="1" x14ac:dyDescent="0.4">
      <c r="A100" s="6">
        <v>99</v>
      </c>
      <c r="B100" s="235" t="s">
        <v>264</v>
      </c>
      <c r="C100" s="216">
        <v>0</v>
      </c>
      <c r="D100" s="216">
        <v>0</v>
      </c>
      <c r="E100" s="216">
        <v>0</v>
      </c>
      <c r="F100" s="216">
        <v>0</v>
      </c>
      <c r="G100" s="216">
        <v>0</v>
      </c>
      <c r="H100" s="216">
        <v>0</v>
      </c>
      <c r="I100" s="216">
        <v>0</v>
      </c>
      <c r="J100" s="216">
        <v>0</v>
      </c>
      <c r="K100" s="220">
        <v>0</v>
      </c>
      <c r="L100" s="87">
        <f t="shared" si="1"/>
        <v>0</v>
      </c>
    </row>
  </sheetData>
  <phoneticPr fontId="2" type="noConversion"/>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91"/>
  <sheetViews>
    <sheetView topLeftCell="A55" workbookViewId="0">
      <selection activeCell="F2" sqref="F2"/>
    </sheetView>
  </sheetViews>
  <sheetFormatPr defaultColWidth="10.6640625" defaultRowHeight="12.3" x14ac:dyDescent="0.4"/>
  <cols>
    <col min="1" max="1" width="17.33203125" bestFit="1" customWidth="1"/>
    <col min="5" max="5" width="39.83203125" bestFit="1" customWidth="1"/>
    <col min="6" max="6" width="8.1640625" bestFit="1" customWidth="1"/>
    <col min="7" max="7" width="7.5" bestFit="1" customWidth="1"/>
    <col min="8" max="8" width="8.6640625" bestFit="1" customWidth="1"/>
    <col min="9" max="9" width="8.83203125" bestFit="1" customWidth="1"/>
    <col min="10" max="10" width="8.83203125" style="67" bestFit="1" customWidth="1"/>
    <col min="11" max="11" width="8.6640625" style="67"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89" customFormat="1" ht="12.6" thickBot="1" x14ac:dyDescent="0.45">
      <c r="D1" s="90" t="s">
        <v>7</v>
      </c>
      <c r="E1" s="90" t="s">
        <v>0</v>
      </c>
      <c r="F1" s="91" t="s">
        <v>100</v>
      </c>
      <c r="G1" s="92" t="s">
        <v>85</v>
      </c>
      <c r="H1" s="92" t="s">
        <v>86</v>
      </c>
      <c r="I1" s="92" t="s">
        <v>87</v>
      </c>
      <c r="J1" s="92" t="s">
        <v>88</v>
      </c>
      <c r="K1" s="92" t="s">
        <v>89</v>
      </c>
      <c r="L1" s="93" t="s">
        <v>90</v>
      </c>
      <c r="M1" s="93" t="s">
        <v>94</v>
      </c>
      <c r="N1" s="93" t="s">
        <v>93</v>
      </c>
      <c r="O1" s="93" t="s">
        <v>91</v>
      </c>
      <c r="P1" s="93" t="s">
        <v>92</v>
      </c>
      <c r="Q1" s="94" t="s">
        <v>95</v>
      </c>
      <c r="R1" s="94" t="s">
        <v>96</v>
      </c>
      <c r="S1" s="94" t="s">
        <v>97</v>
      </c>
      <c r="T1" s="94" t="s">
        <v>98</v>
      </c>
      <c r="U1" s="94" t="s">
        <v>99</v>
      </c>
      <c r="V1" s="92" t="s">
        <v>101</v>
      </c>
      <c r="W1" s="92" t="s">
        <v>102</v>
      </c>
      <c r="X1" s="92" t="s">
        <v>103</v>
      </c>
      <c r="Y1" s="92" t="s">
        <v>135</v>
      </c>
      <c r="Z1" s="93" t="s">
        <v>104</v>
      </c>
      <c r="AA1" s="93" t="s">
        <v>105</v>
      </c>
      <c r="AB1" s="93" t="s">
        <v>106</v>
      </c>
      <c r="AC1" s="95" t="s">
        <v>136</v>
      </c>
      <c r="AD1" s="94" t="s">
        <v>107</v>
      </c>
      <c r="AE1" s="94" t="s">
        <v>108</v>
      </c>
      <c r="AF1" s="94" t="s">
        <v>109</v>
      </c>
      <c r="AG1" s="94" t="s">
        <v>137</v>
      </c>
      <c r="AH1" s="92" t="s">
        <v>110</v>
      </c>
      <c r="AI1" s="92" t="s">
        <v>112</v>
      </c>
      <c r="AJ1" s="92" t="s">
        <v>111</v>
      </c>
      <c r="AK1" s="93" t="s">
        <v>116</v>
      </c>
      <c r="AL1" s="93" t="s">
        <v>117</v>
      </c>
      <c r="AM1" s="93" t="s">
        <v>118</v>
      </c>
      <c r="AN1" s="94" t="s">
        <v>113</v>
      </c>
      <c r="AO1" s="94" t="s">
        <v>114</v>
      </c>
      <c r="AP1" s="94" t="s">
        <v>115</v>
      </c>
    </row>
    <row r="2" spans="1:42" ht="15" x14ac:dyDescent="0.5">
      <c r="A2" s="96" t="s">
        <v>75</v>
      </c>
      <c r="B2" s="97">
        <v>1</v>
      </c>
      <c r="D2" s="6">
        <v>1</v>
      </c>
      <c r="E2" s="245" t="s">
        <v>177</v>
      </c>
      <c r="F2">
        <v>0.98</v>
      </c>
      <c r="G2">
        <v>0.25196103058078395</v>
      </c>
      <c r="H2" s="82">
        <v>0.2</v>
      </c>
      <c r="J2">
        <v>0</v>
      </c>
      <c r="K2">
        <v>0</v>
      </c>
      <c r="V2">
        <v>0</v>
      </c>
      <c r="W2">
        <v>0</v>
      </c>
    </row>
    <row r="3" spans="1:42" ht="15" x14ac:dyDescent="0.5">
      <c r="A3" s="96" t="s">
        <v>76</v>
      </c>
      <c r="B3" s="98">
        <v>1</v>
      </c>
      <c r="D3" s="6">
        <v>2</v>
      </c>
      <c r="E3" s="245" t="s">
        <v>178</v>
      </c>
      <c r="F3">
        <v>0.98</v>
      </c>
      <c r="G3">
        <v>4.5538449804619269E-2</v>
      </c>
      <c r="H3" s="82">
        <v>0.2</v>
      </c>
      <c r="J3">
        <v>0</v>
      </c>
      <c r="K3">
        <v>0</v>
      </c>
      <c r="V3">
        <v>0</v>
      </c>
      <c r="W3">
        <v>0</v>
      </c>
    </row>
    <row r="4" spans="1:42" ht="15" x14ac:dyDescent="0.5">
      <c r="A4" s="96" t="s">
        <v>77</v>
      </c>
      <c r="B4" s="98">
        <v>1</v>
      </c>
      <c r="D4" s="6">
        <v>3</v>
      </c>
      <c r="E4" s="245" t="s">
        <v>179</v>
      </c>
      <c r="F4">
        <v>0.98</v>
      </c>
      <c r="G4">
        <v>0.8</v>
      </c>
      <c r="H4" s="82">
        <v>0.7</v>
      </c>
      <c r="J4">
        <v>0.25</v>
      </c>
      <c r="K4">
        <v>0.05</v>
      </c>
      <c r="V4">
        <v>0</v>
      </c>
      <c r="W4">
        <v>0</v>
      </c>
    </row>
    <row r="5" spans="1:42" ht="15" x14ac:dyDescent="0.5">
      <c r="A5" s="96" t="s">
        <v>78</v>
      </c>
      <c r="B5" s="98">
        <v>1</v>
      </c>
      <c r="D5" s="6">
        <v>4</v>
      </c>
      <c r="E5" s="245" t="s">
        <v>180</v>
      </c>
      <c r="F5">
        <v>0.98</v>
      </c>
      <c r="G5">
        <v>0.52418064631999517</v>
      </c>
      <c r="H5" s="82">
        <v>0.2</v>
      </c>
      <c r="J5">
        <v>0.25</v>
      </c>
      <c r="K5">
        <v>0.05</v>
      </c>
      <c r="V5">
        <v>0</v>
      </c>
      <c r="W5">
        <v>0</v>
      </c>
    </row>
    <row r="6" spans="1:42" ht="15" x14ac:dyDescent="0.5">
      <c r="A6" s="96" t="s">
        <v>79</v>
      </c>
      <c r="B6" s="98">
        <v>0</v>
      </c>
      <c r="D6" s="6">
        <v>5</v>
      </c>
      <c r="E6" s="245" t="s">
        <v>181</v>
      </c>
      <c r="F6">
        <v>0.98</v>
      </c>
      <c r="G6">
        <v>0.16515374587291418</v>
      </c>
      <c r="H6" s="82">
        <v>0.2</v>
      </c>
      <c r="J6">
        <v>0.25</v>
      </c>
      <c r="K6">
        <v>0.05</v>
      </c>
      <c r="V6">
        <v>0</v>
      </c>
      <c r="W6">
        <v>0</v>
      </c>
    </row>
    <row r="7" spans="1:42" ht="15" x14ac:dyDescent="0.5">
      <c r="A7" s="96" t="s">
        <v>80</v>
      </c>
      <c r="B7" s="98">
        <v>0</v>
      </c>
      <c r="D7" s="6">
        <v>6</v>
      </c>
      <c r="E7" s="245" t="s">
        <v>182</v>
      </c>
      <c r="F7">
        <v>0.98</v>
      </c>
      <c r="G7">
        <v>0.79577737479101263</v>
      </c>
      <c r="H7" s="82">
        <v>0.4</v>
      </c>
      <c r="J7">
        <v>0.25</v>
      </c>
      <c r="K7">
        <v>0.05</v>
      </c>
      <c r="V7">
        <v>0</v>
      </c>
      <c r="W7">
        <v>0</v>
      </c>
    </row>
    <row r="8" spans="1:42" ht="15" x14ac:dyDescent="0.5">
      <c r="A8" s="96" t="s">
        <v>81</v>
      </c>
      <c r="B8" s="98">
        <v>1</v>
      </c>
      <c r="D8" s="6">
        <v>7</v>
      </c>
      <c r="E8" s="245" t="s">
        <v>183</v>
      </c>
      <c r="F8">
        <v>0.98</v>
      </c>
      <c r="G8">
        <v>1.0430729343614622</v>
      </c>
      <c r="H8" s="82">
        <v>0.4</v>
      </c>
      <c r="J8">
        <v>0.25</v>
      </c>
      <c r="K8">
        <v>0.05</v>
      </c>
      <c r="V8">
        <v>0</v>
      </c>
      <c r="W8">
        <v>0</v>
      </c>
    </row>
    <row r="9" spans="1:42" ht="15" x14ac:dyDescent="0.5">
      <c r="A9" s="96" t="s">
        <v>82</v>
      </c>
      <c r="B9" s="98">
        <v>0.1</v>
      </c>
      <c r="C9" s="37" t="s">
        <v>151</v>
      </c>
      <c r="D9" s="6">
        <v>8</v>
      </c>
      <c r="E9" s="245" t="s">
        <v>184</v>
      </c>
      <c r="F9">
        <v>0.98</v>
      </c>
      <c r="G9">
        <v>0.8</v>
      </c>
      <c r="H9" s="82">
        <v>0.4</v>
      </c>
      <c r="J9">
        <v>0.25</v>
      </c>
      <c r="K9">
        <v>0.05</v>
      </c>
      <c r="V9">
        <v>0</v>
      </c>
      <c r="W9">
        <v>0</v>
      </c>
    </row>
    <row r="10" spans="1:42" ht="15.3" thickBot="1" x14ac:dyDescent="0.55000000000000004">
      <c r="A10" s="96" t="s">
        <v>150</v>
      </c>
      <c r="B10" s="99">
        <f>1/3</f>
        <v>0.33333333333333331</v>
      </c>
      <c r="C10" s="37" t="s">
        <v>151</v>
      </c>
      <c r="D10" s="6">
        <v>9</v>
      </c>
      <c r="E10" s="245" t="s">
        <v>185</v>
      </c>
      <c r="F10">
        <v>0.98</v>
      </c>
      <c r="G10">
        <v>0.8</v>
      </c>
      <c r="H10" s="82">
        <v>0.7</v>
      </c>
      <c r="J10">
        <v>0.25</v>
      </c>
      <c r="K10">
        <v>0.05</v>
      </c>
      <c r="V10">
        <v>0</v>
      </c>
      <c r="W10">
        <v>0</v>
      </c>
    </row>
    <row r="11" spans="1:42" ht="15" x14ac:dyDescent="0.5">
      <c r="D11" s="6">
        <v>10</v>
      </c>
      <c r="E11" s="245" t="s">
        <v>186</v>
      </c>
      <c r="F11">
        <v>0.98</v>
      </c>
      <c r="G11">
        <v>0.68878338415029672</v>
      </c>
      <c r="H11" s="82">
        <v>0.4</v>
      </c>
      <c r="J11">
        <v>0.25</v>
      </c>
      <c r="K11">
        <v>0.05</v>
      </c>
      <c r="V11">
        <v>0</v>
      </c>
      <c r="W11">
        <v>0</v>
      </c>
    </row>
    <row r="12" spans="1:42" ht="15" x14ac:dyDescent="0.5">
      <c r="D12" s="6">
        <v>11</v>
      </c>
      <c r="E12" s="245" t="s">
        <v>187</v>
      </c>
      <c r="F12">
        <v>0.98</v>
      </c>
      <c r="G12">
        <v>0.64742029244156984</v>
      </c>
      <c r="H12" s="82">
        <v>0.4</v>
      </c>
      <c r="J12">
        <v>0.25</v>
      </c>
      <c r="K12">
        <v>0.05</v>
      </c>
      <c r="V12">
        <v>0</v>
      </c>
      <c r="W12">
        <v>0</v>
      </c>
    </row>
    <row r="13" spans="1:42" ht="15" x14ac:dyDescent="0.5">
      <c r="D13" s="6">
        <v>12</v>
      </c>
      <c r="E13" s="245" t="s">
        <v>188</v>
      </c>
      <c r="F13">
        <v>0.98</v>
      </c>
      <c r="G13">
        <v>0.39648839277619846</v>
      </c>
      <c r="H13" s="82">
        <v>0.4</v>
      </c>
      <c r="J13">
        <v>0.25</v>
      </c>
      <c r="K13">
        <v>0.05</v>
      </c>
      <c r="V13">
        <v>0</v>
      </c>
      <c r="W13">
        <v>0</v>
      </c>
    </row>
    <row r="14" spans="1:42" ht="15" x14ac:dyDescent="0.5">
      <c r="D14" s="6">
        <v>13</v>
      </c>
      <c r="E14" s="245" t="s">
        <v>189</v>
      </c>
      <c r="F14">
        <v>0.98</v>
      </c>
      <c r="G14">
        <v>1.3936343072310562</v>
      </c>
      <c r="H14" s="82">
        <v>0.3</v>
      </c>
      <c r="J14">
        <v>0.25</v>
      </c>
      <c r="K14">
        <v>0.05</v>
      </c>
      <c r="V14">
        <v>0</v>
      </c>
      <c r="W14">
        <v>0</v>
      </c>
    </row>
    <row r="15" spans="1:42" ht="15" x14ac:dyDescent="0.5">
      <c r="D15" s="6">
        <v>14</v>
      </c>
      <c r="E15" s="246" t="s">
        <v>273</v>
      </c>
      <c r="F15" s="216">
        <v>0.98</v>
      </c>
      <c r="G15" s="216">
        <v>0.8</v>
      </c>
      <c r="H15" s="82">
        <v>0.3</v>
      </c>
      <c r="I15" s="216"/>
      <c r="J15" s="216">
        <v>0.25</v>
      </c>
      <c r="K15" s="216">
        <v>0.05</v>
      </c>
      <c r="L15" s="216"/>
      <c r="V15">
        <v>0</v>
      </c>
      <c r="W15">
        <v>0</v>
      </c>
    </row>
    <row r="16" spans="1:42" ht="15" x14ac:dyDescent="0.5">
      <c r="D16" s="6">
        <v>15</v>
      </c>
      <c r="E16" s="245" t="s">
        <v>190</v>
      </c>
      <c r="F16">
        <v>0.98</v>
      </c>
      <c r="G16">
        <v>0.8</v>
      </c>
      <c r="H16" s="82">
        <v>0.3</v>
      </c>
      <c r="J16">
        <v>0.25</v>
      </c>
      <c r="K16">
        <v>0.05</v>
      </c>
      <c r="V16">
        <v>0</v>
      </c>
      <c r="W16">
        <v>0</v>
      </c>
    </row>
    <row r="17" spans="4:33" ht="15" customHeight="1" x14ac:dyDescent="0.5">
      <c r="D17" s="6">
        <v>16</v>
      </c>
      <c r="E17" s="245" t="s">
        <v>191</v>
      </c>
      <c r="F17">
        <v>0.98</v>
      </c>
      <c r="G17">
        <v>0.8</v>
      </c>
      <c r="H17" s="82">
        <v>0.3</v>
      </c>
      <c r="J17">
        <v>0.25</v>
      </c>
      <c r="K17">
        <v>0.05</v>
      </c>
      <c r="V17">
        <v>0</v>
      </c>
      <c r="W17">
        <v>0</v>
      </c>
    </row>
    <row r="18" spans="4:33" ht="15" customHeight="1" x14ac:dyDescent="0.5">
      <c r="D18" s="6">
        <v>17</v>
      </c>
      <c r="E18" s="245" t="s">
        <v>192</v>
      </c>
      <c r="F18">
        <v>0.98</v>
      </c>
      <c r="G18">
        <v>0.8</v>
      </c>
      <c r="H18" s="82">
        <v>0.6</v>
      </c>
      <c r="J18">
        <v>0.25</v>
      </c>
      <c r="K18">
        <v>0.05</v>
      </c>
      <c r="V18">
        <v>0</v>
      </c>
      <c r="W18">
        <v>0</v>
      </c>
    </row>
    <row r="19" spans="4:33" ht="15" customHeight="1" x14ac:dyDescent="0.5">
      <c r="D19" s="6">
        <v>18</v>
      </c>
      <c r="E19" s="245" t="s">
        <v>193</v>
      </c>
      <c r="F19">
        <v>0.98</v>
      </c>
      <c r="G19">
        <v>0.8</v>
      </c>
      <c r="H19" s="82">
        <v>0.7</v>
      </c>
      <c r="J19">
        <v>0.25</v>
      </c>
      <c r="K19">
        <v>0.05</v>
      </c>
      <c r="V19">
        <v>0</v>
      </c>
      <c r="W19">
        <v>0</v>
      </c>
    </row>
    <row r="20" spans="4:33" ht="15" customHeight="1" x14ac:dyDescent="0.5">
      <c r="D20" s="6">
        <v>19</v>
      </c>
      <c r="E20" s="245" t="s">
        <v>194</v>
      </c>
      <c r="F20">
        <v>0.98</v>
      </c>
      <c r="G20">
        <v>1.4116265946422333</v>
      </c>
      <c r="H20" s="82">
        <v>0.7</v>
      </c>
      <c r="J20">
        <v>0.25</v>
      </c>
      <c r="K20">
        <v>0.05</v>
      </c>
      <c r="V20">
        <v>0</v>
      </c>
      <c r="W20">
        <v>0</v>
      </c>
    </row>
    <row r="21" spans="4:33" ht="15" customHeight="1" x14ac:dyDescent="0.5">
      <c r="D21" s="6">
        <v>20</v>
      </c>
      <c r="E21" s="245" t="s">
        <v>195</v>
      </c>
      <c r="F21">
        <v>0.98</v>
      </c>
      <c r="G21">
        <v>1.5637006366807846</v>
      </c>
      <c r="H21" s="82">
        <v>0.7</v>
      </c>
      <c r="J21">
        <v>0.25</v>
      </c>
      <c r="K21">
        <v>0.05</v>
      </c>
      <c r="V21">
        <v>0</v>
      </c>
      <c r="W21">
        <v>0</v>
      </c>
    </row>
    <row r="22" spans="4:33" ht="15" customHeight="1" x14ac:dyDescent="0.5">
      <c r="D22" s="6">
        <v>21</v>
      </c>
      <c r="E22" s="245" t="s">
        <v>196</v>
      </c>
      <c r="F22">
        <v>0.98</v>
      </c>
      <c r="G22">
        <v>1.1842277980689788</v>
      </c>
      <c r="H22" s="82">
        <v>0.7</v>
      </c>
      <c r="J22">
        <v>0.25</v>
      </c>
      <c r="K22">
        <v>0.05</v>
      </c>
      <c r="V22">
        <v>0</v>
      </c>
      <c r="W22">
        <v>0</v>
      </c>
    </row>
    <row r="23" spans="4:33" ht="15" customHeight="1" x14ac:dyDescent="0.5">
      <c r="D23" s="6">
        <v>22</v>
      </c>
      <c r="E23" s="245" t="s">
        <v>197</v>
      </c>
      <c r="F23">
        <v>0.98</v>
      </c>
      <c r="G23">
        <v>1.2927258191157946</v>
      </c>
      <c r="H23" s="82">
        <v>0.7</v>
      </c>
      <c r="J23">
        <v>0.25</v>
      </c>
      <c r="K23">
        <v>0.05</v>
      </c>
      <c r="V23">
        <v>0</v>
      </c>
      <c r="W23">
        <v>0</v>
      </c>
    </row>
    <row r="24" spans="4:33" ht="15" customHeight="1" x14ac:dyDescent="0.5">
      <c r="D24" s="6">
        <v>23</v>
      </c>
      <c r="E24" s="245" t="s">
        <v>198</v>
      </c>
      <c r="F24">
        <v>0.98</v>
      </c>
      <c r="G24">
        <v>1.4947816545836017</v>
      </c>
      <c r="H24" s="82">
        <v>0.7</v>
      </c>
      <c r="J24">
        <v>0.25</v>
      </c>
      <c r="K24">
        <v>0.05</v>
      </c>
      <c r="V24">
        <v>0</v>
      </c>
      <c r="W24">
        <v>0</v>
      </c>
    </row>
    <row r="25" spans="4:33" ht="15" customHeight="1" x14ac:dyDescent="0.5">
      <c r="D25" s="6">
        <v>24</v>
      </c>
      <c r="E25" s="245" t="s">
        <v>199</v>
      </c>
      <c r="F25">
        <v>0.98</v>
      </c>
      <c r="G25">
        <v>1.3864066249941016</v>
      </c>
      <c r="H25" s="82">
        <v>0.7</v>
      </c>
      <c r="J25">
        <v>0.25</v>
      </c>
      <c r="K25">
        <v>0.05</v>
      </c>
      <c r="V25" s="80">
        <v>0</v>
      </c>
      <c r="W25" s="80">
        <v>0</v>
      </c>
    </row>
    <row r="26" spans="4:33" ht="15" customHeight="1" x14ac:dyDescent="0.5">
      <c r="D26" s="6">
        <v>25</v>
      </c>
      <c r="E26" s="246" t="s">
        <v>265</v>
      </c>
      <c r="F26" s="80">
        <v>0.98</v>
      </c>
      <c r="G26" s="80">
        <v>0.62760955930937368</v>
      </c>
      <c r="H26" s="85">
        <v>0.7</v>
      </c>
      <c r="I26" s="80"/>
      <c r="J26" s="80">
        <v>0.25</v>
      </c>
      <c r="K26" s="80">
        <v>0.05</v>
      </c>
      <c r="V26" s="80">
        <v>0</v>
      </c>
      <c r="W26" s="80">
        <v>0</v>
      </c>
    </row>
    <row r="27" spans="4:33" ht="15" customHeight="1" x14ac:dyDescent="0.5">
      <c r="D27" s="6">
        <v>26</v>
      </c>
      <c r="E27" s="246" t="s">
        <v>274</v>
      </c>
      <c r="F27" s="80">
        <v>0.98</v>
      </c>
      <c r="G27" s="80">
        <v>0.62760955930937368</v>
      </c>
      <c r="H27" s="85">
        <v>0.7</v>
      </c>
      <c r="I27" s="80"/>
      <c r="J27" s="80">
        <v>0.25</v>
      </c>
      <c r="K27" s="80">
        <v>0.05</v>
      </c>
      <c r="V27" s="80">
        <v>0</v>
      </c>
      <c r="W27" s="80">
        <v>0</v>
      </c>
    </row>
    <row r="28" spans="4:33" ht="15" customHeight="1" x14ac:dyDescent="0.5">
      <c r="D28" s="6">
        <v>27</v>
      </c>
      <c r="E28" s="246" t="s">
        <v>275</v>
      </c>
      <c r="F28" s="80">
        <v>0.98</v>
      </c>
      <c r="G28" s="80">
        <v>0.80610323276118578</v>
      </c>
      <c r="H28" s="85">
        <v>0.7</v>
      </c>
      <c r="I28" s="80"/>
      <c r="J28" s="80">
        <v>0.25</v>
      </c>
      <c r="K28" s="80">
        <v>0.05</v>
      </c>
      <c r="V28" s="80">
        <v>0</v>
      </c>
      <c r="W28" s="80">
        <v>0</v>
      </c>
    </row>
    <row r="29" spans="4:33" ht="15" customHeight="1" x14ac:dyDescent="0.5">
      <c r="D29" s="6">
        <v>28</v>
      </c>
      <c r="E29" s="246" t="s">
        <v>276</v>
      </c>
      <c r="F29" s="80">
        <v>0.98</v>
      </c>
      <c r="G29" s="80">
        <v>0.80610323276118578</v>
      </c>
      <c r="H29" s="85">
        <v>0.7</v>
      </c>
      <c r="I29" s="80"/>
      <c r="J29" s="80">
        <v>0.25</v>
      </c>
      <c r="K29" s="80">
        <v>0.05</v>
      </c>
      <c r="V29" s="80">
        <v>0</v>
      </c>
      <c r="W29" s="80">
        <v>0</v>
      </c>
      <c r="Y29"/>
      <c r="AC29"/>
      <c r="AG29"/>
    </row>
    <row r="30" spans="4:33" ht="15" customHeight="1" x14ac:dyDescent="0.5">
      <c r="D30" s="6">
        <v>29</v>
      </c>
      <c r="E30" s="246" t="s">
        <v>277</v>
      </c>
      <c r="F30" s="80">
        <v>0.98</v>
      </c>
      <c r="G30" s="80">
        <v>0.43817546841206029</v>
      </c>
      <c r="H30" s="85">
        <v>0.7</v>
      </c>
      <c r="I30" s="80"/>
      <c r="J30" s="80">
        <v>0.25</v>
      </c>
      <c r="K30" s="80">
        <v>0.05</v>
      </c>
      <c r="V30" s="80">
        <v>0</v>
      </c>
      <c r="W30" s="80">
        <v>0</v>
      </c>
      <c r="Y30"/>
      <c r="AC30"/>
      <c r="AG30"/>
    </row>
    <row r="31" spans="4:33" ht="15" customHeight="1" x14ac:dyDescent="0.5">
      <c r="D31" s="6">
        <v>30</v>
      </c>
      <c r="E31" s="246" t="s">
        <v>278</v>
      </c>
      <c r="F31" s="80">
        <v>0.98</v>
      </c>
      <c r="G31" s="80">
        <v>0.43817546841206029</v>
      </c>
      <c r="H31" s="85">
        <v>0.7</v>
      </c>
      <c r="I31" s="80"/>
      <c r="J31" s="80">
        <v>0.25</v>
      </c>
      <c r="K31" s="80">
        <v>0.05</v>
      </c>
      <c r="V31">
        <v>0</v>
      </c>
      <c r="W31">
        <v>0</v>
      </c>
      <c r="Y31"/>
      <c r="AC31"/>
      <c r="AG31"/>
    </row>
    <row r="32" spans="4:33" ht="15" customHeight="1" x14ac:dyDescent="0.5">
      <c r="D32" s="6">
        <v>31</v>
      </c>
      <c r="E32" s="246" t="s">
        <v>279</v>
      </c>
      <c r="F32" s="80">
        <v>0.98</v>
      </c>
      <c r="G32" s="80">
        <v>0.43817546841206029</v>
      </c>
      <c r="H32" s="85">
        <v>0.7</v>
      </c>
      <c r="I32" s="80"/>
      <c r="J32" s="80">
        <v>0.25</v>
      </c>
      <c r="K32" s="80">
        <v>0.05</v>
      </c>
      <c r="V32">
        <v>0</v>
      </c>
      <c r="W32">
        <v>0</v>
      </c>
      <c r="Y32"/>
      <c r="AC32"/>
      <c r="AG32"/>
    </row>
    <row r="33" spans="4:33" ht="15" customHeight="1" x14ac:dyDescent="0.5">
      <c r="D33" s="6">
        <v>32</v>
      </c>
      <c r="E33" s="245" t="s">
        <v>200</v>
      </c>
      <c r="F33">
        <v>0.98</v>
      </c>
      <c r="G33">
        <v>1.0335232089771511</v>
      </c>
      <c r="H33" s="82">
        <v>0.7</v>
      </c>
      <c r="J33">
        <v>0.25</v>
      </c>
      <c r="K33">
        <v>0.05</v>
      </c>
      <c r="V33">
        <v>0</v>
      </c>
      <c r="W33">
        <v>0</v>
      </c>
      <c r="Y33"/>
      <c r="AC33"/>
      <c r="AG33"/>
    </row>
    <row r="34" spans="4:33" ht="15" customHeight="1" x14ac:dyDescent="0.5">
      <c r="D34" s="6">
        <v>33</v>
      </c>
      <c r="E34" s="245" t="s">
        <v>201</v>
      </c>
      <c r="F34">
        <v>0.98</v>
      </c>
      <c r="G34">
        <v>0.8</v>
      </c>
      <c r="H34" s="82">
        <v>0.7</v>
      </c>
      <c r="J34">
        <v>0.25</v>
      </c>
      <c r="K34">
        <v>0.05</v>
      </c>
      <c r="V34">
        <v>0</v>
      </c>
      <c r="W34">
        <v>0</v>
      </c>
      <c r="Y34"/>
      <c r="AC34"/>
      <c r="AG34"/>
    </row>
    <row r="35" spans="4:33" ht="15" customHeight="1" x14ac:dyDescent="0.5">
      <c r="D35" s="6">
        <v>34</v>
      </c>
      <c r="E35" s="245" t="s">
        <v>202</v>
      </c>
      <c r="F35">
        <v>0.98</v>
      </c>
      <c r="G35">
        <v>0.14729187641941405</v>
      </c>
      <c r="H35" s="82">
        <v>0.3</v>
      </c>
      <c r="J35">
        <v>0.25</v>
      </c>
      <c r="K35">
        <v>0.05</v>
      </c>
      <c r="V35">
        <v>0</v>
      </c>
      <c r="W35">
        <v>0</v>
      </c>
      <c r="Y35"/>
      <c r="AC35"/>
      <c r="AG35"/>
    </row>
    <row r="36" spans="4:33" ht="15" customHeight="1" x14ac:dyDescent="0.5">
      <c r="D36" s="6">
        <v>35</v>
      </c>
      <c r="E36" s="245" t="s">
        <v>203</v>
      </c>
      <c r="F36">
        <v>0.98</v>
      </c>
      <c r="G36">
        <v>0.57633983196893102</v>
      </c>
      <c r="H36" s="82">
        <v>0.6</v>
      </c>
      <c r="J36">
        <v>0.25</v>
      </c>
      <c r="K36">
        <v>0.05</v>
      </c>
      <c r="V36">
        <v>0</v>
      </c>
      <c r="W36">
        <v>0</v>
      </c>
      <c r="Y36"/>
      <c r="AC36"/>
      <c r="AG36"/>
    </row>
    <row r="37" spans="4:33" ht="15" customHeight="1" x14ac:dyDescent="0.5">
      <c r="D37" s="6">
        <v>36</v>
      </c>
      <c r="E37" s="245" t="s">
        <v>204</v>
      </c>
      <c r="F37">
        <v>0.98</v>
      </c>
      <c r="G37">
        <v>0.99113543005655147</v>
      </c>
      <c r="H37" s="82">
        <v>0.6</v>
      </c>
      <c r="J37">
        <v>0.25</v>
      </c>
      <c r="K37">
        <v>0.05</v>
      </c>
      <c r="V37">
        <v>0</v>
      </c>
      <c r="W37">
        <v>0</v>
      </c>
      <c r="Y37"/>
      <c r="AC37"/>
      <c r="AG37"/>
    </row>
    <row r="38" spans="4:33" ht="15" customHeight="1" x14ac:dyDescent="0.5">
      <c r="D38" s="6">
        <v>37</v>
      </c>
      <c r="E38" s="245" t="s">
        <v>205</v>
      </c>
      <c r="F38">
        <v>0.98</v>
      </c>
      <c r="G38">
        <v>0.89554117372819142</v>
      </c>
      <c r="H38" s="82">
        <v>0.6</v>
      </c>
      <c r="J38">
        <v>0.25</v>
      </c>
      <c r="K38">
        <v>0.05</v>
      </c>
      <c r="V38">
        <v>0</v>
      </c>
      <c r="W38">
        <v>0</v>
      </c>
      <c r="Y38"/>
      <c r="AC38"/>
      <c r="AG38"/>
    </row>
    <row r="39" spans="4:33" ht="15" customHeight="1" x14ac:dyDescent="0.5">
      <c r="D39" s="6">
        <v>38</v>
      </c>
      <c r="E39" s="245" t="s">
        <v>206</v>
      </c>
      <c r="F39">
        <v>0.98</v>
      </c>
      <c r="G39">
        <v>0.77753291194030738</v>
      </c>
      <c r="H39" s="82">
        <v>0.3</v>
      </c>
      <c r="J39">
        <v>0.25</v>
      </c>
      <c r="K39">
        <v>0.05</v>
      </c>
      <c r="V39">
        <v>0</v>
      </c>
      <c r="W39">
        <v>0</v>
      </c>
      <c r="Y39"/>
      <c r="AC39"/>
      <c r="AG39"/>
    </row>
    <row r="40" spans="4:33" ht="15" customHeight="1" x14ac:dyDescent="0.5">
      <c r="D40" s="6">
        <v>39</v>
      </c>
      <c r="E40" s="245" t="s">
        <v>207</v>
      </c>
      <c r="F40">
        <v>0.98</v>
      </c>
      <c r="G40">
        <v>1.4470541898614113</v>
      </c>
      <c r="H40" s="82">
        <v>0.3</v>
      </c>
      <c r="J40">
        <v>0.25</v>
      </c>
      <c r="K40">
        <v>0.05</v>
      </c>
      <c r="V40">
        <v>0</v>
      </c>
      <c r="W40">
        <v>0</v>
      </c>
    </row>
    <row r="41" spans="4:33" ht="15" customHeight="1" x14ac:dyDescent="0.5">
      <c r="D41" s="6">
        <v>40</v>
      </c>
      <c r="E41" s="245" t="s">
        <v>208</v>
      </c>
      <c r="F41">
        <v>0.98</v>
      </c>
      <c r="G41">
        <v>0.98359885105007017</v>
      </c>
      <c r="H41" s="82">
        <v>0.3</v>
      </c>
      <c r="J41">
        <v>0.25</v>
      </c>
      <c r="K41">
        <v>0.05</v>
      </c>
      <c r="V41">
        <v>0</v>
      </c>
      <c r="W41">
        <v>0</v>
      </c>
      <c r="Y41"/>
      <c r="AC41"/>
      <c r="AG41"/>
    </row>
    <row r="42" spans="4:33" ht="15" customHeight="1" x14ac:dyDescent="0.5">
      <c r="D42" s="6">
        <v>41</v>
      </c>
      <c r="E42" s="245" t="s">
        <v>209</v>
      </c>
      <c r="F42">
        <v>0.98</v>
      </c>
      <c r="G42">
        <v>6.1008780426079025E-2</v>
      </c>
      <c r="H42" s="82">
        <v>0.3</v>
      </c>
      <c r="J42">
        <v>0.25</v>
      </c>
      <c r="K42">
        <v>0.05</v>
      </c>
      <c r="V42">
        <v>0</v>
      </c>
      <c r="W42">
        <v>0</v>
      </c>
      <c r="Y42"/>
      <c r="AC42"/>
      <c r="AG42"/>
    </row>
    <row r="43" spans="4:33" ht="15" customHeight="1" x14ac:dyDescent="0.5">
      <c r="D43" s="6">
        <v>42</v>
      </c>
      <c r="E43" s="245" t="s">
        <v>210</v>
      </c>
      <c r="F43">
        <v>0.98</v>
      </c>
      <c r="G43">
        <v>0.70300425065832628</v>
      </c>
      <c r="H43" s="82">
        <v>0.3</v>
      </c>
      <c r="J43">
        <v>0.25</v>
      </c>
      <c r="K43">
        <v>0.05</v>
      </c>
      <c r="V43">
        <v>0</v>
      </c>
      <c r="W43">
        <v>0</v>
      </c>
      <c r="Y43"/>
      <c r="AC43"/>
      <c r="AG43"/>
    </row>
    <row r="44" spans="4:33" ht="15" customHeight="1" x14ac:dyDescent="0.5">
      <c r="D44" s="6">
        <v>43</v>
      </c>
      <c r="E44" s="245" t="s">
        <v>211</v>
      </c>
      <c r="F44">
        <v>0.98</v>
      </c>
      <c r="G44">
        <v>0.330249996815206</v>
      </c>
      <c r="H44" s="82">
        <v>0.3</v>
      </c>
      <c r="J44">
        <v>0.25</v>
      </c>
      <c r="K44">
        <v>0.05</v>
      </c>
      <c r="V44">
        <v>0</v>
      </c>
      <c r="W44">
        <v>0</v>
      </c>
      <c r="Y44"/>
      <c r="AC44"/>
      <c r="AG44"/>
    </row>
    <row r="45" spans="4:33" ht="15" customHeight="1" x14ac:dyDescent="0.5">
      <c r="D45" s="6">
        <v>44</v>
      </c>
      <c r="E45" s="245" t="s">
        <v>212</v>
      </c>
      <c r="F45">
        <v>0.98</v>
      </c>
      <c r="G45">
        <v>0.8</v>
      </c>
      <c r="H45" s="82">
        <v>0.3</v>
      </c>
      <c r="J45">
        <v>0.25</v>
      </c>
      <c r="K45">
        <v>0.05</v>
      </c>
      <c r="V45">
        <v>0</v>
      </c>
      <c r="W45">
        <v>0</v>
      </c>
      <c r="Y45"/>
      <c r="AC45"/>
      <c r="AG45"/>
    </row>
    <row r="46" spans="4:33" ht="15" customHeight="1" x14ac:dyDescent="0.5">
      <c r="D46" s="6">
        <v>45</v>
      </c>
      <c r="E46" s="245" t="s">
        <v>213</v>
      </c>
      <c r="F46">
        <v>0.98</v>
      </c>
      <c r="G46">
        <v>7.430610022219751E-2</v>
      </c>
      <c r="H46" s="82">
        <v>0.3</v>
      </c>
      <c r="J46">
        <v>0.25</v>
      </c>
      <c r="K46">
        <v>0.05</v>
      </c>
      <c r="V46">
        <v>0</v>
      </c>
      <c r="W46">
        <v>0</v>
      </c>
      <c r="Y46"/>
      <c r="AC46"/>
      <c r="AG46"/>
    </row>
    <row r="47" spans="4:33" ht="15" customHeight="1" x14ac:dyDescent="0.5">
      <c r="D47" s="6">
        <v>46</v>
      </c>
      <c r="E47" s="245" t="s">
        <v>214</v>
      </c>
      <c r="F47">
        <v>0.98</v>
      </c>
      <c r="G47">
        <v>0.4239047323074438</v>
      </c>
      <c r="H47" s="82">
        <v>0.3</v>
      </c>
      <c r="J47">
        <v>0.25</v>
      </c>
      <c r="K47">
        <v>0.05</v>
      </c>
      <c r="V47">
        <v>0</v>
      </c>
      <c r="W47">
        <v>0</v>
      </c>
      <c r="Y47"/>
      <c r="AC47"/>
      <c r="AG47"/>
    </row>
    <row r="48" spans="4:33" ht="15" customHeight="1" x14ac:dyDescent="0.5">
      <c r="D48" s="6">
        <v>47</v>
      </c>
      <c r="E48" s="245" t="s">
        <v>215</v>
      </c>
      <c r="F48">
        <v>0.98</v>
      </c>
      <c r="G48">
        <v>0.15029379667772308</v>
      </c>
      <c r="H48" s="82">
        <v>0.3</v>
      </c>
      <c r="J48">
        <v>0.25</v>
      </c>
      <c r="K48">
        <v>0.05</v>
      </c>
      <c r="V48">
        <v>0</v>
      </c>
      <c r="W48">
        <v>0</v>
      </c>
      <c r="Y48"/>
      <c r="AC48"/>
      <c r="AG48"/>
    </row>
    <row r="49" spans="4:33" ht="15" customHeight="1" x14ac:dyDescent="0.5">
      <c r="D49" s="6">
        <v>48</v>
      </c>
      <c r="E49" s="245" t="s">
        <v>216</v>
      </c>
      <c r="F49">
        <v>0.98</v>
      </c>
      <c r="G49">
        <v>7.6490929715641197E-3</v>
      </c>
      <c r="H49" s="82">
        <v>0.3</v>
      </c>
      <c r="J49">
        <v>0.25</v>
      </c>
      <c r="K49">
        <v>0.05</v>
      </c>
      <c r="V49">
        <v>0</v>
      </c>
      <c r="W49">
        <v>0</v>
      </c>
      <c r="Y49"/>
      <c r="AC49"/>
      <c r="AG49"/>
    </row>
    <row r="50" spans="4:33" ht="15" customHeight="1" x14ac:dyDescent="0.5">
      <c r="D50" s="6">
        <v>49</v>
      </c>
      <c r="E50" s="245" t="s">
        <v>217</v>
      </c>
      <c r="F50">
        <v>0.98</v>
      </c>
      <c r="G50">
        <v>0.8</v>
      </c>
      <c r="H50" s="82">
        <v>0.6</v>
      </c>
      <c r="J50">
        <v>0.25</v>
      </c>
      <c r="K50">
        <v>0.05</v>
      </c>
      <c r="V50">
        <v>0</v>
      </c>
      <c r="W50">
        <v>0</v>
      </c>
      <c r="Y50"/>
      <c r="AC50"/>
      <c r="AG50"/>
    </row>
    <row r="51" spans="4:33" ht="15" customHeight="1" x14ac:dyDescent="0.5">
      <c r="D51" s="6">
        <v>50</v>
      </c>
      <c r="E51" s="245" t="s">
        <v>218</v>
      </c>
      <c r="F51">
        <v>0.98</v>
      </c>
      <c r="G51">
        <v>1.5758638690859746E-2</v>
      </c>
      <c r="H51" s="82">
        <v>0.3</v>
      </c>
      <c r="J51">
        <v>0.25</v>
      </c>
      <c r="K51">
        <v>0.05</v>
      </c>
      <c r="V51">
        <v>0</v>
      </c>
      <c r="W51">
        <v>0</v>
      </c>
      <c r="Y51"/>
      <c r="AC51"/>
      <c r="AG51"/>
    </row>
    <row r="52" spans="4:33" ht="15" customHeight="1" x14ac:dyDescent="0.5">
      <c r="D52" s="6">
        <v>51</v>
      </c>
      <c r="E52" s="245" t="s">
        <v>219</v>
      </c>
      <c r="F52">
        <v>0.98</v>
      </c>
      <c r="G52">
        <v>0.8</v>
      </c>
      <c r="H52" s="82">
        <v>0.4</v>
      </c>
      <c r="J52">
        <v>0.25</v>
      </c>
      <c r="K52">
        <v>0.05</v>
      </c>
      <c r="V52">
        <v>0</v>
      </c>
      <c r="W52">
        <v>0</v>
      </c>
      <c r="Y52"/>
      <c r="AC52"/>
      <c r="AG52"/>
    </row>
    <row r="53" spans="4:33" ht="15" customHeight="1" x14ac:dyDescent="0.5">
      <c r="D53" s="6">
        <v>52</v>
      </c>
      <c r="E53" s="245" t="s">
        <v>220</v>
      </c>
      <c r="F53">
        <v>0.98</v>
      </c>
      <c r="G53">
        <v>0.13414506834088677</v>
      </c>
      <c r="H53" s="82">
        <v>0.4</v>
      </c>
      <c r="J53">
        <v>0.25</v>
      </c>
      <c r="K53">
        <v>0.05</v>
      </c>
      <c r="V53">
        <v>0</v>
      </c>
      <c r="W53">
        <v>0</v>
      </c>
      <c r="Y53"/>
      <c r="AC53"/>
      <c r="AG53"/>
    </row>
    <row r="54" spans="4:33" ht="15" customHeight="1" x14ac:dyDescent="0.5">
      <c r="D54" s="6">
        <v>53</v>
      </c>
      <c r="E54" s="245" t="s">
        <v>221</v>
      </c>
      <c r="F54">
        <v>0.98</v>
      </c>
      <c r="G54">
        <v>0.35556054614141536</v>
      </c>
      <c r="H54" s="82">
        <v>0.4</v>
      </c>
      <c r="J54">
        <v>0.25</v>
      </c>
      <c r="K54">
        <v>0.05</v>
      </c>
      <c r="V54">
        <v>0</v>
      </c>
      <c r="W54">
        <v>0</v>
      </c>
      <c r="Y54"/>
      <c r="AC54"/>
      <c r="AG54"/>
    </row>
    <row r="55" spans="4:33" ht="15" customHeight="1" x14ac:dyDescent="0.5">
      <c r="D55" s="6">
        <v>54</v>
      </c>
      <c r="E55" s="245" t="s">
        <v>222</v>
      </c>
      <c r="F55">
        <v>0.98</v>
      </c>
      <c r="G55">
        <v>5.1587607642602687E-2</v>
      </c>
      <c r="H55" s="82">
        <v>0.6</v>
      </c>
      <c r="J55">
        <v>0.25</v>
      </c>
      <c r="K55">
        <v>0.05</v>
      </c>
      <c r="V55">
        <v>0</v>
      </c>
      <c r="W55">
        <v>0</v>
      </c>
      <c r="Y55"/>
      <c r="AC55"/>
      <c r="AG55"/>
    </row>
    <row r="56" spans="4:33" ht="15" customHeight="1" x14ac:dyDescent="0.5">
      <c r="D56" s="6">
        <v>55</v>
      </c>
      <c r="E56" s="245" t="s">
        <v>223</v>
      </c>
      <c r="F56">
        <v>0.98</v>
      </c>
      <c r="G56">
        <v>0.8</v>
      </c>
      <c r="H56" s="82">
        <v>0.7</v>
      </c>
      <c r="J56">
        <v>0.25</v>
      </c>
      <c r="K56">
        <v>0.05</v>
      </c>
      <c r="V56">
        <v>0</v>
      </c>
      <c r="W56">
        <v>0</v>
      </c>
      <c r="Y56"/>
      <c r="AC56"/>
      <c r="AG56"/>
    </row>
    <row r="57" spans="4:33" ht="15" customHeight="1" x14ac:dyDescent="0.5">
      <c r="D57" s="6">
        <v>56</v>
      </c>
      <c r="E57" s="245" t="s">
        <v>224</v>
      </c>
      <c r="F57">
        <v>0.98</v>
      </c>
      <c r="G57">
        <v>0.8</v>
      </c>
      <c r="H57" s="82">
        <v>0.7</v>
      </c>
      <c r="J57">
        <v>0.25</v>
      </c>
      <c r="K57">
        <v>0.05</v>
      </c>
      <c r="V57">
        <v>0</v>
      </c>
      <c r="W57">
        <v>0</v>
      </c>
      <c r="Y57"/>
      <c r="AC57"/>
      <c r="AG57"/>
    </row>
    <row r="58" spans="4:33" ht="15" customHeight="1" x14ac:dyDescent="0.5">
      <c r="D58" s="6">
        <v>57</v>
      </c>
      <c r="E58" s="245" t="s">
        <v>225</v>
      </c>
      <c r="F58">
        <v>0.98</v>
      </c>
      <c r="G58">
        <v>1.6828415364407669</v>
      </c>
      <c r="H58" s="82">
        <v>0.7</v>
      </c>
      <c r="J58">
        <v>0.25</v>
      </c>
      <c r="K58">
        <v>0.05</v>
      </c>
      <c r="V58">
        <v>0</v>
      </c>
      <c r="W58">
        <v>0</v>
      </c>
      <c r="Y58"/>
      <c r="AC58"/>
      <c r="AG58"/>
    </row>
    <row r="59" spans="4:33" ht="15" customHeight="1" x14ac:dyDescent="0.5">
      <c r="D59" s="6">
        <v>58</v>
      </c>
      <c r="E59" s="245" t="s">
        <v>226</v>
      </c>
      <c r="F59">
        <v>0.98</v>
      </c>
      <c r="G59">
        <v>0.8</v>
      </c>
      <c r="H59" s="82">
        <v>0.6</v>
      </c>
      <c r="J59">
        <v>0.25</v>
      </c>
      <c r="K59">
        <v>0.05</v>
      </c>
      <c r="V59">
        <v>0</v>
      </c>
      <c r="W59">
        <v>0</v>
      </c>
      <c r="Y59"/>
      <c r="AC59"/>
      <c r="AG59"/>
    </row>
    <row r="60" spans="4:33" ht="15" customHeight="1" x14ac:dyDescent="0.5">
      <c r="D60" s="6">
        <v>59</v>
      </c>
      <c r="E60" s="245" t="s">
        <v>227</v>
      </c>
      <c r="F60">
        <v>0.98</v>
      </c>
      <c r="G60">
        <v>0.8</v>
      </c>
      <c r="H60" s="82">
        <v>0.4</v>
      </c>
      <c r="J60">
        <v>0.25</v>
      </c>
      <c r="K60">
        <v>0.05</v>
      </c>
      <c r="V60">
        <v>0</v>
      </c>
      <c r="W60">
        <v>0</v>
      </c>
      <c r="Y60"/>
      <c r="AC60"/>
      <c r="AG60"/>
    </row>
    <row r="61" spans="4:33" ht="15" customHeight="1" x14ac:dyDescent="0.5">
      <c r="D61" s="6">
        <v>60</v>
      </c>
      <c r="E61" s="245" t="s">
        <v>228</v>
      </c>
      <c r="F61">
        <v>0.98</v>
      </c>
      <c r="G61">
        <v>0.8</v>
      </c>
      <c r="H61" s="82">
        <v>0.7</v>
      </c>
      <c r="J61">
        <v>0.25</v>
      </c>
      <c r="K61">
        <v>0.05</v>
      </c>
      <c r="V61">
        <v>0</v>
      </c>
      <c r="W61">
        <v>0</v>
      </c>
      <c r="Y61"/>
      <c r="AC61"/>
      <c r="AG61"/>
    </row>
    <row r="62" spans="4:33" ht="15" customHeight="1" x14ac:dyDescent="0.5">
      <c r="D62" s="6">
        <v>61</v>
      </c>
      <c r="E62" s="245" t="s">
        <v>229</v>
      </c>
      <c r="F62">
        <v>0.98</v>
      </c>
      <c r="G62">
        <v>0.8</v>
      </c>
      <c r="H62" s="82">
        <v>0.4</v>
      </c>
      <c r="J62">
        <v>0.25</v>
      </c>
      <c r="K62">
        <v>0.05</v>
      </c>
      <c r="V62">
        <v>0</v>
      </c>
      <c r="W62">
        <v>0</v>
      </c>
      <c r="Y62"/>
      <c r="AC62"/>
      <c r="AG62"/>
    </row>
    <row r="63" spans="4:33" ht="15" customHeight="1" x14ac:dyDescent="0.5">
      <c r="D63" s="6">
        <v>62</v>
      </c>
      <c r="E63" s="245" t="s">
        <v>230</v>
      </c>
      <c r="F63">
        <v>0.98</v>
      </c>
      <c r="G63">
        <v>0.8</v>
      </c>
      <c r="H63" s="82">
        <v>0.6</v>
      </c>
      <c r="J63">
        <v>0.25</v>
      </c>
      <c r="K63">
        <v>0.05</v>
      </c>
      <c r="V63">
        <v>0</v>
      </c>
      <c r="W63">
        <v>0</v>
      </c>
      <c r="Y63"/>
      <c r="AC63"/>
      <c r="AG63"/>
    </row>
    <row r="64" spans="4:33" ht="15" customHeight="1" x14ac:dyDescent="0.5">
      <c r="D64" s="6">
        <v>63</v>
      </c>
      <c r="E64" s="245" t="s">
        <v>231</v>
      </c>
      <c r="F64">
        <v>0.98</v>
      </c>
      <c r="G64">
        <v>0.8</v>
      </c>
      <c r="H64" s="82">
        <v>0.4</v>
      </c>
      <c r="J64">
        <v>0.25</v>
      </c>
      <c r="K64">
        <v>0.05</v>
      </c>
      <c r="V64">
        <v>0</v>
      </c>
      <c r="W64">
        <v>0</v>
      </c>
      <c r="Y64"/>
      <c r="AC64"/>
      <c r="AG64"/>
    </row>
    <row r="65" spans="4:33" ht="15" customHeight="1" x14ac:dyDescent="0.5">
      <c r="D65" s="6">
        <v>64</v>
      </c>
      <c r="E65" s="245" t="s">
        <v>232</v>
      </c>
      <c r="F65">
        <v>0.98</v>
      </c>
      <c r="G65">
        <v>0.8</v>
      </c>
      <c r="H65" s="82">
        <v>0.6</v>
      </c>
      <c r="J65">
        <v>0.25</v>
      </c>
      <c r="K65">
        <v>0.05</v>
      </c>
      <c r="V65">
        <v>0</v>
      </c>
      <c r="W65">
        <v>0</v>
      </c>
      <c r="Y65"/>
      <c r="AC65"/>
      <c r="AG65"/>
    </row>
    <row r="66" spans="4:33" ht="15" customHeight="1" x14ac:dyDescent="0.5">
      <c r="D66" s="6">
        <v>65</v>
      </c>
      <c r="E66" s="245" t="s">
        <v>233</v>
      </c>
      <c r="F66">
        <v>0.98</v>
      </c>
      <c r="G66">
        <v>0.8</v>
      </c>
      <c r="H66" s="82">
        <v>0.6</v>
      </c>
      <c r="J66">
        <v>0.25</v>
      </c>
      <c r="K66">
        <v>0.05</v>
      </c>
      <c r="V66">
        <v>0</v>
      </c>
      <c r="W66">
        <v>0</v>
      </c>
      <c r="Y66"/>
      <c r="AC66"/>
      <c r="AG66"/>
    </row>
    <row r="67" spans="4:33" ht="15" customHeight="1" x14ac:dyDescent="0.5">
      <c r="D67" s="6">
        <v>66</v>
      </c>
      <c r="E67" s="245" t="s">
        <v>234</v>
      </c>
      <c r="F67">
        <v>0.98</v>
      </c>
      <c r="G67">
        <v>0.8</v>
      </c>
      <c r="H67" s="82">
        <v>0.6</v>
      </c>
      <c r="J67">
        <v>0.25</v>
      </c>
      <c r="K67">
        <v>0.05</v>
      </c>
      <c r="V67">
        <v>0</v>
      </c>
      <c r="W67">
        <v>0</v>
      </c>
      <c r="Y67"/>
      <c r="AC67"/>
      <c r="AG67"/>
    </row>
    <row r="68" spans="4:33" ht="15" customHeight="1" x14ac:dyDescent="0.5">
      <c r="D68" s="6">
        <v>67</v>
      </c>
      <c r="E68" s="245" t="s">
        <v>235</v>
      </c>
      <c r="F68">
        <v>0.98</v>
      </c>
      <c r="G68">
        <v>0.8</v>
      </c>
      <c r="H68" s="82">
        <v>0.6</v>
      </c>
      <c r="J68">
        <v>0.25</v>
      </c>
      <c r="K68">
        <v>0.05</v>
      </c>
      <c r="V68">
        <v>0</v>
      </c>
      <c r="W68">
        <v>0</v>
      </c>
      <c r="Y68"/>
      <c r="AC68"/>
      <c r="AG68"/>
    </row>
    <row r="69" spans="4:33" ht="15" customHeight="1" x14ac:dyDescent="0.5">
      <c r="D69" s="6">
        <v>68</v>
      </c>
      <c r="E69" s="245" t="s">
        <v>236</v>
      </c>
      <c r="F69">
        <v>0.98</v>
      </c>
      <c r="G69">
        <v>0.8</v>
      </c>
      <c r="H69" s="82">
        <v>0.6</v>
      </c>
      <c r="J69">
        <v>0.25</v>
      </c>
      <c r="K69">
        <v>0.05</v>
      </c>
      <c r="V69">
        <v>0</v>
      </c>
      <c r="W69">
        <v>0</v>
      </c>
      <c r="Y69"/>
      <c r="AC69"/>
      <c r="AG69"/>
    </row>
    <row r="70" spans="4:33" ht="15" customHeight="1" x14ac:dyDescent="0.5">
      <c r="D70" s="6">
        <v>69</v>
      </c>
      <c r="E70" s="245" t="s">
        <v>237</v>
      </c>
      <c r="F70">
        <v>0.98</v>
      </c>
      <c r="G70">
        <v>0.45483011103761056</v>
      </c>
      <c r="H70" s="82">
        <v>0.6</v>
      </c>
      <c r="J70">
        <v>0.25</v>
      </c>
      <c r="K70">
        <v>0.05</v>
      </c>
      <c r="V70">
        <v>0</v>
      </c>
      <c r="W70">
        <v>0</v>
      </c>
      <c r="Y70"/>
      <c r="AC70"/>
      <c r="AG70"/>
    </row>
    <row r="71" spans="4:33" ht="15" customHeight="1" x14ac:dyDescent="0.5">
      <c r="D71" s="6">
        <v>70</v>
      </c>
      <c r="E71" s="245" t="s">
        <v>238</v>
      </c>
      <c r="F71">
        <v>0.98</v>
      </c>
      <c r="G71">
        <v>1.3449487304912708</v>
      </c>
      <c r="H71" s="82">
        <v>0.6</v>
      </c>
      <c r="J71">
        <v>0.25</v>
      </c>
      <c r="K71">
        <v>0.05</v>
      </c>
      <c r="V71">
        <v>0</v>
      </c>
      <c r="W71">
        <v>0</v>
      </c>
      <c r="Y71"/>
      <c r="AC71"/>
      <c r="AG71"/>
    </row>
    <row r="72" spans="4:33" ht="15" customHeight="1" x14ac:dyDescent="0.5">
      <c r="D72" s="6">
        <v>71</v>
      </c>
      <c r="E72" s="245" t="s">
        <v>239</v>
      </c>
      <c r="F72">
        <v>0.98</v>
      </c>
      <c r="G72">
        <v>0.5831962380954383</v>
      </c>
      <c r="H72" s="82">
        <v>0.6</v>
      </c>
      <c r="J72">
        <v>0.25</v>
      </c>
      <c r="K72">
        <v>0.05</v>
      </c>
      <c r="V72">
        <v>0</v>
      </c>
      <c r="W72">
        <v>0</v>
      </c>
      <c r="Y72"/>
      <c r="AC72"/>
      <c r="AG72"/>
    </row>
    <row r="73" spans="4:33" ht="15" customHeight="1" x14ac:dyDescent="0.5">
      <c r="D73" s="6">
        <v>72</v>
      </c>
      <c r="E73" s="245" t="s">
        <v>240</v>
      </c>
      <c r="F73">
        <v>0.98</v>
      </c>
      <c r="G73">
        <v>0.52703833283810064</v>
      </c>
      <c r="H73" s="82">
        <v>0.6</v>
      </c>
      <c r="J73">
        <v>0.25</v>
      </c>
      <c r="K73">
        <v>0.05</v>
      </c>
      <c r="V73">
        <v>0</v>
      </c>
      <c r="W73">
        <v>0</v>
      </c>
      <c r="Y73"/>
      <c r="AC73"/>
      <c r="AG73"/>
    </row>
    <row r="74" spans="4:33" ht="15" customHeight="1" x14ac:dyDescent="0.5">
      <c r="D74" s="6">
        <v>73</v>
      </c>
      <c r="E74" s="245" t="s">
        <v>241</v>
      </c>
      <c r="F74">
        <v>0.98</v>
      </c>
      <c r="G74">
        <v>0.96257736817990014</v>
      </c>
      <c r="H74" s="82">
        <v>0.6</v>
      </c>
      <c r="J74">
        <v>0.25</v>
      </c>
      <c r="K74">
        <v>0.05</v>
      </c>
      <c r="V74">
        <v>0</v>
      </c>
      <c r="W74">
        <v>0</v>
      </c>
      <c r="Y74"/>
      <c r="AC74"/>
      <c r="AG74"/>
    </row>
    <row r="75" spans="4:33" ht="15" customHeight="1" x14ac:dyDescent="0.5">
      <c r="D75" s="6">
        <v>74</v>
      </c>
      <c r="E75" s="245" t="s">
        <v>242</v>
      </c>
      <c r="F75">
        <v>0.98</v>
      </c>
      <c r="G75">
        <v>0.57920280745982289</v>
      </c>
      <c r="H75" s="82">
        <v>0.6</v>
      </c>
      <c r="J75">
        <v>0.25</v>
      </c>
      <c r="K75">
        <v>0.05</v>
      </c>
      <c r="V75">
        <v>0</v>
      </c>
      <c r="W75">
        <v>0</v>
      </c>
      <c r="Y75"/>
      <c r="AC75"/>
      <c r="AG75"/>
    </row>
    <row r="76" spans="4:33" ht="15" customHeight="1" x14ac:dyDescent="0.5">
      <c r="D76" s="6">
        <v>75</v>
      </c>
      <c r="E76" s="245" t="s">
        <v>243</v>
      </c>
      <c r="F76">
        <v>0.98</v>
      </c>
      <c r="G76">
        <v>0.78435003357708999</v>
      </c>
      <c r="H76" s="82">
        <v>0.6</v>
      </c>
      <c r="J76">
        <v>0.25</v>
      </c>
      <c r="K76">
        <v>0.05</v>
      </c>
      <c r="V76">
        <v>0</v>
      </c>
      <c r="W76">
        <v>0</v>
      </c>
      <c r="Y76"/>
      <c r="AC76"/>
      <c r="AG76"/>
    </row>
    <row r="77" spans="4:33" ht="15" customHeight="1" x14ac:dyDescent="0.5">
      <c r="D77" s="6">
        <v>76</v>
      </c>
      <c r="E77" s="245" t="s">
        <v>244</v>
      </c>
      <c r="F77">
        <v>0.98</v>
      </c>
      <c r="G77">
        <v>1.4389189407500089</v>
      </c>
      <c r="H77" s="82">
        <v>0.6</v>
      </c>
      <c r="J77">
        <v>0.25</v>
      </c>
      <c r="K77">
        <v>0.05</v>
      </c>
      <c r="V77">
        <v>0</v>
      </c>
      <c r="W77">
        <v>0</v>
      </c>
    </row>
    <row r="78" spans="4:33" ht="15" customHeight="1" x14ac:dyDescent="0.5">
      <c r="D78" s="6">
        <v>77</v>
      </c>
      <c r="E78" s="245" t="s">
        <v>245</v>
      </c>
      <c r="F78">
        <v>0.98</v>
      </c>
      <c r="G78">
        <v>0.5</v>
      </c>
      <c r="H78" s="82">
        <v>0.6</v>
      </c>
      <c r="J78">
        <v>0.25</v>
      </c>
      <c r="K78">
        <v>0.05</v>
      </c>
      <c r="V78">
        <v>0</v>
      </c>
      <c r="W78">
        <v>0</v>
      </c>
    </row>
    <row r="79" spans="4:33" ht="15" customHeight="1" x14ac:dyDescent="0.5">
      <c r="D79" s="6">
        <v>78</v>
      </c>
      <c r="E79" s="245" t="s">
        <v>246</v>
      </c>
      <c r="F79">
        <v>0.98</v>
      </c>
      <c r="G79">
        <v>0.5</v>
      </c>
      <c r="H79" s="82">
        <v>0.6</v>
      </c>
      <c r="J79">
        <v>0.25</v>
      </c>
      <c r="K79">
        <v>0.05</v>
      </c>
      <c r="V79">
        <v>0</v>
      </c>
      <c r="W79">
        <v>0</v>
      </c>
    </row>
    <row r="80" spans="4:33" ht="15" customHeight="1" x14ac:dyDescent="0.5">
      <c r="D80" s="6">
        <v>79</v>
      </c>
      <c r="E80" s="245" t="s">
        <v>247</v>
      </c>
      <c r="F80">
        <v>0.98</v>
      </c>
      <c r="G80">
        <v>0.5</v>
      </c>
      <c r="H80" s="82">
        <v>0.6</v>
      </c>
      <c r="J80">
        <v>0.25</v>
      </c>
      <c r="K80">
        <v>0.05</v>
      </c>
      <c r="V80">
        <v>0</v>
      </c>
      <c r="W80">
        <v>0</v>
      </c>
    </row>
    <row r="81" spans="4:23" customFormat="1" ht="15" customHeight="1" x14ac:dyDescent="0.5">
      <c r="D81" s="6">
        <v>80</v>
      </c>
      <c r="E81" s="246" t="s">
        <v>280</v>
      </c>
      <c r="F81" s="216">
        <v>0.98</v>
      </c>
      <c r="G81" s="216">
        <v>0.5</v>
      </c>
      <c r="H81" s="82">
        <v>0.6</v>
      </c>
      <c r="I81" s="216"/>
      <c r="J81" s="216">
        <v>0.25</v>
      </c>
      <c r="K81" s="216">
        <v>0.05</v>
      </c>
      <c r="V81">
        <v>0</v>
      </c>
      <c r="W81">
        <v>0</v>
      </c>
    </row>
    <row r="82" spans="4:23" customFormat="1" ht="15" customHeight="1" x14ac:dyDescent="0.5">
      <c r="D82" s="6">
        <v>81</v>
      </c>
      <c r="E82" s="246" t="s">
        <v>281</v>
      </c>
      <c r="F82" s="216">
        <v>0.98</v>
      </c>
      <c r="G82" s="216">
        <v>0.5</v>
      </c>
      <c r="H82" s="82">
        <v>0.6</v>
      </c>
      <c r="I82" s="216"/>
      <c r="J82" s="216">
        <v>0.25</v>
      </c>
      <c r="K82" s="216">
        <v>0.05</v>
      </c>
      <c r="V82">
        <v>0</v>
      </c>
      <c r="W82">
        <v>0</v>
      </c>
    </row>
    <row r="83" spans="4:23" customFormat="1" ht="15" customHeight="1" x14ac:dyDescent="0.5">
      <c r="D83" s="6">
        <v>82</v>
      </c>
      <c r="E83" s="245" t="s">
        <v>248</v>
      </c>
      <c r="F83">
        <v>0.98</v>
      </c>
      <c r="G83">
        <v>0.5</v>
      </c>
      <c r="H83" s="82">
        <v>0.6</v>
      </c>
      <c r="J83">
        <v>0.25</v>
      </c>
      <c r="K83">
        <v>0.05</v>
      </c>
      <c r="V83">
        <v>0</v>
      </c>
      <c r="W83">
        <v>0</v>
      </c>
    </row>
    <row r="84" spans="4:23" customFormat="1" ht="15" customHeight="1" x14ac:dyDescent="0.5">
      <c r="D84" s="6">
        <v>83</v>
      </c>
      <c r="E84" s="245" t="s">
        <v>249</v>
      </c>
      <c r="F84">
        <v>0.98</v>
      </c>
      <c r="G84">
        <v>0.5</v>
      </c>
      <c r="H84" s="82">
        <v>0.6</v>
      </c>
      <c r="J84">
        <v>0.25</v>
      </c>
      <c r="K84">
        <v>0.05</v>
      </c>
      <c r="V84">
        <v>0</v>
      </c>
      <c r="W84">
        <v>0</v>
      </c>
    </row>
    <row r="85" spans="4:23" customFormat="1" ht="15" customHeight="1" x14ac:dyDescent="0.5">
      <c r="D85" s="6">
        <v>84</v>
      </c>
      <c r="E85" s="246" t="s">
        <v>282</v>
      </c>
      <c r="F85" s="216">
        <v>0.98</v>
      </c>
      <c r="G85" s="216">
        <v>0.5</v>
      </c>
      <c r="H85" s="82">
        <v>0.6</v>
      </c>
      <c r="I85" s="216"/>
      <c r="J85" s="216">
        <v>0.25</v>
      </c>
      <c r="K85" s="216">
        <v>0.05</v>
      </c>
      <c r="V85">
        <v>0</v>
      </c>
      <c r="W85">
        <v>0</v>
      </c>
    </row>
    <row r="86" spans="4:23" customFormat="1" ht="15" customHeight="1" x14ac:dyDescent="0.5">
      <c r="D86" s="6">
        <v>85</v>
      </c>
      <c r="E86" s="246" t="s">
        <v>283</v>
      </c>
      <c r="F86" s="216">
        <v>0.98</v>
      </c>
      <c r="G86" s="216">
        <v>0.5</v>
      </c>
      <c r="H86" s="82">
        <v>0.6</v>
      </c>
      <c r="I86" s="216"/>
      <c r="J86" s="216">
        <v>0.25</v>
      </c>
      <c r="K86" s="216">
        <v>0.05</v>
      </c>
      <c r="V86">
        <v>0</v>
      </c>
      <c r="W86">
        <v>0</v>
      </c>
    </row>
    <row r="87" spans="4:23" customFormat="1" ht="15" customHeight="1" x14ac:dyDescent="0.5">
      <c r="D87" s="6">
        <v>86</v>
      </c>
      <c r="E87" s="245" t="s">
        <v>250</v>
      </c>
      <c r="F87">
        <v>0.98</v>
      </c>
      <c r="G87">
        <v>0.6176327302753245</v>
      </c>
      <c r="H87" s="82">
        <v>0</v>
      </c>
      <c r="J87">
        <v>0</v>
      </c>
      <c r="K87">
        <v>0</v>
      </c>
      <c r="V87">
        <v>0</v>
      </c>
      <c r="W87">
        <v>0</v>
      </c>
    </row>
    <row r="88" spans="4:23" customFormat="1" ht="15" customHeight="1" x14ac:dyDescent="0.5">
      <c r="D88" s="217">
        <v>87</v>
      </c>
      <c r="E88" s="245" t="s">
        <v>251</v>
      </c>
      <c r="F88">
        <v>0.98</v>
      </c>
      <c r="G88">
        <v>1.937945270515649</v>
      </c>
      <c r="H88" s="82">
        <v>0</v>
      </c>
      <c r="J88">
        <v>0</v>
      </c>
      <c r="K88">
        <v>0</v>
      </c>
      <c r="V88" s="216">
        <v>0</v>
      </c>
      <c r="W88" s="216">
        <v>0</v>
      </c>
    </row>
    <row r="89" spans="4:23" customFormat="1" ht="15" customHeight="1" x14ac:dyDescent="0.5">
      <c r="D89" s="217">
        <v>88</v>
      </c>
      <c r="E89" s="245" t="s">
        <v>252</v>
      </c>
      <c r="F89">
        <v>0.98</v>
      </c>
      <c r="G89">
        <v>0.8</v>
      </c>
      <c r="H89" s="82">
        <v>0</v>
      </c>
      <c r="J89">
        <v>0</v>
      </c>
      <c r="K89">
        <v>0</v>
      </c>
      <c r="V89" s="216">
        <v>0</v>
      </c>
      <c r="W89" s="216">
        <v>0</v>
      </c>
    </row>
    <row r="90" spans="4:23" customFormat="1" ht="15" customHeight="1" x14ac:dyDescent="0.5">
      <c r="D90" s="217">
        <v>89</v>
      </c>
      <c r="E90" s="245" t="s">
        <v>253</v>
      </c>
      <c r="F90">
        <v>0.98</v>
      </c>
      <c r="G90">
        <v>0.8</v>
      </c>
      <c r="H90" s="82">
        <v>0</v>
      </c>
      <c r="J90">
        <v>0</v>
      </c>
      <c r="K90">
        <v>0</v>
      </c>
      <c r="V90" s="216">
        <v>0</v>
      </c>
      <c r="W90" s="216">
        <v>0</v>
      </c>
    </row>
    <row r="91" spans="4:23" customFormat="1" ht="15" customHeight="1" x14ac:dyDescent="0.5">
      <c r="D91" s="217">
        <v>90</v>
      </c>
      <c r="E91" s="245" t="s">
        <v>254</v>
      </c>
      <c r="F91">
        <v>0.98</v>
      </c>
      <c r="G91">
        <v>0.8</v>
      </c>
      <c r="H91" s="82">
        <v>0</v>
      </c>
      <c r="J91">
        <v>0</v>
      </c>
      <c r="K91">
        <v>0</v>
      </c>
      <c r="V91" s="216">
        <v>0</v>
      </c>
      <c r="W91" s="216">
        <v>0</v>
      </c>
    </row>
    <row r="92" spans="4:23" customFormat="1" ht="15" customHeight="1" x14ac:dyDescent="0.4">
      <c r="J92" s="67"/>
      <c r="K92" s="67"/>
    </row>
    <row r="93" spans="4:23" customFormat="1" ht="15" customHeight="1" x14ac:dyDescent="0.4">
      <c r="J93" s="67"/>
      <c r="K93" s="67"/>
    </row>
    <row r="94" spans="4:23" customFormat="1" ht="15" customHeight="1" x14ac:dyDescent="0.4">
      <c r="J94" s="67"/>
      <c r="K94" s="67"/>
    </row>
    <row r="95" spans="4:23" customFormat="1" ht="15" customHeight="1" x14ac:dyDescent="0.4">
      <c r="J95" s="67"/>
      <c r="K95" s="67"/>
    </row>
    <row r="96" spans="4:23" customFormat="1" ht="15" customHeight="1" x14ac:dyDescent="0.4">
      <c r="J96" s="67"/>
      <c r="K96" s="67"/>
    </row>
    <row r="97" spans="10:11" customFormat="1" ht="15" customHeight="1" x14ac:dyDescent="0.4">
      <c r="J97" s="67"/>
      <c r="K97" s="67"/>
    </row>
    <row r="98" spans="10:11" customFormat="1" ht="15" customHeight="1" x14ac:dyDescent="0.4">
      <c r="J98" s="67"/>
      <c r="K98" s="67"/>
    </row>
    <row r="99" spans="10:11" customFormat="1" ht="15" customHeight="1" x14ac:dyDescent="0.4">
      <c r="J99" s="67"/>
      <c r="K99" s="67"/>
    </row>
    <row r="100" spans="10:11" customFormat="1" ht="15" customHeight="1" x14ac:dyDescent="0.4">
      <c r="J100" s="67"/>
      <c r="K100" s="67"/>
    </row>
    <row r="101" spans="10:11" customFormat="1" ht="15" customHeight="1" x14ac:dyDescent="0.4">
      <c r="J101" s="67"/>
      <c r="K101" s="67"/>
    </row>
    <row r="102" spans="10:11" customFormat="1" ht="15" customHeight="1" x14ac:dyDescent="0.4">
      <c r="J102" s="67"/>
      <c r="K102" s="67"/>
    </row>
    <row r="103" spans="10:11" customFormat="1" ht="15" customHeight="1" x14ac:dyDescent="0.4">
      <c r="J103" s="67"/>
      <c r="K103" s="67"/>
    </row>
    <row r="104" spans="10:11" customFormat="1" ht="15" customHeight="1" x14ac:dyDescent="0.4"/>
    <row r="105" spans="10:11" customFormat="1" ht="15" customHeight="1" x14ac:dyDescent="0.4"/>
    <row r="106" spans="10:11" customFormat="1" ht="15" customHeight="1" x14ac:dyDescent="0.4"/>
    <row r="107" spans="10:11" customFormat="1" ht="15" customHeight="1" x14ac:dyDescent="0.4"/>
    <row r="108" spans="10:11" customFormat="1" ht="15" customHeight="1" x14ac:dyDescent="0.4"/>
    <row r="109" spans="10:11" customFormat="1" ht="15" customHeight="1" x14ac:dyDescent="0.4"/>
    <row r="110" spans="10:11" customFormat="1" ht="15" customHeight="1" x14ac:dyDescent="0.4"/>
    <row r="111" spans="10:11" customFormat="1" ht="15" customHeight="1" x14ac:dyDescent="0.4"/>
    <row r="112" spans="10:11" customFormat="1" ht="15" customHeight="1" x14ac:dyDescent="0.4"/>
    <row r="113" customFormat="1" ht="15" customHeight="1" x14ac:dyDescent="0.4"/>
    <row r="114" customFormat="1" ht="15" customHeight="1" x14ac:dyDescent="0.4"/>
    <row r="115" customFormat="1" ht="15" customHeight="1" x14ac:dyDescent="0.4"/>
    <row r="116" customFormat="1" ht="15" customHeight="1" x14ac:dyDescent="0.4"/>
    <row r="117" customFormat="1" ht="15" customHeight="1" x14ac:dyDescent="0.4"/>
    <row r="118" customFormat="1" ht="15" customHeight="1" x14ac:dyDescent="0.4"/>
    <row r="119" customFormat="1" ht="15" customHeight="1" x14ac:dyDescent="0.4"/>
    <row r="120" customFormat="1" ht="15" customHeight="1" x14ac:dyDescent="0.4"/>
    <row r="121" customFormat="1" ht="15" customHeight="1" x14ac:dyDescent="0.4"/>
    <row r="122" customFormat="1" ht="15" customHeight="1" x14ac:dyDescent="0.4"/>
    <row r="123" customFormat="1" ht="15" customHeight="1" x14ac:dyDescent="0.4"/>
    <row r="124" customFormat="1" ht="15" customHeight="1" x14ac:dyDescent="0.4"/>
    <row r="125" customFormat="1" ht="15" customHeight="1" x14ac:dyDescent="0.4"/>
    <row r="126" customFormat="1" ht="15" customHeight="1" x14ac:dyDescent="0.4"/>
    <row r="127" customFormat="1" ht="15" customHeight="1" x14ac:dyDescent="0.4"/>
    <row r="128" customFormat="1" ht="15" customHeight="1" x14ac:dyDescent="0.4"/>
    <row r="129" customFormat="1" ht="15" customHeight="1" x14ac:dyDescent="0.4"/>
    <row r="130" customFormat="1" ht="15" customHeight="1" x14ac:dyDescent="0.4"/>
    <row r="131" customFormat="1" ht="15" customHeight="1" x14ac:dyDescent="0.4"/>
    <row r="132" customFormat="1" ht="15" customHeight="1" x14ac:dyDescent="0.4"/>
    <row r="133" customFormat="1" ht="15" customHeight="1" x14ac:dyDescent="0.4"/>
    <row r="134" customFormat="1" ht="15" customHeight="1" x14ac:dyDescent="0.4"/>
    <row r="135" customFormat="1" ht="15" customHeight="1" x14ac:dyDescent="0.4"/>
    <row r="136" customFormat="1" ht="15" customHeight="1" x14ac:dyDescent="0.4"/>
    <row r="137" customFormat="1" ht="15" customHeight="1" x14ac:dyDescent="0.4"/>
    <row r="138" customFormat="1" ht="15" customHeight="1" x14ac:dyDescent="0.4"/>
    <row r="139" customFormat="1" ht="15" customHeight="1" x14ac:dyDescent="0.4"/>
    <row r="140" customFormat="1" ht="15" customHeight="1" x14ac:dyDescent="0.4"/>
    <row r="141" customFormat="1" ht="15" customHeight="1" x14ac:dyDescent="0.4"/>
    <row r="142" customFormat="1" ht="15" customHeight="1" x14ac:dyDescent="0.4"/>
    <row r="143" customFormat="1" ht="15" customHeight="1" x14ac:dyDescent="0.4"/>
    <row r="144" customFormat="1" ht="15" customHeight="1" x14ac:dyDescent="0.4"/>
    <row r="145" customFormat="1" ht="15" customHeight="1" x14ac:dyDescent="0.4"/>
    <row r="146" customFormat="1" ht="15" customHeight="1" x14ac:dyDescent="0.4"/>
    <row r="147" customFormat="1" ht="15" customHeight="1" x14ac:dyDescent="0.4"/>
    <row r="148" customFormat="1" ht="15" customHeight="1" x14ac:dyDescent="0.4"/>
    <row r="149" customFormat="1" ht="15" customHeight="1" x14ac:dyDescent="0.4"/>
    <row r="150" customFormat="1" ht="15" customHeight="1" x14ac:dyDescent="0.4"/>
    <row r="151" customFormat="1" ht="15" customHeight="1" x14ac:dyDescent="0.4"/>
    <row r="152" customFormat="1" ht="15" customHeight="1" x14ac:dyDescent="0.4"/>
    <row r="153" customFormat="1" ht="15" customHeight="1" x14ac:dyDescent="0.4"/>
    <row r="154" customFormat="1" ht="15" customHeight="1" x14ac:dyDescent="0.4"/>
    <row r="155" customFormat="1" ht="15" customHeight="1" x14ac:dyDescent="0.4"/>
    <row r="156" customFormat="1" ht="15" customHeight="1" x14ac:dyDescent="0.4"/>
    <row r="157" customFormat="1" ht="15" customHeight="1" x14ac:dyDescent="0.4"/>
    <row r="158" customFormat="1" ht="15" customHeight="1" x14ac:dyDescent="0.4"/>
    <row r="159" customFormat="1" ht="15" customHeight="1" x14ac:dyDescent="0.4"/>
    <row r="160" customFormat="1" ht="15" customHeight="1" x14ac:dyDescent="0.4"/>
    <row r="161" customFormat="1" ht="15" customHeight="1" x14ac:dyDescent="0.4"/>
    <row r="162" customFormat="1" ht="15" customHeight="1" x14ac:dyDescent="0.4"/>
    <row r="163" customFormat="1" ht="15" customHeight="1" x14ac:dyDescent="0.4"/>
    <row r="164" customFormat="1" ht="15" customHeight="1" x14ac:dyDescent="0.4"/>
    <row r="165" customFormat="1" ht="15" customHeight="1" x14ac:dyDescent="0.4"/>
    <row r="166" customFormat="1" ht="15" customHeight="1" x14ac:dyDescent="0.4"/>
    <row r="167" customFormat="1" ht="15" customHeight="1" x14ac:dyDescent="0.4"/>
    <row r="168" customFormat="1" ht="15" customHeight="1" x14ac:dyDescent="0.4"/>
    <row r="169" customFormat="1" ht="15" customHeight="1" x14ac:dyDescent="0.4"/>
    <row r="170" customFormat="1" ht="15" customHeight="1" x14ac:dyDescent="0.4"/>
    <row r="171" customFormat="1" ht="15" customHeight="1" x14ac:dyDescent="0.4"/>
    <row r="172" customFormat="1" ht="15" customHeight="1" x14ac:dyDescent="0.4"/>
    <row r="173" customFormat="1" ht="15" customHeight="1" x14ac:dyDescent="0.4"/>
    <row r="174" customFormat="1" ht="15" customHeight="1" x14ac:dyDescent="0.4"/>
    <row r="175" customFormat="1" ht="15" customHeight="1" x14ac:dyDescent="0.4"/>
    <row r="176" customFormat="1" ht="15" customHeight="1" x14ac:dyDescent="0.4"/>
    <row r="177" spans="10:11" customFormat="1" ht="15" customHeight="1" x14ac:dyDescent="0.4"/>
    <row r="178" spans="10:11" customFormat="1" ht="15" customHeight="1" x14ac:dyDescent="0.4"/>
    <row r="179" spans="10:11" customFormat="1" ht="15" customHeight="1" x14ac:dyDescent="0.4"/>
    <row r="180" spans="10:11" customFormat="1" ht="15" customHeight="1" x14ac:dyDescent="0.4"/>
    <row r="181" spans="10:11" customFormat="1" ht="15" customHeight="1" x14ac:dyDescent="0.4"/>
    <row r="182" spans="10:11" customFormat="1" ht="15" customHeight="1" x14ac:dyDescent="0.4"/>
    <row r="183" spans="10:11" customFormat="1" ht="15" customHeight="1" x14ac:dyDescent="0.4"/>
    <row r="184" spans="10:11" customFormat="1" ht="15" customHeight="1" x14ac:dyDescent="0.4"/>
    <row r="185" spans="10:11" x14ac:dyDescent="0.4">
      <c r="J185"/>
      <c r="K185"/>
    </row>
    <row r="186" spans="10:11" x14ac:dyDescent="0.4">
      <c r="J186"/>
      <c r="K186"/>
    </row>
    <row r="187" spans="10:11" x14ac:dyDescent="0.4">
      <c r="J187"/>
      <c r="K187"/>
    </row>
    <row r="188" spans="10:11" x14ac:dyDescent="0.4">
      <c r="J188"/>
      <c r="K188"/>
    </row>
    <row r="189" spans="10:11" x14ac:dyDescent="0.4">
      <c r="J189"/>
      <c r="K189"/>
    </row>
    <row r="190" spans="10:11" x14ac:dyDescent="0.4">
      <c r="J190"/>
      <c r="K190"/>
    </row>
    <row r="191" spans="10:11" x14ac:dyDescent="0.4">
      <c r="J191"/>
      <c r="K191"/>
    </row>
  </sheetData>
  <pageMargins left="0.75" right="0.75" top="1" bottom="1" header="0.5" footer="0.5"/>
  <pageSetup orientation="portrait" horizontalDpi="4294967292" verticalDpi="42949672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CW171"/>
  <sheetViews>
    <sheetView workbookViewId="0">
      <pane xSplit="1" ySplit="1" topLeftCell="M2" activePane="bottomRight" state="frozen"/>
      <selection pane="topRight" activeCell="B1" sqref="B1"/>
      <selection pane="bottomLeft" activeCell="A2" sqref="A2"/>
      <selection pane="bottomRight" activeCell="AB1" sqref="AB1"/>
    </sheetView>
  </sheetViews>
  <sheetFormatPr defaultColWidth="10.83203125" defaultRowHeight="12.3" x14ac:dyDescent="0.4"/>
  <cols>
    <col min="1" max="1" width="39.83203125" style="70" bestFit="1" customWidth="1"/>
    <col min="2" max="16384" width="10.83203125" style="70"/>
  </cols>
  <sheetData>
    <row r="1" spans="1:101" ht="15" x14ac:dyDescent="0.5">
      <c r="A1" s="39" t="s">
        <v>119</v>
      </c>
      <c r="B1" s="247" t="s">
        <v>177</v>
      </c>
      <c r="C1" s="247" t="s">
        <v>178</v>
      </c>
      <c r="D1" s="247" t="s">
        <v>179</v>
      </c>
      <c r="E1" s="247" t="s">
        <v>180</v>
      </c>
      <c r="F1" s="247" t="s">
        <v>181</v>
      </c>
      <c r="G1" s="247" t="s">
        <v>182</v>
      </c>
      <c r="H1" s="247" t="s">
        <v>183</v>
      </c>
      <c r="I1" s="247" t="s">
        <v>184</v>
      </c>
      <c r="J1" s="247" t="s">
        <v>185</v>
      </c>
      <c r="K1" s="247" t="s">
        <v>186</v>
      </c>
      <c r="L1" s="247" t="s">
        <v>187</v>
      </c>
      <c r="M1" s="247" t="s">
        <v>188</v>
      </c>
      <c r="N1" s="247" t="s">
        <v>189</v>
      </c>
      <c r="O1" s="248" t="s">
        <v>273</v>
      </c>
      <c r="P1" s="247" t="s">
        <v>190</v>
      </c>
      <c r="Q1" s="247" t="s">
        <v>191</v>
      </c>
      <c r="R1" s="247" t="s">
        <v>192</v>
      </c>
      <c r="S1" s="247" t="s">
        <v>193</v>
      </c>
      <c r="T1" s="247" t="s">
        <v>194</v>
      </c>
      <c r="U1" s="247" t="s">
        <v>195</v>
      </c>
      <c r="V1" s="247" t="s">
        <v>196</v>
      </c>
      <c r="W1" s="247" t="s">
        <v>197</v>
      </c>
      <c r="X1" s="247" t="s">
        <v>198</v>
      </c>
      <c r="Y1" s="247" t="s">
        <v>199</v>
      </c>
      <c r="Z1" s="248" t="s">
        <v>265</v>
      </c>
      <c r="AA1" s="248" t="s">
        <v>274</v>
      </c>
      <c r="AB1" s="248" t="s">
        <v>275</v>
      </c>
      <c r="AC1" s="248" t="s">
        <v>276</v>
      </c>
      <c r="AD1" s="248" t="s">
        <v>277</v>
      </c>
      <c r="AE1" s="248" t="s">
        <v>278</v>
      </c>
      <c r="AF1" s="248" t="s">
        <v>279</v>
      </c>
      <c r="AG1" s="247" t="s">
        <v>200</v>
      </c>
      <c r="AH1" s="247" t="s">
        <v>201</v>
      </c>
      <c r="AI1" s="247" t="s">
        <v>202</v>
      </c>
      <c r="AJ1" s="247" t="s">
        <v>203</v>
      </c>
      <c r="AK1" s="247" t="s">
        <v>204</v>
      </c>
      <c r="AL1" s="247" t="s">
        <v>205</v>
      </c>
      <c r="AM1" s="247" t="s">
        <v>206</v>
      </c>
      <c r="AN1" s="247" t="s">
        <v>207</v>
      </c>
      <c r="AO1" s="247" t="s">
        <v>208</v>
      </c>
      <c r="AP1" s="247" t="s">
        <v>209</v>
      </c>
      <c r="AQ1" s="247" t="s">
        <v>210</v>
      </c>
      <c r="AR1" s="247" t="s">
        <v>211</v>
      </c>
      <c r="AS1" s="247" t="s">
        <v>212</v>
      </c>
      <c r="AT1" s="247" t="s">
        <v>213</v>
      </c>
      <c r="AU1" s="247" t="s">
        <v>214</v>
      </c>
      <c r="AV1" s="247" t="s">
        <v>215</v>
      </c>
      <c r="AW1" s="247" t="s">
        <v>216</v>
      </c>
      <c r="AX1" s="247" t="s">
        <v>217</v>
      </c>
      <c r="AY1" s="247" t="s">
        <v>218</v>
      </c>
      <c r="AZ1" s="247" t="s">
        <v>219</v>
      </c>
      <c r="BA1" s="247" t="s">
        <v>220</v>
      </c>
      <c r="BB1" s="247" t="s">
        <v>221</v>
      </c>
      <c r="BC1" s="247" t="s">
        <v>222</v>
      </c>
      <c r="BD1" s="247" t="s">
        <v>223</v>
      </c>
      <c r="BE1" s="247" t="s">
        <v>224</v>
      </c>
      <c r="BF1" s="247" t="s">
        <v>225</v>
      </c>
      <c r="BG1" s="247" t="s">
        <v>226</v>
      </c>
      <c r="BH1" s="247" t="s">
        <v>227</v>
      </c>
      <c r="BI1" s="247" t="s">
        <v>228</v>
      </c>
      <c r="BJ1" s="247" t="s">
        <v>229</v>
      </c>
      <c r="BK1" s="247" t="s">
        <v>230</v>
      </c>
      <c r="BL1" s="247" t="s">
        <v>231</v>
      </c>
      <c r="BM1" s="247" t="s">
        <v>232</v>
      </c>
      <c r="BN1" s="247" t="s">
        <v>233</v>
      </c>
      <c r="BO1" s="247" t="s">
        <v>234</v>
      </c>
      <c r="BP1" s="247" t="s">
        <v>235</v>
      </c>
      <c r="BQ1" s="247" t="s">
        <v>236</v>
      </c>
      <c r="BR1" s="247" t="s">
        <v>237</v>
      </c>
      <c r="BS1" s="247" t="s">
        <v>238</v>
      </c>
      <c r="BT1" s="247" t="s">
        <v>239</v>
      </c>
      <c r="BU1" s="247" t="s">
        <v>240</v>
      </c>
      <c r="BV1" s="247" t="s">
        <v>241</v>
      </c>
      <c r="BW1" s="247" t="s">
        <v>242</v>
      </c>
      <c r="BX1" s="247" t="s">
        <v>243</v>
      </c>
      <c r="BY1" s="247" t="s">
        <v>244</v>
      </c>
      <c r="BZ1" s="247" t="s">
        <v>245</v>
      </c>
      <c r="CA1" s="247" t="s">
        <v>246</v>
      </c>
      <c r="CB1" s="247" t="s">
        <v>247</v>
      </c>
      <c r="CC1" s="248" t="s">
        <v>280</v>
      </c>
      <c r="CD1" s="248" t="s">
        <v>281</v>
      </c>
      <c r="CE1" s="247" t="s">
        <v>248</v>
      </c>
      <c r="CF1" s="247" t="s">
        <v>249</v>
      </c>
      <c r="CG1" s="248" t="s">
        <v>282</v>
      </c>
      <c r="CH1" s="248" t="s">
        <v>283</v>
      </c>
      <c r="CI1" s="247" t="s">
        <v>250</v>
      </c>
      <c r="CJ1" s="247" t="s">
        <v>251</v>
      </c>
      <c r="CK1" s="247" t="s">
        <v>252</v>
      </c>
      <c r="CL1" s="247" t="s">
        <v>253</v>
      </c>
      <c r="CM1" s="247" t="s">
        <v>254</v>
      </c>
      <c r="CN1" s="248"/>
      <c r="CO1" s="71"/>
      <c r="CP1" s="71"/>
      <c r="CQ1" s="71"/>
      <c r="CR1" s="71"/>
      <c r="CS1" s="71"/>
      <c r="CT1" s="71"/>
      <c r="CU1" s="71"/>
      <c r="CV1" s="71"/>
      <c r="CW1" s="71"/>
    </row>
    <row r="2" spans="1:101" customFormat="1" ht="15" x14ac:dyDescent="0.5">
      <c r="A2" s="245" t="s">
        <v>177</v>
      </c>
      <c r="B2">
        <v>0</v>
      </c>
      <c r="C2">
        <v>0</v>
      </c>
      <c r="D2">
        <v>0.8</v>
      </c>
      <c r="E2">
        <v>0.8</v>
      </c>
      <c r="F2">
        <v>0.8</v>
      </c>
      <c r="G2">
        <v>0.8</v>
      </c>
      <c r="H2">
        <v>0.8</v>
      </c>
      <c r="I2">
        <v>0.8</v>
      </c>
      <c r="J2">
        <v>0.8</v>
      </c>
      <c r="K2">
        <v>0.8</v>
      </c>
      <c r="L2">
        <v>0.8</v>
      </c>
      <c r="M2">
        <v>0.8</v>
      </c>
      <c r="N2">
        <v>0.5</v>
      </c>
      <c r="O2">
        <v>0.8</v>
      </c>
      <c r="P2">
        <v>0.8</v>
      </c>
      <c r="Q2">
        <v>0.8</v>
      </c>
      <c r="R2">
        <v>0.5</v>
      </c>
      <c r="S2">
        <v>0.5</v>
      </c>
      <c r="T2">
        <v>0.5</v>
      </c>
      <c r="U2">
        <v>0.5</v>
      </c>
      <c r="V2">
        <v>0.5</v>
      </c>
      <c r="W2">
        <v>0.5</v>
      </c>
      <c r="X2">
        <v>0.5</v>
      </c>
      <c r="Y2" s="216">
        <v>0.5</v>
      </c>
      <c r="Z2">
        <v>0.1</v>
      </c>
      <c r="AA2">
        <v>0.1</v>
      </c>
      <c r="AB2">
        <v>0.1</v>
      </c>
      <c r="AC2">
        <v>0.1</v>
      </c>
      <c r="AD2">
        <v>0.1</v>
      </c>
      <c r="AE2">
        <v>0.1</v>
      </c>
      <c r="AF2" s="216">
        <v>0.1</v>
      </c>
      <c r="AG2">
        <v>0.5</v>
      </c>
      <c r="AH2">
        <v>0.5</v>
      </c>
      <c r="AI2">
        <v>0.5</v>
      </c>
      <c r="AJ2">
        <v>0.5</v>
      </c>
      <c r="AK2">
        <v>0.5</v>
      </c>
      <c r="AL2">
        <v>0.5</v>
      </c>
      <c r="AM2">
        <v>0.5</v>
      </c>
      <c r="AN2">
        <v>0.5</v>
      </c>
      <c r="AO2">
        <v>0.5</v>
      </c>
      <c r="AP2">
        <v>0.5</v>
      </c>
      <c r="AQ2" s="216">
        <v>0.5</v>
      </c>
      <c r="AR2" s="216">
        <v>0.5</v>
      </c>
      <c r="AS2">
        <v>0.8</v>
      </c>
      <c r="AT2">
        <v>0.5</v>
      </c>
      <c r="AU2">
        <v>0.5</v>
      </c>
      <c r="AV2">
        <v>0.8</v>
      </c>
      <c r="AW2">
        <v>0.5</v>
      </c>
      <c r="AX2">
        <v>0.8</v>
      </c>
      <c r="AY2">
        <v>0.8</v>
      </c>
      <c r="AZ2">
        <v>0.8</v>
      </c>
      <c r="BA2">
        <v>0.8</v>
      </c>
      <c r="BB2">
        <v>0.5</v>
      </c>
      <c r="BC2">
        <v>0.8</v>
      </c>
      <c r="BD2">
        <v>0.8</v>
      </c>
      <c r="BE2">
        <v>0.8</v>
      </c>
      <c r="BF2">
        <v>0.8</v>
      </c>
      <c r="BG2">
        <v>0.8</v>
      </c>
      <c r="BH2">
        <v>0.8</v>
      </c>
      <c r="BI2">
        <v>0.8</v>
      </c>
      <c r="BJ2">
        <v>0.8</v>
      </c>
      <c r="BK2">
        <v>0.8</v>
      </c>
      <c r="BL2">
        <v>0.8</v>
      </c>
      <c r="BM2" s="216">
        <v>0.8</v>
      </c>
      <c r="BN2" s="216">
        <v>0.8</v>
      </c>
      <c r="BO2" s="216">
        <v>0.8</v>
      </c>
      <c r="BP2" s="216">
        <v>0.8</v>
      </c>
      <c r="BQ2" s="216">
        <v>0.8</v>
      </c>
      <c r="BR2" s="216">
        <v>0.8</v>
      </c>
      <c r="BS2" s="216">
        <v>0.8</v>
      </c>
      <c r="BT2" s="216">
        <v>0.8</v>
      </c>
      <c r="BU2" s="216">
        <v>0.8</v>
      </c>
      <c r="BV2" s="216">
        <v>0.8</v>
      </c>
      <c r="BW2" s="216">
        <v>0.8</v>
      </c>
      <c r="BX2" s="216">
        <v>0.8</v>
      </c>
      <c r="BY2" s="216">
        <v>0.8</v>
      </c>
      <c r="BZ2" s="216">
        <v>0.8</v>
      </c>
      <c r="CA2" s="216">
        <v>0.8</v>
      </c>
      <c r="CB2" s="216">
        <v>0.5</v>
      </c>
      <c r="CC2" s="216">
        <v>0.5</v>
      </c>
      <c r="CD2" s="216">
        <v>0.8</v>
      </c>
      <c r="CE2" s="216">
        <v>0.8</v>
      </c>
      <c r="CF2" s="216">
        <v>0.8</v>
      </c>
      <c r="CG2" s="216">
        <v>0.8</v>
      </c>
      <c r="CH2" s="216">
        <v>0.5</v>
      </c>
      <c r="CI2">
        <v>0</v>
      </c>
      <c r="CJ2" s="216">
        <v>0</v>
      </c>
      <c r="CK2" s="216">
        <v>0</v>
      </c>
      <c r="CL2" s="216">
        <v>0</v>
      </c>
      <c r="CM2" s="216">
        <v>0</v>
      </c>
    </row>
    <row r="3" spans="1:101" customFormat="1" ht="15" x14ac:dyDescent="0.5">
      <c r="A3" s="245" t="s">
        <v>178</v>
      </c>
      <c r="B3">
        <v>0</v>
      </c>
      <c r="C3">
        <v>0</v>
      </c>
      <c r="D3">
        <v>0.8</v>
      </c>
      <c r="E3">
        <v>0.8</v>
      </c>
      <c r="F3">
        <v>0.8</v>
      </c>
      <c r="G3">
        <v>0.8</v>
      </c>
      <c r="H3">
        <v>0.8</v>
      </c>
      <c r="I3">
        <v>0.8</v>
      </c>
      <c r="J3">
        <v>0.8</v>
      </c>
      <c r="K3">
        <v>0.8</v>
      </c>
      <c r="L3">
        <v>0.8</v>
      </c>
      <c r="M3">
        <v>0.8</v>
      </c>
      <c r="N3">
        <v>0.5</v>
      </c>
      <c r="O3">
        <v>0.8</v>
      </c>
      <c r="P3">
        <v>0.8</v>
      </c>
      <c r="Q3">
        <v>0.8</v>
      </c>
      <c r="R3">
        <v>0.5</v>
      </c>
      <c r="S3">
        <v>0.5</v>
      </c>
      <c r="T3">
        <v>0.5</v>
      </c>
      <c r="U3">
        <v>0.5</v>
      </c>
      <c r="V3">
        <v>0.5</v>
      </c>
      <c r="W3">
        <v>0.5</v>
      </c>
      <c r="X3">
        <v>0.5</v>
      </c>
      <c r="Y3" s="216">
        <v>0.5</v>
      </c>
      <c r="Z3">
        <v>0.1</v>
      </c>
      <c r="AA3">
        <v>0.1</v>
      </c>
      <c r="AB3">
        <v>0.1</v>
      </c>
      <c r="AC3">
        <v>0.1</v>
      </c>
      <c r="AD3">
        <v>0.1</v>
      </c>
      <c r="AE3">
        <v>0.1</v>
      </c>
      <c r="AF3" s="216">
        <v>0.1</v>
      </c>
      <c r="AG3">
        <v>0.5</v>
      </c>
      <c r="AH3">
        <v>0.5</v>
      </c>
      <c r="AI3">
        <v>0.5</v>
      </c>
      <c r="AJ3">
        <v>0.5</v>
      </c>
      <c r="AK3">
        <v>0.5</v>
      </c>
      <c r="AL3">
        <v>0.5</v>
      </c>
      <c r="AM3">
        <v>0.5</v>
      </c>
      <c r="AN3">
        <v>0.5</v>
      </c>
      <c r="AO3">
        <v>0.5</v>
      </c>
      <c r="AP3">
        <v>0.5</v>
      </c>
      <c r="AQ3" s="216">
        <v>0.5</v>
      </c>
      <c r="AR3" s="216">
        <v>0.5</v>
      </c>
      <c r="AS3">
        <v>0.8</v>
      </c>
      <c r="AT3" s="216">
        <v>0.5</v>
      </c>
      <c r="AU3" s="216">
        <v>0.5</v>
      </c>
      <c r="AV3">
        <v>0.8</v>
      </c>
      <c r="AW3">
        <v>0.5</v>
      </c>
      <c r="AX3">
        <v>0.8</v>
      </c>
      <c r="AY3">
        <v>0.8</v>
      </c>
      <c r="AZ3">
        <v>0.8</v>
      </c>
      <c r="BA3">
        <v>0.8</v>
      </c>
      <c r="BB3">
        <v>0.5</v>
      </c>
      <c r="BC3">
        <v>0.8</v>
      </c>
      <c r="BD3">
        <v>0.8</v>
      </c>
      <c r="BE3">
        <v>0.8</v>
      </c>
      <c r="BF3">
        <v>0.8</v>
      </c>
      <c r="BG3">
        <v>0.8</v>
      </c>
      <c r="BH3">
        <v>0.8</v>
      </c>
      <c r="BI3">
        <v>0.8</v>
      </c>
      <c r="BJ3">
        <v>0.8</v>
      </c>
      <c r="BK3">
        <v>0.8</v>
      </c>
      <c r="BL3">
        <v>0.8</v>
      </c>
      <c r="BM3" s="216">
        <v>0.8</v>
      </c>
      <c r="BN3" s="216">
        <v>0.8</v>
      </c>
      <c r="BO3" s="216">
        <v>0.8</v>
      </c>
      <c r="BP3" s="216">
        <v>0.8</v>
      </c>
      <c r="BQ3" s="216">
        <v>0.8</v>
      </c>
      <c r="BR3" s="216">
        <v>0.8</v>
      </c>
      <c r="BS3" s="216">
        <v>0.8</v>
      </c>
      <c r="BT3" s="216">
        <v>0.8</v>
      </c>
      <c r="BU3" s="216">
        <v>0.8</v>
      </c>
      <c r="BV3" s="216">
        <v>0.8</v>
      </c>
      <c r="BW3" s="216">
        <v>0.8</v>
      </c>
      <c r="BX3" s="216">
        <v>0.8</v>
      </c>
      <c r="BY3" s="216">
        <v>0.8</v>
      </c>
      <c r="BZ3" s="216">
        <v>0.8</v>
      </c>
      <c r="CA3" s="216">
        <v>0.8</v>
      </c>
      <c r="CB3" s="216">
        <v>0.5</v>
      </c>
      <c r="CC3" s="216">
        <v>0.5</v>
      </c>
      <c r="CD3" s="216">
        <v>0.8</v>
      </c>
      <c r="CE3" s="216">
        <v>0.8</v>
      </c>
      <c r="CF3" s="216">
        <v>0.8</v>
      </c>
      <c r="CG3" s="216">
        <v>0.8</v>
      </c>
      <c r="CH3" s="216">
        <v>0.5</v>
      </c>
      <c r="CI3">
        <v>0</v>
      </c>
      <c r="CJ3" s="216">
        <v>0</v>
      </c>
      <c r="CK3" s="216">
        <v>0</v>
      </c>
      <c r="CL3" s="216">
        <v>0</v>
      </c>
      <c r="CM3" s="216">
        <v>0</v>
      </c>
    </row>
    <row r="4" spans="1:101" customFormat="1" ht="15" x14ac:dyDescent="0.5">
      <c r="A4" s="245" t="s">
        <v>179</v>
      </c>
      <c r="B4">
        <v>0</v>
      </c>
      <c r="C4">
        <v>0</v>
      </c>
      <c r="D4">
        <v>0.8</v>
      </c>
      <c r="E4">
        <v>0.8</v>
      </c>
      <c r="F4">
        <v>0.8</v>
      </c>
      <c r="G4">
        <v>0.8</v>
      </c>
      <c r="H4">
        <v>0.8</v>
      </c>
      <c r="I4">
        <v>0.8</v>
      </c>
      <c r="J4">
        <v>0.8</v>
      </c>
      <c r="K4">
        <v>0.8</v>
      </c>
      <c r="L4">
        <v>0.8</v>
      </c>
      <c r="M4">
        <v>0.8</v>
      </c>
      <c r="N4">
        <v>0.5</v>
      </c>
      <c r="O4">
        <v>0.8</v>
      </c>
      <c r="P4">
        <v>0.8</v>
      </c>
      <c r="Q4">
        <v>0.8</v>
      </c>
      <c r="R4">
        <v>0.5</v>
      </c>
      <c r="S4">
        <v>0.5</v>
      </c>
      <c r="T4">
        <v>0.5</v>
      </c>
      <c r="U4">
        <v>0.5</v>
      </c>
      <c r="V4">
        <v>0.5</v>
      </c>
      <c r="W4">
        <v>0.5</v>
      </c>
      <c r="X4">
        <v>0.5</v>
      </c>
      <c r="Y4" s="216">
        <v>0.5</v>
      </c>
      <c r="Z4">
        <v>0.1</v>
      </c>
      <c r="AA4">
        <v>0.1</v>
      </c>
      <c r="AB4">
        <v>0.1</v>
      </c>
      <c r="AC4">
        <v>0.1</v>
      </c>
      <c r="AD4">
        <v>0.1</v>
      </c>
      <c r="AE4">
        <v>0.1</v>
      </c>
      <c r="AF4" s="216">
        <v>0.1</v>
      </c>
      <c r="AG4">
        <v>0.5</v>
      </c>
      <c r="AH4">
        <v>0.5</v>
      </c>
      <c r="AI4">
        <v>0.5</v>
      </c>
      <c r="AJ4">
        <v>0.5</v>
      </c>
      <c r="AK4">
        <v>0.5</v>
      </c>
      <c r="AL4">
        <v>0.5</v>
      </c>
      <c r="AM4">
        <v>0.5</v>
      </c>
      <c r="AN4">
        <v>0.5</v>
      </c>
      <c r="AO4">
        <v>0.5</v>
      </c>
      <c r="AP4">
        <v>0.5</v>
      </c>
      <c r="AQ4" s="216">
        <v>0.5</v>
      </c>
      <c r="AR4" s="216">
        <v>0.5</v>
      </c>
      <c r="AS4">
        <v>0.8</v>
      </c>
      <c r="AT4" s="216">
        <v>0.5</v>
      </c>
      <c r="AU4" s="216">
        <v>0.5</v>
      </c>
      <c r="AV4">
        <v>0.8</v>
      </c>
      <c r="AW4">
        <v>0.5</v>
      </c>
      <c r="AX4">
        <v>0.8</v>
      </c>
      <c r="AY4">
        <v>0.8</v>
      </c>
      <c r="AZ4">
        <v>0.8</v>
      </c>
      <c r="BA4">
        <v>0.8</v>
      </c>
      <c r="BB4">
        <v>0.5</v>
      </c>
      <c r="BC4">
        <v>0.8</v>
      </c>
      <c r="BD4">
        <v>0.8</v>
      </c>
      <c r="BE4">
        <v>0.8</v>
      </c>
      <c r="BF4">
        <v>0.8</v>
      </c>
      <c r="BG4">
        <v>0.8</v>
      </c>
      <c r="BH4">
        <v>0.8</v>
      </c>
      <c r="BI4">
        <v>0.8</v>
      </c>
      <c r="BJ4">
        <v>0.8</v>
      </c>
      <c r="BK4">
        <v>0.8</v>
      </c>
      <c r="BL4">
        <v>0.8</v>
      </c>
      <c r="BM4" s="216">
        <v>0.8</v>
      </c>
      <c r="BN4" s="216">
        <v>0.8</v>
      </c>
      <c r="BO4" s="216">
        <v>0.8</v>
      </c>
      <c r="BP4" s="216">
        <v>0.8</v>
      </c>
      <c r="BQ4" s="216">
        <v>0.8</v>
      </c>
      <c r="BR4" s="216">
        <v>0.8</v>
      </c>
      <c r="BS4" s="216">
        <v>0.8</v>
      </c>
      <c r="BT4" s="216">
        <v>0.8</v>
      </c>
      <c r="BU4" s="216">
        <v>0.8</v>
      </c>
      <c r="BV4" s="216">
        <v>0.8</v>
      </c>
      <c r="BW4" s="216">
        <v>0.8</v>
      </c>
      <c r="BX4" s="216">
        <v>0.8</v>
      </c>
      <c r="BY4" s="216">
        <v>0.8</v>
      </c>
      <c r="BZ4" s="216">
        <v>0.8</v>
      </c>
      <c r="CA4" s="216">
        <v>0.8</v>
      </c>
      <c r="CB4" s="216">
        <v>0.5</v>
      </c>
      <c r="CC4" s="216">
        <v>0.5</v>
      </c>
      <c r="CD4" s="216">
        <v>0.8</v>
      </c>
      <c r="CE4" s="216">
        <v>0.8</v>
      </c>
      <c r="CF4" s="216">
        <v>0.8</v>
      </c>
      <c r="CG4" s="216">
        <v>0.8</v>
      </c>
      <c r="CH4" s="216">
        <v>0.5</v>
      </c>
      <c r="CI4">
        <v>0</v>
      </c>
      <c r="CJ4" s="216">
        <v>0</v>
      </c>
      <c r="CK4" s="216">
        <v>0</v>
      </c>
      <c r="CL4" s="216">
        <v>0</v>
      </c>
      <c r="CM4" s="216">
        <v>0</v>
      </c>
    </row>
    <row r="5" spans="1:101" customFormat="1" ht="15" x14ac:dyDescent="0.5">
      <c r="A5" s="245" t="s">
        <v>180</v>
      </c>
      <c r="B5">
        <v>0</v>
      </c>
      <c r="C5">
        <v>0</v>
      </c>
      <c r="D5">
        <v>0.8</v>
      </c>
      <c r="E5">
        <v>0.8</v>
      </c>
      <c r="F5">
        <v>0.8</v>
      </c>
      <c r="G5">
        <v>0.8</v>
      </c>
      <c r="H5">
        <v>0.8</v>
      </c>
      <c r="I5">
        <v>0.8</v>
      </c>
      <c r="J5">
        <v>0.8</v>
      </c>
      <c r="K5">
        <v>0.8</v>
      </c>
      <c r="L5">
        <v>0.8</v>
      </c>
      <c r="M5">
        <v>0.8</v>
      </c>
      <c r="N5">
        <v>0.5</v>
      </c>
      <c r="O5">
        <v>0.8</v>
      </c>
      <c r="P5">
        <v>0.8</v>
      </c>
      <c r="Q5">
        <v>0.8</v>
      </c>
      <c r="R5">
        <v>0.5</v>
      </c>
      <c r="S5">
        <v>0.5</v>
      </c>
      <c r="T5">
        <v>0.5</v>
      </c>
      <c r="U5">
        <v>0.5</v>
      </c>
      <c r="V5">
        <v>0.5</v>
      </c>
      <c r="W5">
        <v>0.5</v>
      </c>
      <c r="X5">
        <v>0.5</v>
      </c>
      <c r="Y5" s="216">
        <v>0.5</v>
      </c>
      <c r="Z5">
        <v>0.1</v>
      </c>
      <c r="AA5">
        <v>0.1</v>
      </c>
      <c r="AB5">
        <v>0.1</v>
      </c>
      <c r="AC5">
        <v>0.1</v>
      </c>
      <c r="AD5">
        <v>0.1</v>
      </c>
      <c r="AE5">
        <v>0.1</v>
      </c>
      <c r="AF5" s="216">
        <v>0.1</v>
      </c>
      <c r="AG5">
        <v>0.5</v>
      </c>
      <c r="AH5">
        <v>0.5</v>
      </c>
      <c r="AI5">
        <v>0.5</v>
      </c>
      <c r="AJ5">
        <v>0.5</v>
      </c>
      <c r="AK5">
        <v>0.5</v>
      </c>
      <c r="AL5">
        <v>0.5</v>
      </c>
      <c r="AM5">
        <v>0.5</v>
      </c>
      <c r="AN5">
        <v>0.5</v>
      </c>
      <c r="AO5">
        <v>0.5</v>
      </c>
      <c r="AP5">
        <v>0.5</v>
      </c>
      <c r="AQ5" s="216">
        <v>0.5</v>
      </c>
      <c r="AR5" s="216">
        <v>0.5</v>
      </c>
      <c r="AS5">
        <v>0.8</v>
      </c>
      <c r="AT5" s="216">
        <v>0.5</v>
      </c>
      <c r="AU5" s="216">
        <v>0.5</v>
      </c>
      <c r="AV5">
        <v>0.8</v>
      </c>
      <c r="AW5">
        <v>0.5</v>
      </c>
      <c r="AX5">
        <v>0.8</v>
      </c>
      <c r="AY5">
        <v>0.8</v>
      </c>
      <c r="AZ5">
        <v>0.8</v>
      </c>
      <c r="BA5">
        <v>0.8</v>
      </c>
      <c r="BB5">
        <v>0.5</v>
      </c>
      <c r="BC5">
        <v>0.8</v>
      </c>
      <c r="BD5">
        <v>0.8</v>
      </c>
      <c r="BE5">
        <v>0.8</v>
      </c>
      <c r="BF5">
        <v>0.8</v>
      </c>
      <c r="BG5">
        <v>0.8</v>
      </c>
      <c r="BH5">
        <v>0.8</v>
      </c>
      <c r="BI5">
        <v>0.8</v>
      </c>
      <c r="BJ5">
        <v>0.8</v>
      </c>
      <c r="BK5">
        <v>0.8</v>
      </c>
      <c r="BL5">
        <v>0.8</v>
      </c>
      <c r="BM5" s="216">
        <v>0.8</v>
      </c>
      <c r="BN5" s="216">
        <v>0.8</v>
      </c>
      <c r="BO5" s="216">
        <v>0.8</v>
      </c>
      <c r="BP5" s="216">
        <v>0.8</v>
      </c>
      <c r="BQ5" s="216">
        <v>0.8</v>
      </c>
      <c r="BR5" s="216">
        <v>0.8</v>
      </c>
      <c r="BS5" s="216">
        <v>0.8</v>
      </c>
      <c r="BT5" s="216">
        <v>0.8</v>
      </c>
      <c r="BU5" s="216">
        <v>0.8</v>
      </c>
      <c r="BV5" s="216">
        <v>0.8</v>
      </c>
      <c r="BW5" s="216">
        <v>0.8</v>
      </c>
      <c r="BX5" s="216">
        <v>0.8</v>
      </c>
      <c r="BY5" s="216">
        <v>0.8</v>
      </c>
      <c r="BZ5" s="216">
        <v>0.8</v>
      </c>
      <c r="CA5" s="216">
        <v>0.8</v>
      </c>
      <c r="CB5" s="216">
        <v>0.5</v>
      </c>
      <c r="CC5" s="216">
        <v>0.5</v>
      </c>
      <c r="CD5" s="216">
        <v>0.8</v>
      </c>
      <c r="CE5" s="216">
        <v>0.8</v>
      </c>
      <c r="CF5" s="216">
        <v>0.8</v>
      </c>
      <c r="CG5" s="216">
        <v>0.8</v>
      </c>
      <c r="CH5" s="216">
        <v>0.5</v>
      </c>
      <c r="CI5">
        <v>0</v>
      </c>
      <c r="CJ5" s="216">
        <v>0</v>
      </c>
      <c r="CK5" s="216">
        <v>0</v>
      </c>
      <c r="CL5" s="216">
        <v>0</v>
      </c>
      <c r="CM5" s="216">
        <v>0</v>
      </c>
    </row>
    <row r="6" spans="1:101" customFormat="1" ht="15" x14ac:dyDescent="0.5">
      <c r="A6" s="245" t="s">
        <v>181</v>
      </c>
      <c r="B6">
        <v>0</v>
      </c>
      <c r="C6">
        <v>0</v>
      </c>
      <c r="D6">
        <v>0.8</v>
      </c>
      <c r="E6">
        <v>0.8</v>
      </c>
      <c r="F6">
        <v>0.8</v>
      </c>
      <c r="G6">
        <v>0.8</v>
      </c>
      <c r="H6">
        <v>0.8</v>
      </c>
      <c r="I6">
        <v>0.8</v>
      </c>
      <c r="J6">
        <v>0.8</v>
      </c>
      <c r="K6">
        <v>0.8</v>
      </c>
      <c r="L6">
        <v>0.8</v>
      </c>
      <c r="M6">
        <v>0.8</v>
      </c>
      <c r="N6">
        <v>0.5</v>
      </c>
      <c r="O6">
        <v>0.8</v>
      </c>
      <c r="P6">
        <v>0.8</v>
      </c>
      <c r="Q6">
        <v>0.8</v>
      </c>
      <c r="R6">
        <v>0.5</v>
      </c>
      <c r="S6">
        <v>0.5</v>
      </c>
      <c r="T6">
        <v>0.5</v>
      </c>
      <c r="U6">
        <v>0.5</v>
      </c>
      <c r="V6">
        <v>0.5</v>
      </c>
      <c r="W6">
        <v>0.5</v>
      </c>
      <c r="X6">
        <v>0.5</v>
      </c>
      <c r="Y6" s="216">
        <v>0.5</v>
      </c>
      <c r="Z6">
        <v>0.1</v>
      </c>
      <c r="AA6">
        <v>0.1</v>
      </c>
      <c r="AB6">
        <v>0.1</v>
      </c>
      <c r="AC6">
        <v>0.1</v>
      </c>
      <c r="AD6">
        <v>0.1</v>
      </c>
      <c r="AE6">
        <v>0.1</v>
      </c>
      <c r="AF6" s="216">
        <v>0.1</v>
      </c>
      <c r="AG6">
        <v>0.5</v>
      </c>
      <c r="AH6">
        <v>0.5</v>
      </c>
      <c r="AI6">
        <v>0.5</v>
      </c>
      <c r="AJ6">
        <v>0.5</v>
      </c>
      <c r="AK6">
        <v>0.5</v>
      </c>
      <c r="AL6">
        <v>0.5</v>
      </c>
      <c r="AM6">
        <v>0.5</v>
      </c>
      <c r="AN6">
        <v>0.5</v>
      </c>
      <c r="AO6">
        <v>0.5</v>
      </c>
      <c r="AP6">
        <v>0.5</v>
      </c>
      <c r="AQ6" s="216">
        <v>0.5</v>
      </c>
      <c r="AR6" s="216">
        <v>0.5</v>
      </c>
      <c r="AS6">
        <v>0.8</v>
      </c>
      <c r="AT6" s="216">
        <v>0.5</v>
      </c>
      <c r="AU6" s="216">
        <v>0.5</v>
      </c>
      <c r="AV6">
        <v>0.8</v>
      </c>
      <c r="AW6">
        <v>0.5</v>
      </c>
      <c r="AX6">
        <v>0.8</v>
      </c>
      <c r="AY6">
        <v>0.8</v>
      </c>
      <c r="AZ6">
        <v>0.8</v>
      </c>
      <c r="BA6">
        <v>0.8</v>
      </c>
      <c r="BB6">
        <v>0.5</v>
      </c>
      <c r="BC6">
        <v>0.8</v>
      </c>
      <c r="BD6">
        <v>0.8</v>
      </c>
      <c r="BE6">
        <v>0.8</v>
      </c>
      <c r="BF6">
        <v>0.8</v>
      </c>
      <c r="BG6">
        <v>0.8</v>
      </c>
      <c r="BH6">
        <v>0.8</v>
      </c>
      <c r="BI6">
        <v>0.8</v>
      </c>
      <c r="BJ6">
        <v>0.8</v>
      </c>
      <c r="BK6">
        <v>0.8</v>
      </c>
      <c r="BL6">
        <v>0.8</v>
      </c>
      <c r="BM6" s="216">
        <v>0.8</v>
      </c>
      <c r="BN6" s="216">
        <v>0.8</v>
      </c>
      <c r="BO6" s="216">
        <v>0.8</v>
      </c>
      <c r="BP6" s="216">
        <v>0.8</v>
      </c>
      <c r="BQ6" s="216">
        <v>0.8</v>
      </c>
      <c r="BR6" s="216">
        <v>0.8</v>
      </c>
      <c r="BS6" s="216">
        <v>0.8</v>
      </c>
      <c r="BT6" s="216">
        <v>0.8</v>
      </c>
      <c r="BU6" s="216">
        <v>0.8</v>
      </c>
      <c r="BV6" s="216">
        <v>0.8</v>
      </c>
      <c r="BW6" s="216">
        <v>0.8</v>
      </c>
      <c r="BX6" s="216">
        <v>0.8</v>
      </c>
      <c r="BY6" s="216">
        <v>0.8</v>
      </c>
      <c r="BZ6" s="216">
        <v>0.8</v>
      </c>
      <c r="CA6" s="216">
        <v>0.8</v>
      </c>
      <c r="CB6" s="216">
        <v>0.5</v>
      </c>
      <c r="CC6" s="216">
        <v>0.5</v>
      </c>
      <c r="CD6" s="216">
        <v>0.8</v>
      </c>
      <c r="CE6" s="216">
        <v>0.8</v>
      </c>
      <c r="CF6" s="216">
        <v>0.8</v>
      </c>
      <c r="CG6" s="216">
        <v>0.8</v>
      </c>
      <c r="CH6" s="216">
        <v>0.5</v>
      </c>
      <c r="CI6">
        <v>0</v>
      </c>
      <c r="CJ6" s="216">
        <v>0</v>
      </c>
      <c r="CK6" s="216">
        <v>0</v>
      </c>
      <c r="CL6" s="216">
        <v>0</v>
      </c>
      <c r="CM6" s="216">
        <v>0</v>
      </c>
    </row>
    <row r="7" spans="1:101" customFormat="1" ht="15" x14ac:dyDescent="0.5">
      <c r="A7" s="245" t="s">
        <v>182</v>
      </c>
      <c r="B7">
        <v>0</v>
      </c>
      <c r="C7">
        <v>0</v>
      </c>
      <c r="D7">
        <v>0.8</v>
      </c>
      <c r="E7">
        <v>0.8</v>
      </c>
      <c r="F7">
        <v>0.8</v>
      </c>
      <c r="G7">
        <v>0.8</v>
      </c>
      <c r="H7">
        <v>0.8</v>
      </c>
      <c r="I7">
        <v>0.8</v>
      </c>
      <c r="J7">
        <v>0.8</v>
      </c>
      <c r="K7">
        <v>0.8</v>
      </c>
      <c r="L7">
        <v>0.8</v>
      </c>
      <c r="M7">
        <v>0.8</v>
      </c>
      <c r="N7">
        <v>0.5</v>
      </c>
      <c r="O7">
        <v>0.8</v>
      </c>
      <c r="P7">
        <v>0.8</v>
      </c>
      <c r="Q7">
        <v>0.8</v>
      </c>
      <c r="R7">
        <v>0.5</v>
      </c>
      <c r="S7">
        <v>0.5</v>
      </c>
      <c r="T7">
        <v>0.5</v>
      </c>
      <c r="U7">
        <v>0.5</v>
      </c>
      <c r="V7">
        <v>0.5</v>
      </c>
      <c r="W7">
        <v>0.5</v>
      </c>
      <c r="X7">
        <v>0.5</v>
      </c>
      <c r="Y7" s="216">
        <v>0.5</v>
      </c>
      <c r="Z7">
        <v>0.1</v>
      </c>
      <c r="AA7">
        <v>0.1</v>
      </c>
      <c r="AB7">
        <v>0.1</v>
      </c>
      <c r="AC7">
        <v>0.1</v>
      </c>
      <c r="AD7">
        <v>0.1</v>
      </c>
      <c r="AE7">
        <v>0.1</v>
      </c>
      <c r="AF7" s="216">
        <v>0.1</v>
      </c>
      <c r="AG7">
        <v>0.5</v>
      </c>
      <c r="AH7">
        <v>0.5</v>
      </c>
      <c r="AI7">
        <v>0.5</v>
      </c>
      <c r="AJ7">
        <v>0.5</v>
      </c>
      <c r="AK7">
        <v>0.5</v>
      </c>
      <c r="AL7">
        <v>0.5</v>
      </c>
      <c r="AM7">
        <v>0.5</v>
      </c>
      <c r="AN7">
        <v>0.5</v>
      </c>
      <c r="AO7">
        <v>0.5</v>
      </c>
      <c r="AP7">
        <v>0.5</v>
      </c>
      <c r="AQ7" s="216">
        <v>0.5</v>
      </c>
      <c r="AR7" s="216">
        <v>0.5</v>
      </c>
      <c r="AS7">
        <v>0.8</v>
      </c>
      <c r="AT7" s="216">
        <v>0.5</v>
      </c>
      <c r="AU7" s="216">
        <v>0.5</v>
      </c>
      <c r="AV7">
        <v>0.8</v>
      </c>
      <c r="AW7">
        <v>0.5</v>
      </c>
      <c r="AX7">
        <v>0.8</v>
      </c>
      <c r="AY7">
        <v>0.8</v>
      </c>
      <c r="AZ7">
        <v>0.8</v>
      </c>
      <c r="BA7">
        <v>0.8</v>
      </c>
      <c r="BB7">
        <v>0.5</v>
      </c>
      <c r="BC7">
        <v>0.8</v>
      </c>
      <c r="BD7">
        <v>0.8</v>
      </c>
      <c r="BE7">
        <v>0.8</v>
      </c>
      <c r="BF7">
        <v>0.8</v>
      </c>
      <c r="BG7">
        <v>0.8</v>
      </c>
      <c r="BH7">
        <v>0.8</v>
      </c>
      <c r="BI7">
        <v>0.8</v>
      </c>
      <c r="BJ7">
        <v>0.8</v>
      </c>
      <c r="BK7">
        <v>0.8</v>
      </c>
      <c r="BL7">
        <v>0.8</v>
      </c>
      <c r="BM7" s="216">
        <v>0.8</v>
      </c>
      <c r="BN7" s="216">
        <v>0.8</v>
      </c>
      <c r="BO7" s="216">
        <v>0.8</v>
      </c>
      <c r="BP7" s="216">
        <v>0.8</v>
      </c>
      <c r="BQ7" s="216">
        <v>0.8</v>
      </c>
      <c r="BR7" s="216">
        <v>0.8</v>
      </c>
      <c r="BS7" s="216">
        <v>0.8</v>
      </c>
      <c r="BT7" s="216">
        <v>0.8</v>
      </c>
      <c r="BU7" s="216">
        <v>0.8</v>
      </c>
      <c r="BV7" s="216">
        <v>0.8</v>
      </c>
      <c r="BW7" s="216">
        <v>0.8</v>
      </c>
      <c r="BX7" s="216">
        <v>0.8</v>
      </c>
      <c r="BY7" s="216">
        <v>0.8</v>
      </c>
      <c r="BZ7" s="216">
        <v>0.8</v>
      </c>
      <c r="CA7" s="216">
        <v>0.8</v>
      </c>
      <c r="CB7" s="216">
        <v>0.5</v>
      </c>
      <c r="CC7" s="216">
        <v>0.5</v>
      </c>
      <c r="CD7" s="216">
        <v>0.8</v>
      </c>
      <c r="CE7" s="216">
        <v>0.8</v>
      </c>
      <c r="CF7" s="216">
        <v>0.8</v>
      </c>
      <c r="CG7" s="216">
        <v>0.8</v>
      </c>
      <c r="CH7" s="216">
        <v>0.5</v>
      </c>
      <c r="CI7">
        <v>0</v>
      </c>
      <c r="CJ7" s="216">
        <v>0</v>
      </c>
      <c r="CK7" s="216">
        <v>0</v>
      </c>
      <c r="CL7" s="216">
        <v>0</v>
      </c>
      <c r="CM7" s="216">
        <v>0</v>
      </c>
    </row>
    <row r="8" spans="1:101" customFormat="1" ht="15" x14ac:dyDescent="0.5">
      <c r="A8" s="245" t="s">
        <v>183</v>
      </c>
      <c r="B8">
        <v>0</v>
      </c>
      <c r="C8">
        <v>0</v>
      </c>
      <c r="D8">
        <v>0.8</v>
      </c>
      <c r="E8">
        <v>0.8</v>
      </c>
      <c r="F8">
        <v>0.8</v>
      </c>
      <c r="G8">
        <v>0.8</v>
      </c>
      <c r="H8">
        <v>0.8</v>
      </c>
      <c r="I8">
        <v>0.8</v>
      </c>
      <c r="J8">
        <v>0.8</v>
      </c>
      <c r="K8">
        <v>0.8</v>
      </c>
      <c r="L8">
        <v>0.8</v>
      </c>
      <c r="M8">
        <v>0.8</v>
      </c>
      <c r="N8">
        <v>0.5</v>
      </c>
      <c r="O8">
        <v>0.8</v>
      </c>
      <c r="P8">
        <v>0.8</v>
      </c>
      <c r="Q8">
        <v>0.8</v>
      </c>
      <c r="R8">
        <v>0.5</v>
      </c>
      <c r="S8">
        <v>0.5</v>
      </c>
      <c r="T8">
        <v>0.5</v>
      </c>
      <c r="U8">
        <v>0.5</v>
      </c>
      <c r="V8">
        <v>0.5</v>
      </c>
      <c r="W8">
        <v>0.5</v>
      </c>
      <c r="X8">
        <v>0.5</v>
      </c>
      <c r="Y8" s="216">
        <v>0.5</v>
      </c>
      <c r="Z8">
        <v>0.1</v>
      </c>
      <c r="AA8">
        <v>0.1</v>
      </c>
      <c r="AB8">
        <v>0.1</v>
      </c>
      <c r="AC8">
        <v>0.1</v>
      </c>
      <c r="AD8">
        <v>0.1</v>
      </c>
      <c r="AE8">
        <v>0.1</v>
      </c>
      <c r="AF8" s="216">
        <v>0.1</v>
      </c>
      <c r="AG8">
        <v>0.5</v>
      </c>
      <c r="AH8">
        <v>0.5</v>
      </c>
      <c r="AI8">
        <v>0.5</v>
      </c>
      <c r="AJ8">
        <v>0.5</v>
      </c>
      <c r="AK8">
        <v>0.5</v>
      </c>
      <c r="AL8">
        <v>0.5</v>
      </c>
      <c r="AM8">
        <v>0.5</v>
      </c>
      <c r="AN8">
        <v>0.5</v>
      </c>
      <c r="AO8">
        <v>0.5</v>
      </c>
      <c r="AP8">
        <v>0.5</v>
      </c>
      <c r="AQ8" s="216">
        <v>0.5</v>
      </c>
      <c r="AR8" s="216">
        <v>0.5</v>
      </c>
      <c r="AS8">
        <v>0.8</v>
      </c>
      <c r="AT8" s="216">
        <v>0.5</v>
      </c>
      <c r="AU8" s="216">
        <v>0.5</v>
      </c>
      <c r="AV8">
        <v>0.8</v>
      </c>
      <c r="AW8">
        <v>0.5</v>
      </c>
      <c r="AX8">
        <v>0.8</v>
      </c>
      <c r="AY8">
        <v>0.8</v>
      </c>
      <c r="AZ8">
        <v>0.8</v>
      </c>
      <c r="BA8">
        <v>0.8</v>
      </c>
      <c r="BB8">
        <v>0.5</v>
      </c>
      <c r="BC8">
        <v>0.8</v>
      </c>
      <c r="BD8">
        <v>0.8</v>
      </c>
      <c r="BE8">
        <v>0.8</v>
      </c>
      <c r="BF8">
        <v>0.8</v>
      </c>
      <c r="BG8">
        <v>0.8</v>
      </c>
      <c r="BH8">
        <v>0.8</v>
      </c>
      <c r="BI8">
        <v>0.8</v>
      </c>
      <c r="BJ8">
        <v>0.8</v>
      </c>
      <c r="BK8">
        <v>0.8</v>
      </c>
      <c r="BL8">
        <v>0.8</v>
      </c>
      <c r="BM8" s="216">
        <v>0.8</v>
      </c>
      <c r="BN8" s="216">
        <v>0.8</v>
      </c>
      <c r="BO8" s="216">
        <v>0.8</v>
      </c>
      <c r="BP8" s="216">
        <v>0.8</v>
      </c>
      <c r="BQ8" s="216">
        <v>0.8</v>
      </c>
      <c r="BR8" s="216">
        <v>0.8</v>
      </c>
      <c r="BS8" s="216">
        <v>0.8</v>
      </c>
      <c r="BT8" s="216">
        <v>0.8</v>
      </c>
      <c r="BU8" s="216">
        <v>0.8</v>
      </c>
      <c r="BV8" s="216">
        <v>0.8</v>
      </c>
      <c r="BW8" s="216">
        <v>0.8</v>
      </c>
      <c r="BX8" s="216">
        <v>0.8</v>
      </c>
      <c r="BY8" s="216">
        <v>0.8</v>
      </c>
      <c r="BZ8" s="216">
        <v>0.8</v>
      </c>
      <c r="CA8" s="216">
        <v>0.8</v>
      </c>
      <c r="CB8" s="216">
        <v>0.5</v>
      </c>
      <c r="CC8" s="216">
        <v>0.5</v>
      </c>
      <c r="CD8" s="216">
        <v>0.8</v>
      </c>
      <c r="CE8" s="216">
        <v>0.8</v>
      </c>
      <c r="CF8" s="216">
        <v>0.8</v>
      </c>
      <c r="CG8" s="216">
        <v>0.8</v>
      </c>
      <c r="CH8" s="216">
        <v>0.5</v>
      </c>
      <c r="CI8">
        <v>0</v>
      </c>
      <c r="CJ8" s="216">
        <v>0</v>
      </c>
      <c r="CK8" s="216">
        <v>0</v>
      </c>
      <c r="CL8" s="216">
        <v>0</v>
      </c>
      <c r="CM8" s="216">
        <v>0</v>
      </c>
    </row>
    <row r="9" spans="1:101" customFormat="1" ht="15" x14ac:dyDescent="0.5">
      <c r="A9" s="245" t="s">
        <v>184</v>
      </c>
      <c r="B9">
        <v>0</v>
      </c>
      <c r="C9">
        <v>0</v>
      </c>
      <c r="D9">
        <v>0.8</v>
      </c>
      <c r="E9">
        <v>0.8</v>
      </c>
      <c r="F9">
        <v>0.8</v>
      </c>
      <c r="G9">
        <v>0.8</v>
      </c>
      <c r="H9">
        <v>0.8</v>
      </c>
      <c r="I9">
        <v>0.8</v>
      </c>
      <c r="J9">
        <v>0.8</v>
      </c>
      <c r="K9">
        <v>0.8</v>
      </c>
      <c r="L9">
        <v>0.8</v>
      </c>
      <c r="M9">
        <v>0.8</v>
      </c>
      <c r="N9">
        <v>0.5</v>
      </c>
      <c r="O9">
        <v>0.8</v>
      </c>
      <c r="P9">
        <v>0.8</v>
      </c>
      <c r="Q9">
        <v>0.8</v>
      </c>
      <c r="R9">
        <v>0.5</v>
      </c>
      <c r="S9">
        <v>0.5</v>
      </c>
      <c r="T9">
        <v>0.5</v>
      </c>
      <c r="U9">
        <v>0.5</v>
      </c>
      <c r="V9">
        <v>0.5</v>
      </c>
      <c r="W9">
        <v>0.5</v>
      </c>
      <c r="X9">
        <v>0.5</v>
      </c>
      <c r="Y9" s="216">
        <v>0.5</v>
      </c>
      <c r="Z9">
        <v>0.1</v>
      </c>
      <c r="AA9">
        <v>0.1</v>
      </c>
      <c r="AB9">
        <v>0.1</v>
      </c>
      <c r="AC9">
        <v>0.1</v>
      </c>
      <c r="AD9">
        <v>0.1</v>
      </c>
      <c r="AE9">
        <v>0.1</v>
      </c>
      <c r="AF9" s="216">
        <v>0.1</v>
      </c>
      <c r="AG9">
        <v>0.5</v>
      </c>
      <c r="AH9">
        <v>0.5</v>
      </c>
      <c r="AI9">
        <v>0.5</v>
      </c>
      <c r="AJ9">
        <v>0.5</v>
      </c>
      <c r="AK9">
        <v>0.5</v>
      </c>
      <c r="AL9">
        <v>0.5</v>
      </c>
      <c r="AM9">
        <v>0.5</v>
      </c>
      <c r="AN9">
        <v>0.5</v>
      </c>
      <c r="AO9">
        <v>0.5</v>
      </c>
      <c r="AP9">
        <v>0.5</v>
      </c>
      <c r="AQ9" s="216">
        <v>0.5</v>
      </c>
      <c r="AR9" s="216">
        <v>0.5</v>
      </c>
      <c r="AS9">
        <v>0.8</v>
      </c>
      <c r="AT9" s="216">
        <v>0.5</v>
      </c>
      <c r="AU9" s="216">
        <v>0.5</v>
      </c>
      <c r="AV9">
        <v>0.8</v>
      </c>
      <c r="AW9">
        <v>0.5</v>
      </c>
      <c r="AX9">
        <v>0.8</v>
      </c>
      <c r="AY9">
        <v>0.8</v>
      </c>
      <c r="AZ9">
        <v>0.8</v>
      </c>
      <c r="BA9">
        <v>0.8</v>
      </c>
      <c r="BB9">
        <v>0.5</v>
      </c>
      <c r="BC9">
        <v>0.8</v>
      </c>
      <c r="BD9">
        <v>0.8</v>
      </c>
      <c r="BE9">
        <v>0.8</v>
      </c>
      <c r="BF9">
        <v>0.8</v>
      </c>
      <c r="BG9">
        <v>0.8</v>
      </c>
      <c r="BH9">
        <v>0.8</v>
      </c>
      <c r="BI9">
        <v>0.8</v>
      </c>
      <c r="BJ9">
        <v>0.8</v>
      </c>
      <c r="BK9">
        <v>0.8</v>
      </c>
      <c r="BL9">
        <v>0.8</v>
      </c>
      <c r="BM9" s="216">
        <v>0.8</v>
      </c>
      <c r="BN9" s="216">
        <v>0.8</v>
      </c>
      <c r="BO9" s="216">
        <v>0.8</v>
      </c>
      <c r="BP9" s="216">
        <v>0.8</v>
      </c>
      <c r="BQ9" s="216">
        <v>0.8</v>
      </c>
      <c r="BR9" s="216">
        <v>0.8</v>
      </c>
      <c r="BS9" s="216">
        <v>0.8</v>
      </c>
      <c r="BT9" s="216">
        <v>0.8</v>
      </c>
      <c r="BU9" s="216">
        <v>0.8</v>
      </c>
      <c r="BV9" s="216">
        <v>0.8</v>
      </c>
      <c r="BW9" s="216">
        <v>0.8</v>
      </c>
      <c r="BX9" s="216">
        <v>0.8</v>
      </c>
      <c r="BY9" s="216">
        <v>0.8</v>
      </c>
      <c r="BZ9" s="216">
        <v>0.8</v>
      </c>
      <c r="CA9" s="216">
        <v>0.8</v>
      </c>
      <c r="CB9" s="216">
        <v>0.5</v>
      </c>
      <c r="CC9" s="216">
        <v>0.5</v>
      </c>
      <c r="CD9" s="216">
        <v>0.8</v>
      </c>
      <c r="CE9" s="216">
        <v>0.8</v>
      </c>
      <c r="CF9" s="216">
        <v>0.8</v>
      </c>
      <c r="CG9" s="216">
        <v>0.8</v>
      </c>
      <c r="CH9" s="216">
        <v>0.5</v>
      </c>
      <c r="CI9">
        <v>0</v>
      </c>
      <c r="CJ9" s="216">
        <v>0</v>
      </c>
      <c r="CK9" s="216">
        <v>0</v>
      </c>
      <c r="CL9" s="216">
        <v>0</v>
      </c>
      <c r="CM9" s="216">
        <v>0</v>
      </c>
    </row>
    <row r="10" spans="1:101" customFormat="1" ht="15" x14ac:dyDescent="0.5">
      <c r="A10" s="245" t="s">
        <v>185</v>
      </c>
      <c r="B10">
        <v>0</v>
      </c>
      <c r="C10">
        <v>0</v>
      </c>
      <c r="D10">
        <v>0.8</v>
      </c>
      <c r="E10">
        <v>0.8</v>
      </c>
      <c r="F10">
        <v>0.8</v>
      </c>
      <c r="G10">
        <v>0.8</v>
      </c>
      <c r="H10">
        <v>0.8</v>
      </c>
      <c r="I10">
        <v>0.8</v>
      </c>
      <c r="J10">
        <v>0.8</v>
      </c>
      <c r="K10">
        <v>0.8</v>
      </c>
      <c r="L10">
        <v>0.8</v>
      </c>
      <c r="M10">
        <v>0.8</v>
      </c>
      <c r="N10">
        <v>0.5</v>
      </c>
      <c r="O10">
        <v>0.8</v>
      </c>
      <c r="P10">
        <v>0.8</v>
      </c>
      <c r="Q10">
        <v>0.8</v>
      </c>
      <c r="R10">
        <v>0.5</v>
      </c>
      <c r="S10">
        <v>0.5</v>
      </c>
      <c r="T10">
        <v>0.5</v>
      </c>
      <c r="U10">
        <v>0.5</v>
      </c>
      <c r="V10">
        <v>0.5</v>
      </c>
      <c r="W10">
        <v>0.5</v>
      </c>
      <c r="X10">
        <v>0.5</v>
      </c>
      <c r="Y10" s="216">
        <v>0.5</v>
      </c>
      <c r="Z10">
        <v>0.1</v>
      </c>
      <c r="AA10">
        <v>0.1</v>
      </c>
      <c r="AB10">
        <v>0.1</v>
      </c>
      <c r="AC10">
        <v>0.1</v>
      </c>
      <c r="AD10">
        <v>0.1</v>
      </c>
      <c r="AE10">
        <v>0.1</v>
      </c>
      <c r="AF10" s="216">
        <v>0.1</v>
      </c>
      <c r="AG10">
        <v>0.5</v>
      </c>
      <c r="AH10">
        <v>0.5</v>
      </c>
      <c r="AI10">
        <v>0.5</v>
      </c>
      <c r="AJ10">
        <v>0.5</v>
      </c>
      <c r="AK10">
        <v>0.5</v>
      </c>
      <c r="AL10">
        <v>0.5</v>
      </c>
      <c r="AM10">
        <v>0.5</v>
      </c>
      <c r="AN10">
        <v>0.5</v>
      </c>
      <c r="AO10">
        <v>0.5</v>
      </c>
      <c r="AP10">
        <v>0.5</v>
      </c>
      <c r="AQ10" s="216">
        <v>0.5</v>
      </c>
      <c r="AR10" s="216">
        <v>0.5</v>
      </c>
      <c r="AS10">
        <v>0.8</v>
      </c>
      <c r="AT10" s="216">
        <v>0.5</v>
      </c>
      <c r="AU10" s="216">
        <v>0.5</v>
      </c>
      <c r="AV10">
        <v>0.8</v>
      </c>
      <c r="AW10">
        <v>0.5</v>
      </c>
      <c r="AX10">
        <v>0.8</v>
      </c>
      <c r="AY10">
        <v>0.8</v>
      </c>
      <c r="AZ10">
        <v>0.8</v>
      </c>
      <c r="BA10">
        <v>0.8</v>
      </c>
      <c r="BB10">
        <v>0.5</v>
      </c>
      <c r="BC10">
        <v>0.8</v>
      </c>
      <c r="BD10">
        <v>0.8</v>
      </c>
      <c r="BE10">
        <v>0.8</v>
      </c>
      <c r="BF10">
        <v>0.8</v>
      </c>
      <c r="BG10">
        <v>0.8</v>
      </c>
      <c r="BH10">
        <v>0.8</v>
      </c>
      <c r="BI10">
        <v>0.8</v>
      </c>
      <c r="BJ10">
        <v>0.8</v>
      </c>
      <c r="BK10">
        <v>0.8</v>
      </c>
      <c r="BL10">
        <v>0.8</v>
      </c>
      <c r="BM10" s="216">
        <v>0.8</v>
      </c>
      <c r="BN10" s="216">
        <v>0.8</v>
      </c>
      <c r="BO10" s="216">
        <v>0.8</v>
      </c>
      <c r="BP10" s="216">
        <v>0.8</v>
      </c>
      <c r="BQ10" s="216">
        <v>0.8</v>
      </c>
      <c r="BR10" s="216">
        <v>0.8</v>
      </c>
      <c r="BS10" s="216">
        <v>0.8</v>
      </c>
      <c r="BT10" s="216">
        <v>0.8</v>
      </c>
      <c r="BU10" s="216">
        <v>0.8</v>
      </c>
      <c r="BV10" s="216">
        <v>0.8</v>
      </c>
      <c r="BW10" s="216">
        <v>0.8</v>
      </c>
      <c r="BX10" s="216">
        <v>0.8</v>
      </c>
      <c r="BY10" s="216">
        <v>0.8</v>
      </c>
      <c r="BZ10" s="216">
        <v>0.8</v>
      </c>
      <c r="CA10" s="216">
        <v>0.8</v>
      </c>
      <c r="CB10" s="216">
        <v>0.5</v>
      </c>
      <c r="CC10" s="216">
        <v>0.5</v>
      </c>
      <c r="CD10" s="216">
        <v>0.8</v>
      </c>
      <c r="CE10" s="216">
        <v>0.8</v>
      </c>
      <c r="CF10" s="216">
        <v>0.8</v>
      </c>
      <c r="CG10" s="216">
        <v>0.8</v>
      </c>
      <c r="CH10" s="216">
        <v>0.5</v>
      </c>
      <c r="CI10">
        <v>0</v>
      </c>
      <c r="CJ10" s="216">
        <v>0</v>
      </c>
      <c r="CK10" s="216">
        <v>0</v>
      </c>
      <c r="CL10" s="216">
        <v>0</v>
      </c>
      <c r="CM10" s="216">
        <v>0</v>
      </c>
    </row>
    <row r="11" spans="1:101" customFormat="1" ht="15" x14ac:dyDescent="0.5">
      <c r="A11" s="245" t="s">
        <v>186</v>
      </c>
      <c r="B11">
        <v>0</v>
      </c>
      <c r="C11">
        <v>0</v>
      </c>
      <c r="D11">
        <v>0.8</v>
      </c>
      <c r="E11">
        <v>0.8</v>
      </c>
      <c r="F11">
        <v>0.8</v>
      </c>
      <c r="G11">
        <v>0.8</v>
      </c>
      <c r="H11">
        <v>0.8</v>
      </c>
      <c r="I11">
        <v>0.8</v>
      </c>
      <c r="J11">
        <v>0.8</v>
      </c>
      <c r="K11">
        <v>0.8</v>
      </c>
      <c r="L11">
        <v>0.8</v>
      </c>
      <c r="M11">
        <v>0.8</v>
      </c>
      <c r="N11">
        <v>0.5</v>
      </c>
      <c r="O11">
        <v>0.8</v>
      </c>
      <c r="P11">
        <v>0.8</v>
      </c>
      <c r="Q11">
        <v>0.8</v>
      </c>
      <c r="R11">
        <v>0.5</v>
      </c>
      <c r="S11">
        <v>0.5</v>
      </c>
      <c r="T11">
        <v>0.5</v>
      </c>
      <c r="U11">
        <v>0.5</v>
      </c>
      <c r="V11">
        <v>0.5</v>
      </c>
      <c r="W11">
        <v>0.5</v>
      </c>
      <c r="X11">
        <v>0.5</v>
      </c>
      <c r="Y11" s="216">
        <v>0.5</v>
      </c>
      <c r="Z11">
        <v>0.1</v>
      </c>
      <c r="AA11">
        <v>0.1</v>
      </c>
      <c r="AB11">
        <v>0.1</v>
      </c>
      <c r="AC11">
        <v>0.1</v>
      </c>
      <c r="AD11">
        <v>0.1</v>
      </c>
      <c r="AE11">
        <v>0.1</v>
      </c>
      <c r="AF11" s="216">
        <v>0.1</v>
      </c>
      <c r="AG11">
        <v>0.5</v>
      </c>
      <c r="AH11">
        <v>0.5</v>
      </c>
      <c r="AI11">
        <v>0.5</v>
      </c>
      <c r="AJ11">
        <v>0.5</v>
      </c>
      <c r="AK11">
        <v>0.5</v>
      </c>
      <c r="AL11">
        <v>0.5</v>
      </c>
      <c r="AM11">
        <v>0.5</v>
      </c>
      <c r="AN11">
        <v>0.5</v>
      </c>
      <c r="AO11">
        <v>0.5</v>
      </c>
      <c r="AP11">
        <v>0.5</v>
      </c>
      <c r="AQ11" s="216">
        <v>0.5</v>
      </c>
      <c r="AR11" s="216">
        <v>0.5</v>
      </c>
      <c r="AS11">
        <v>0.8</v>
      </c>
      <c r="AT11" s="216">
        <v>0.5</v>
      </c>
      <c r="AU11" s="216">
        <v>0.5</v>
      </c>
      <c r="AV11">
        <v>0.8</v>
      </c>
      <c r="AW11">
        <v>0.5</v>
      </c>
      <c r="AX11">
        <v>0.8</v>
      </c>
      <c r="AY11">
        <v>0.8</v>
      </c>
      <c r="AZ11">
        <v>0.8</v>
      </c>
      <c r="BA11">
        <v>0.8</v>
      </c>
      <c r="BB11">
        <v>0.5</v>
      </c>
      <c r="BC11">
        <v>0.8</v>
      </c>
      <c r="BD11">
        <v>0.8</v>
      </c>
      <c r="BE11">
        <v>0.8</v>
      </c>
      <c r="BF11">
        <v>0.8</v>
      </c>
      <c r="BG11">
        <v>0.8</v>
      </c>
      <c r="BH11">
        <v>0.8</v>
      </c>
      <c r="BI11">
        <v>0.8</v>
      </c>
      <c r="BJ11">
        <v>0.8</v>
      </c>
      <c r="BK11">
        <v>0.8</v>
      </c>
      <c r="BL11">
        <v>0.8</v>
      </c>
      <c r="BM11" s="216">
        <v>0.8</v>
      </c>
      <c r="BN11" s="216">
        <v>0.8</v>
      </c>
      <c r="BO11" s="216">
        <v>0.8</v>
      </c>
      <c r="BP11" s="216">
        <v>0.8</v>
      </c>
      <c r="BQ11" s="216">
        <v>0.8</v>
      </c>
      <c r="BR11" s="216">
        <v>0.8</v>
      </c>
      <c r="BS11" s="216">
        <v>0.8</v>
      </c>
      <c r="BT11" s="216">
        <v>0.8</v>
      </c>
      <c r="BU11" s="216">
        <v>0.8</v>
      </c>
      <c r="BV11" s="216">
        <v>0.8</v>
      </c>
      <c r="BW11" s="216">
        <v>0.8</v>
      </c>
      <c r="BX11" s="216">
        <v>0.8</v>
      </c>
      <c r="BY11" s="216">
        <v>0.8</v>
      </c>
      <c r="BZ11" s="216">
        <v>0.8</v>
      </c>
      <c r="CA11" s="216">
        <v>0.8</v>
      </c>
      <c r="CB11" s="216">
        <v>0.5</v>
      </c>
      <c r="CC11" s="216">
        <v>0.5</v>
      </c>
      <c r="CD11" s="216">
        <v>0.8</v>
      </c>
      <c r="CE11" s="216">
        <v>0.8</v>
      </c>
      <c r="CF11" s="216">
        <v>0.8</v>
      </c>
      <c r="CG11" s="216">
        <v>0.8</v>
      </c>
      <c r="CH11" s="216">
        <v>0.5</v>
      </c>
      <c r="CI11">
        <v>0</v>
      </c>
      <c r="CJ11" s="216">
        <v>0</v>
      </c>
      <c r="CK11" s="216">
        <v>0</v>
      </c>
      <c r="CL11" s="216">
        <v>0</v>
      </c>
      <c r="CM11" s="216">
        <v>0</v>
      </c>
    </row>
    <row r="12" spans="1:101" customFormat="1" ht="15" x14ac:dyDescent="0.5">
      <c r="A12" s="245" t="s">
        <v>187</v>
      </c>
      <c r="B12">
        <v>0</v>
      </c>
      <c r="C12">
        <v>0</v>
      </c>
      <c r="D12">
        <v>0.8</v>
      </c>
      <c r="E12">
        <v>0.8</v>
      </c>
      <c r="F12">
        <v>0.8</v>
      </c>
      <c r="G12">
        <v>0.8</v>
      </c>
      <c r="H12">
        <v>0.8</v>
      </c>
      <c r="I12">
        <v>0.8</v>
      </c>
      <c r="J12">
        <v>0.8</v>
      </c>
      <c r="K12">
        <v>0.8</v>
      </c>
      <c r="L12">
        <v>0.8</v>
      </c>
      <c r="M12">
        <v>0.8</v>
      </c>
      <c r="N12">
        <v>0.5</v>
      </c>
      <c r="O12">
        <v>0.8</v>
      </c>
      <c r="P12">
        <v>0.8</v>
      </c>
      <c r="Q12">
        <v>0.8</v>
      </c>
      <c r="R12">
        <v>0.5</v>
      </c>
      <c r="S12">
        <v>0.5</v>
      </c>
      <c r="T12">
        <v>0.5</v>
      </c>
      <c r="U12">
        <v>0.5</v>
      </c>
      <c r="V12">
        <v>0.5</v>
      </c>
      <c r="W12">
        <v>0.5</v>
      </c>
      <c r="X12">
        <v>0.5</v>
      </c>
      <c r="Y12" s="216">
        <v>0.5</v>
      </c>
      <c r="Z12">
        <v>0.1</v>
      </c>
      <c r="AA12">
        <v>0.1</v>
      </c>
      <c r="AB12">
        <v>0.1</v>
      </c>
      <c r="AC12">
        <v>0.1</v>
      </c>
      <c r="AD12">
        <v>0.1</v>
      </c>
      <c r="AE12">
        <v>0.1</v>
      </c>
      <c r="AF12" s="216">
        <v>0.1</v>
      </c>
      <c r="AG12">
        <v>0.5</v>
      </c>
      <c r="AH12">
        <v>0.5</v>
      </c>
      <c r="AI12">
        <v>0.5</v>
      </c>
      <c r="AJ12">
        <v>0.5</v>
      </c>
      <c r="AK12">
        <v>0.5</v>
      </c>
      <c r="AL12">
        <v>0.5</v>
      </c>
      <c r="AM12">
        <v>0.5</v>
      </c>
      <c r="AN12">
        <v>0.5</v>
      </c>
      <c r="AO12">
        <v>0.5</v>
      </c>
      <c r="AP12">
        <v>0.5</v>
      </c>
      <c r="AQ12" s="216">
        <v>0.5</v>
      </c>
      <c r="AR12" s="216">
        <v>0.5</v>
      </c>
      <c r="AS12">
        <v>0.8</v>
      </c>
      <c r="AT12" s="216">
        <v>0.5</v>
      </c>
      <c r="AU12" s="216">
        <v>0.5</v>
      </c>
      <c r="AV12">
        <v>0.8</v>
      </c>
      <c r="AW12">
        <v>0.5</v>
      </c>
      <c r="AX12">
        <v>0.8</v>
      </c>
      <c r="AY12">
        <v>0.8</v>
      </c>
      <c r="AZ12">
        <v>0.8</v>
      </c>
      <c r="BA12">
        <v>0.8</v>
      </c>
      <c r="BB12">
        <v>0.5</v>
      </c>
      <c r="BC12">
        <v>0.8</v>
      </c>
      <c r="BD12">
        <v>0.8</v>
      </c>
      <c r="BE12">
        <v>0.8</v>
      </c>
      <c r="BF12">
        <v>0.8</v>
      </c>
      <c r="BG12">
        <v>0.8</v>
      </c>
      <c r="BH12">
        <v>0.8</v>
      </c>
      <c r="BI12">
        <v>0.8</v>
      </c>
      <c r="BJ12">
        <v>0.8</v>
      </c>
      <c r="BK12">
        <v>0.8</v>
      </c>
      <c r="BL12">
        <v>0.8</v>
      </c>
      <c r="BM12" s="216">
        <v>0.8</v>
      </c>
      <c r="BN12" s="216">
        <v>0.8</v>
      </c>
      <c r="BO12" s="216">
        <v>0.8</v>
      </c>
      <c r="BP12" s="216">
        <v>0.8</v>
      </c>
      <c r="BQ12" s="216">
        <v>0.8</v>
      </c>
      <c r="BR12" s="216">
        <v>0.8</v>
      </c>
      <c r="BS12" s="216">
        <v>0.8</v>
      </c>
      <c r="BT12" s="216">
        <v>0.8</v>
      </c>
      <c r="BU12" s="216">
        <v>0.8</v>
      </c>
      <c r="BV12" s="216">
        <v>0.8</v>
      </c>
      <c r="BW12" s="216">
        <v>0.8</v>
      </c>
      <c r="BX12" s="216">
        <v>0.8</v>
      </c>
      <c r="BY12" s="216">
        <v>0.8</v>
      </c>
      <c r="BZ12" s="216">
        <v>0.8</v>
      </c>
      <c r="CA12" s="216">
        <v>0.8</v>
      </c>
      <c r="CB12" s="216">
        <v>0.5</v>
      </c>
      <c r="CC12" s="216">
        <v>0.5</v>
      </c>
      <c r="CD12" s="216">
        <v>0.8</v>
      </c>
      <c r="CE12" s="216">
        <v>0.8</v>
      </c>
      <c r="CF12" s="216">
        <v>0.8</v>
      </c>
      <c r="CG12" s="216">
        <v>0.8</v>
      </c>
      <c r="CH12" s="216">
        <v>0.5</v>
      </c>
      <c r="CI12">
        <v>0</v>
      </c>
      <c r="CJ12" s="216">
        <v>0</v>
      </c>
      <c r="CK12" s="216">
        <v>0</v>
      </c>
      <c r="CL12" s="216">
        <v>0</v>
      </c>
      <c r="CM12" s="216">
        <v>0</v>
      </c>
    </row>
    <row r="13" spans="1:101" customFormat="1" ht="15" x14ac:dyDescent="0.5">
      <c r="A13" s="245" t="s">
        <v>188</v>
      </c>
      <c r="B13">
        <v>0</v>
      </c>
      <c r="C13">
        <v>0</v>
      </c>
      <c r="D13">
        <v>0.8</v>
      </c>
      <c r="E13">
        <v>0.8</v>
      </c>
      <c r="F13">
        <v>0.8</v>
      </c>
      <c r="G13">
        <v>0.8</v>
      </c>
      <c r="H13">
        <v>0.8</v>
      </c>
      <c r="I13">
        <v>0.8</v>
      </c>
      <c r="J13">
        <v>0.8</v>
      </c>
      <c r="K13">
        <v>0.8</v>
      </c>
      <c r="L13">
        <v>0.8</v>
      </c>
      <c r="M13">
        <v>0.8</v>
      </c>
      <c r="N13">
        <v>0.5</v>
      </c>
      <c r="O13">
        <v>0.8</v>
      </c>
      <c r="P13">
        <v>0.8</v>
      </c>
      <c r="Q13">
        <v>0.8</v>
      </c>
      <c r="R13">
        <v>0.5</v>
      </c>
      <c r="S13">
        <v>0.5</v>
      </c>
      <c r="T13">
        <v>0.5</v>
      </c>
      <c r="U13">
        <v>0.5</v>
      </c>
      <c r="V13">
        <v>0.5</v>
      </c>
      <c r="W13">
        <v>0.5</v>
      </c>
      <c r="X13">
        <v>0.5</v>
      </c>
      <c r="Y13" s="216">
        <v>0.5</v>
      </c>
      <c r="Z13">
        <v>0.1</v>
      </c>
      <c r="AA13">
        <v>0.1</v>
      </c>
      <c r="AB13">
        <v>0.1</v>
      </c>
      <c r="AC13">
        <v>0.1</v>
      </c>
      <c r="AD13">
        <v>0.1</v>
      </c>
      <c r="AE13">
        <v>0.1</v>
      </c>
      <c r="AF13" s="216">
        <v>0.1</v>
      </c>
      <c r="AG13">
        <v>0.5</v>
      </c>
      <c r="AH13">
        <v>0.5</v>
      </c>
      <c r="AI13">
        <v>0.5</v>
      </c>
      <c r="AJ13">
        <v>0.5</v>
      </c>
      <c r="AK13">
        <v>0.5</v>
      </c>
      <c r="AL13">
        <v>0.5</v>
      </c>
      <c r="AM13">
        <v>0.5</v>
      </c>
      <c r="AN13">
        <v>0.5</v>
      </c>
      <c r="AO13">
        <v>0.5</v>
      </c>
      <c r="AP13">
        <v>0.5</v>
      </c>
      <c r="AQ13" s="216">
        <v>0.5</v>
      </c>
      <c r="AR13" s="216">
        <v>0.5</v>
      </c>
      <c r="AS13">
        <v>0.8</v>
      </c>
      <c r="AT13" s="216">
        <v>0.5</v>
      </c>
      <c r="AU13" s="216">
        <v>0.5</v>
      </c>
      <c r="AV13">
        <v>0.8</v>
      </c>
      <c r="AW13">
        <v>0.5</v>
      </c>
      <c r="AX13">
        <v>0.8</v>
      </c>
      <c r="AY13">
        <v>0.8</v>
      </c>
      <c r="AZ13">
        <v>0.8</v>
      </c>
      <c r="BA13">
        <v>0.8</v>
      </c>
      <c r="BB13">
        <v>0.5</v>
      </c>
      <c r="BC13">
        <v>0.8</v>
      </c>
      <c r="BD13">
        <v>0.8</v>
      </c>
      <c r="BE13">
        <v>0.8</v>
      </c>
      <c r="BF13">
        <v>0.8</v>
      </c>
      <c r="BG13">
        <v>0.8</v>
      </c>
      <c r="BH13">
        <v>0.8</v>
      </c>
      <c r="BI13">
        <v>0.8</v>
      </c>
      <c r="BJ13">
        <v>0.8</v>
      </c>
      <c r="BK13">
        <v>0.8</v>
      </c>
      <c r="BL13">
        <v>0.8</v>
      </c>
      <c r="BM13" s="216">
        <v>0.8</v>
      </c>
      <c r="BN13" s="216">
        <v>0.8</v>
      </c>
      <c r="BO13" s="216">
        <v>0.8</v>
      </c>
      <c r="BP13" s="216">
        <v>0.8</v>
      </c>
      <c r="BQ13" s="216">
        <v>0.8</v>
      </c>
      <c r="BR13" s="216">
        <v>0.8</v>
      </c>
      <c r="BS13" s="216">
        <v>0.8</v>
      </c>
      <c r="BT13" s="216">
        <v>0.8</v>
      </c>
      <c r="BU13" s="216">
        <v>0.8</v>
      </c>
      <c r="BV13" s="216">
        <v>0.8</v>
      </c>
      <c r="BW13" s="216">
        <v>0.8</v>
      </c>
      <c r="BX13" s="216">
        <v>0.8</v>
      </c>
      <c r="BY13" s="216">
        <v>0.8</v>
      </c>
      <c r="BZ13" s="216">
        <v>0.8</v>
      </c>
      <c r="CA13" s="216">
        <v>0.8</v>
      </c>
      <c r="CB13" s="216">
        <v>0.5</v>
      </c>
      <c r="CC13" s="216">
        <v>0.5</v>
      </c>
      <c r="CD13" s="216">
        <v>0.8</v>
      </c>
      <c r="CE13" s="216">
        <v>0.8</v>
      </c>
      <c r="CF13" s="216">
        <v>0.8</v>
      </c>
      <c r="CG13" s="216">
        <v>0.8</v>
      </c>
      <c r="CH13" s="216">
        <v>0.5</v>
      </c>
      <c r="CI13">
        <v>0</v>
      </c>
      <c r="CJ13" s="216">
        <v>0</v>
      </c>
      <c r="CK13" s="216">
        <v>0</v>
      </c>
      <c r="CL13" s="216">
        <v>0</v>
      </c>
      <c r="CM13" s="216">
        <v>0</v>
      </c>
    </row>
    <row r="14" spans="1:101" customFormat="1" ht="15" x14ac:dyDescent="0.5">
      <c r="A14" s="245" t="s">
        <v>189</v>
      </c>
      <c r="B14">
        <v>0</v>
      </c>
      <c r="C14">
        <v>0</v>
      </c>
      <c r="D14">
        <v>0.8</v>
      </c>
      <c r="E14">
        <v>0.8</v>
      </c>
      <c r="F14">
        <v>0.8</v>
      </c>
      <c r="G14">
        <v>0.8</v>
      </c>
      <c r="H14">
        <v>0.8</v>
      </c>
      <c r="I14">
        <v>0.8</v>
      </c>
      <c r="J14">
        <v>0.8</v>
      </c>
      <c r="K14">
        <v>0.8</v>
      </c>
      <c r="L14">
        <v>0.8</v>
      </c>
      <c r="M14">
        <v>0.8</v>
      </c>
      <c r="N14">
        <v>0.5</v>
      </c>
      <c r="O14">
        <v>0.8</v>
      </c>
      <c r="P14">
        <v>0.8</v>
      </c>
      <c r="Q14">
        <v>0.8</v>
      </c>
      <c r="R14">
        <v>0.5</v>
      </c>
      <c r="S14">
        <v>0.5</v>
      </c>
      <c r="T14">
        <v>0.5</v>
      </c>
      <c r="U14">
        <v>0.5</v>
      </c>
      <c r="V14">
        <v>0.5</v>
      </c>
      <c r="W14">
        <v>0.5</v>
      </c>
      <c r="X14">
        <v>0.5</v>
      </c>
      <c r="Y14" s="216">
        <v>0.5</v>
      </c>
      <c r="Z14">
        <v>0.1</v>
      </c>
      <c r="AA14">
        <v>0.1</v>
      </c>
      <c r="AB14">
        <v>0.1</v>
      </c>
      <c r="AC14">
        <v>0.1</v>
      </c>
      <c r="AD14">
        <v>0.1</v>
      </c>
      <c r="AE14">
        <v>0.1</v>
      </c>
      <c r="AF14" s="216">
        <v>0.1</v>
      </c>
      <c r="AG14">
        <v>0.5</v>
      </c>
      <c r="AH14">
        <v>0.5</v>
      </c>
      <c r="AI14">
        <v>0.5</v>
      </c>
      <c r="AJ14">
        <v>0.5</v>
      </c>
      <c r="AK14">
        <v>0.5</v>
      </c>
      <c r="AL14">
        <v>0.5</v>
      </c>
      <c r="AM14">
        <v>0.5</v>
      </c>
      <c r="AN14">
        <v>0.5</v>
      </c>
      <c r="AO14">
        <v>0.5</v>
      </c>
      <c r="AP14">
        <v>0.5</v>
      </c>
      <c r="AQ14" s="216">
        <v>0.5</v>
      </c>
      <c r="AR14" s="216">
        <v>0.5</v>
      </c>
      <c r="AS14">
        <v>0.8</v>
      </c>
      <c r="AT14" s="216">
        <v>0.5</v>
      </c>
      <c r="AU14" s="216">
        <v>0.5</v>
      </c>
      <c r="AV14">
        <v>0.8</v>
      </c>
      <c r="AW14">
        <v>0.5</v>
      </c>
      <c r="AX14">
        <v>0.8</v>
      </c>
      <c r="AY14">
        <v>0.8</v>
      </c>
      <c r="AZ14">
        <v>0.8</v>
      </c>
      <c r="BA14">
        <v>0.8</v>
      </c>
      <c r="BB14">
        <v>0.5</v>
      </c>
      <c r="BC14">
        <v>0.8</v>
      </c>
      <c r="BD14">
        <v>0.8</v>
      </c>
      <c r="BE14">
        <v>0.8</v>
      </c>
      <c r="BF14">
        <v>0.8</v>
      </c>
      <c r="BG14">
        <v>0.8</v>
      </c>
      <c r="BH14">
        <v>0.8</v>
      </c>
      <c r="BI14">
        <v>0.8</v>
      </c>
      <c r="BJ14">
        <v>0.8</v>
      </c>
      <c r="BK14">
        <v>0.8</v>
      </c>
      <c r="BL14">
        <v>0.8</v>
      </c>
      <c r="BM14" s="216">
        <v>0.8</v>
      </c>
      <c r="BN14" s="216">
        <v>0.8</v>
      </c>
      <c r="BO14" s="216">
        <v>0.8</v>
      </c>
      <c r="BP14" s="216">
        <v>0.8</v>
      </c>
      <c r="BQ14" s="216">
        <v>0.8</v>
      </c>
      <c r="BR14" s="216">
        <v>0.8</v>
      </c>
      <c r="BS14" s="216">
        <v>0.8</v>
      </c>
      <c r="BT14" s="216">
        <v>0.8</v>
      </c>
      <c r="BU14" s="216">
        <v>0.8</v>
      </c>
      <c r="BV14" s="216">
        <v>0.8</v>
      </c>
      <c r="BW14" s="216">
        <v>0.8</v>
      </c>
      <c r="BX14" s="216">
        <v>0.8</v>
      </c>
      <c r="BY14" s="216">
        <v>0.8</v>
      </c>
      <c r="BZ14" s="216">
        <v>0.8</v>
      </c>
      <c r="CA14" s="216">
        <v>0.8</v>
      </c>
      <c r="CB14" s="216">
        <v>0.5</v>
      </c>
      <c r="CC14" s="216">
        <v>0.5</v>
      </c>
      <c r="CD14" s="216">
        <v>0.8</v>
      </c>
      <c r="CE14" s="216">
        <v>0.8</v>
      </c>
      <c r="CF14" s="216">
        <v>0.8</v>
      </c>
      <c r="CG14" s="216">
        <v>0.8</v>
      </c>
      <c r="CH14" s="216">
        <v>0.5</v>
      </c>
      <c r="CI14">
        <v>0</v>
      </c>
      <c r="CJ14" s="216">
        <v>0</v>
      </c>
      <c r="CK14" s="216">
        <v>0</v>
      </c>
      <c r="CL14" s="216">
        <v>0</v>
      </c>
      <c r="CM14" s="216">
        <v>0</v>
      </c>
    </row>
    <row r="15" spans="1:101" customFormat="1" ht="15" x14ac:dyDescent="0.5">
      <c r="A15" s="246" t="s">
        <v>273</v>
      </c>
      <c r="B15">
        <v>0</v>
      </c>
      <c r="C15">
        <v>0</v>
      </c>
      <c r="D15">
        <v>0.8</v>
      </c>
      <c r="E15">
        <v>0.8</v>
      </c>
      <c r="F15">
        <v>0.8</v>
      </c>
      <c r="G15">
        <v>0.8</v>
      </c>
      <c r="H15">
        <v>0.8</v>
      </c>
      <c r="I15">
        <v>0.8</v>
      </c>
      <c r="J15">
        <v>0.8</v>
      </c>
      <c r="K15">
        <v>0.8</v>
      </c>
      <c r="L15">
        <v>0.8</v>
      </c>
      <c r="M15">
        <v>0.8</v>
      </c>
      <c r="N15">
        <v>0.5</v>
      </c>
      <c r="O15">
        <v>0.8</v>
      </c>
      <c r="P15">
        <v>0.8</v>
      </c>
      <c r="Q15">
        <v>0.8</v>
      </c>
      <c r="R15">
        <v>0.5</v>
      </c>
      <c r="S15">
        <v>0.5</v>
      </c>
      <c r="T15">
        <v>0.5</v>
      </c>
      <c r="U15">
        <v>0.5</v>
      </c>
      <c r="V15">
        <v>0.5</v>
      </c>
      <c r="W15">
        <v>0.5</v>
      </c>
      <c r="X15">
        <v>0.5</v>
      </c>
      <c r="Y15" s="216">
        <v>0.5</v>
      </c>
      <c r="Z15">
        <v>0.1</v>
      </c>
      <c r="AA15">
        <v>0.1</v>
      </c>
      <c r="AB15">
        <v>0.1</v>
      </c>
      <c r="AC15">
        <v>0.1</v>
      </c>
      <c r="AD15">
        <v>0.1</v>
      </c>
      <c r="AE15">
        <v>0.1</v>
      </c>
      <c r="AF15" s="216">
        <v>0.1</v>
      </c>
      <c r="AG15">
        <v>0.5</v>
      </c>
      <c r="AH15">
        <v>0.5</v>
      </c>
      <c r="AI15">
        <v>0.5</v>
      </c>
      <c r="AJ15">
        <v>0.5</v>
      </c>
      <c r="AK15">
        <v>0.5</v>
      </c>
      <c r="AL15">
        <v>0.5</v>
      </c>
      <c r="AM15">
        <v>0.5</v>
      </c>
      <c r="AN15">
        <v>0.5</v>
      </c>
      <c r="AO15">
        <v>0.5</v>
      </c>
      <c r="AP15">
        <v>0.5</v>
      </c>
      <c r="AQ15" s="216">
        <v>0.5</v>
      </c>
      <c r="AR15" s="216">
        <v>0.5</v>
      </c>
      <c r="AS15">
        <v>0.8</v>
      </c>
      <c r="AT15" s="216">
        <v>0.5</v>
      </c>
      <c r="AU15" s="216">
        <v>0.5</v>
      </c>
      <c r="AV15">
        <v>0.8</v>
      </c>
      <c r="AW15">
        <v>0.5</v>
      </c>
      <c r="AX15">
        <v>0.8</v>
      </c>
      <c r="AY15">
        <v>0.8</v>
      </c>
      <c r="AZ15">
        <v>0.8</v>
      </c>
      <c r="BA15">
        <v>0.8</v>
      </c>
      <c r="BB15">
        <v>0.5</v>
      </c>
      <c r="BC15">
        <v>0.8</v>
      </c>
      <c r="BD15">
        <v>0.8</v>
      </c>
      <c r="BE15">
        <v>0.8</v>
      </c>
      <c r="BF15">
        <v>0.8</v>
      </c>
      <c r="BG15">
        <v>0.8</v>
      </c>
      <c r="BH15">
        <v>0.8</v>
      </c>
      <c r="BI15">
        <v>0.8</v>
      </c>
      <c r="BJ15">
        <v>0.8</v>
      </c>
      <c r="BK15">
        <v>0.8</v>
      </c>
      <c r="BL15">
        <v>0.8</v>
      </c>
      <c r="BM15" s="216">
        <v>0.8</v>
      </c>
      <c r="BN15" s="216">
        <v>0.8</v>
      </c>
      <c r="BO15" s="216">
        <v>0.8</v>
      </c>
      <c r="BP15" s="216">
        <v>0.8</v>
      </c>
      <c r="BQ15" s="216">
        <v>0.8</v>
      </c>
      <c r="BR15" s="216">
        <v>0.8</v>
      </c>
      <c r="BS15" s="216">
        <v>0.8</v>
      </c>
      <c r="BT15" s="216">
        <v>0.8</v>
      </c>
      <c r="BU15" s="216">
        <v>0.8</v>
      </c>
      <c r="BV15" s="216">
        <v>0.8</v>
      </c>
      <c r="BW15" s="216">
        <v>0.8</v>
      </c>
      <c r="BX15" s="216">
        <v>0.8</v>
      </c>
      <c r="BY15" s="216">
        <v>0.8</v>
      </c>
      <c r="BZ15" s="216">
        <v>0.8</v>
      </c>
      <c r="CA15" s="216">
        <v>0.8</v>
      </c>
      <c r="CB15" s="216">
        <v>0.5</v>
      </c>
      <c r="CC15" s="216">
        <v>0.5</v>
      </c>
      <c r="CD15" s="216">
        <v>0.8</v>
      </c>
      <c r="CE15" s="216">
        <v>0.8</v>
      </c>
      <c r="CF15" s="216">
        <v>0.8</v>
      </c>
      <c r="CG15" s="216">
        <v>0.8</v>
      </c>
      <c r="CH15" s="216">
        <v>0.5</v>
      </c>
      <c r="CI15">
        <v>0</v>
      </c>
      <c r="CJ15" s="216">
        <v>0</v>
      </c>
      <c r="CK15" s="216">
        <v>0</v>
      </c>
      <c r="CL15" s="216">
        <v>0</v>
      </c>
      <c r="CM15" s="216">
        <v>0</v>
      </c>
    </row>
    <row r="16" spans="1:101" customFormat="1" ht="15" x14ac:dyDescent="0.5">
      <c r="A16" s="245" t="s">
        <v>190</v>
      </c>
      <c r="B16">
        <v>0</v>
      </c>
      <c r="C16">
        <v>0</v>
      </c>
      <c r="D16">
        <v>0.8</v>
      </c>
      <c r="E16">
        <v>0.8</v>
      </c>
      <c r="F16">
        <v>0.8</v>
      </c>
      <c r="G16">
        <v>0.8</v>
      </c>
      <c r="H16">
        <v>0.8</v>
      </c>
      <c r="I16">
        <v>0.8</v>
      </c>
      <c r="J16">
        <v>0.8</v>
      </c>
      <c r="K16">
        <v>0.8</v>
      </c>
      <c r="L16">
        <v>0.8</v>
      </c>
      <c r="M16">
        <v>0.8</v>
      </c>
      <c r="N16">
        <v>0.5</v>
      </c>
      <c r="O16">
        <v>0.8</v>
      </c>
      <c r="P16">
        <v>0.8</v>
      </c>
      <c r="Q16">
        <v>0.8</v>
      </c>
      <c r="R16">
        <v>0.5</v>
      </c>
      <c r="S16">
        <v>0.5</v>
      </c>
      <c r="T16">
        <v>0.5</v>
      </c>
      <c r="U16">
        <v>0.5</v>
      </c>
      <c r="V16">
        <v>0.5</v>
      </c>
      <c r="W16">
        <v>0.5</v>
      </c>
      <c r="X16">
        <v>0.5</v>
      </c>
      <c r="Y16" s="216">
        <v>0.5</v>
      </c>
      <c r="Z16">
        <v>0.1</v>
      </c>
      <c r="AA16">
        <v>0.1</v>
      </c>
      <c r="AB16">
        <v>0.1</v>
      </c>
      <c r="AC16">
        <v>0.1</v>
      </c>
      <c r="AD16">
        <v>0.1</v>
      </c>
      <c r="AE16">
        <v>0.1</v>
      </c>
      <c r="AF16" s="216">
        <v>0.1</v>
      </c>
      <c r="AG16">
        <v>0.5</v>
      </c>
      <c r="AH16">
        <v>0.5</v>
      </c>
      <c r="AI16">
        <v>0.5</v>
      </c>
      <c r="AJ16">
        <v>0.5</v>
      </c>
      <c r="AK16">
        <v>0.5</v>
      </c>
      <c r="AL16">
        <v>0.5</v>
      </c>
      <c r="AM16">
        <v>0.5</v>
      </c>
      <c r="AN16">
        <v>0.5</v>
      </c>
      <c r="AO16">
        <v>0.5</v>
      </c>
      <c r="AP16">
        <v>0.5</v>
      </c>
      <c r="AQ16" s="216">
        <v>0.5</v>
      </c>
      <c r="AR16" s="216">
        <v>0.5</v>
      </c>
      <c r="AS16">
        <v>0.8</v>
      </c>
      <c r="AT16" s="216">
        <v>0.5</v>
      </c>
      <c r="AU16" s="216">
        <v>0.5</v>
      </c>
      <c r="AV16">
        <v>0.8</v>
      </c>
      <c r="AW16">
        <v>0.5</v>
      </c>
      <c r="AX16">
        <v>0.8</v>
      </c>
      <c r="AY16">
        <v>0.8</v>
      </c>
      <c r="AZ16">
        <v>0.8</v>
      </c>
      <c r="BA16">
        <v>0.8</v>
      </c>
      <c r="BB16">
        <v>0.5</v>
      </c>
      <c r="BC16">
        <v>0.8</v>
      </c>
      <c r="BD16">
        <v>0.8</v>
      </c>
      <c r="BE16">
        <v>0.8</v>
      </c>
      <c r="BF16">
        <v>0.8</v>
      </c>
      <c r="BG16">
        <v>0.8</v>
      </c>
      <c r="BH16">
        <v>0.8</v>
      </c>
      <c r="BI16">
        <v>0.8</v>
      </c>
      <c r="BJ16">
        <v>0.8</v>
      </c>
      <c r="BK16">
        <v>0.8</v>
      </c>
      <c r="BL16">
        <v>0.8</v>
      </c>
      <c r="BM16" s="216">
        <v>0.8</v>
      </c>
      <c r="BN16" s="216">
        <v>0.8</v>
      </c>
      <c r="BO16" s="216">
        <v>0.8</v>
      </c>
      <c r="BP16" s="216">
        <v>0.8</v>
      </c>
      <c r="BQ16" s="216">
        <v>0.8</v>
      </c>
      <c r="BR16" s="216">
        <v>0.8</v>
      </c>
      <c r="BS16" s="216">
        <v>0.8</v>
      </c>
      <c r="BT16" s="216">
        <v>0.8</v>
      </c>
      <c r="BU16" s="216">
        <v>0.8</v>
      </c>
      <c r="BV16" s="216">
        <v>0.8</v>
      </c>
      <c r="BW16" s="216">
        <v>0.8</v>
      </c>
      <c r="BX16" s="216">
        <v>0.8</v>
      </c>
      <c r="BY16" s="216">
        <v>0.8</v>
      </c>
      <c r="BZ16" s="216">
        <v>0.8</v>
      </c>
      <c r="CA16" s="216">
        <v>0.8</v>
      </c>
      <c r="CB16" s="216">
        <v>0.5</v>
      </c>
      <c r="CC16" s="216">
        <v>0.5</v>
      </c>
      <c r="CD16" s="216">
        <v>0.8</v>
      </c>
      <c r="CE16" s="216">
        <v>0.8</v>
      </c>
      <c r="CF16" s="216">
        <v>0.8</v>
      </c>
      <c r="CG16" s="216">
        <v>0.8</v>
      </c>
      <c r="CH16" s="216">
        <v>0.5</v>
      </c>
      <c r="CI16">
        <v>0</v>
      </c>
      <c r="CJ16" s="216">
        <v>0</v>
      </c>
      <c r="CK16" s="216">
        <v>0</v>
      </c>
      <c r="CL16" s="216">
        <v>0</v>
      </c>
      <c r="CM16" s="216">
        <v>0</v>
      </c>
    </row>
    <row r="17" spans="1:91" customFormat="1" ht="15" x14ac:dyDescent="0.5">
      <c r="A17" s="245" t="s">
        <v>191</v>
      </c>
      <c r="B17">
        <v>0</v>
      </c>
      <c r="C17">
        <v>0</v>
      </c>
      <c r="D17">
        <v>0.8</v>
      </c>
      <c r="E17">
        <v>0.8</v>
      </c>
      <c r="F17">
        <v>0.8</v>
      </c>
      <c r="G17">
        <v>0.8</v>
      </c>
      <c r="H17">
        <v>0.8</v>
      </c>
      <c r="I17">
        <v>0.8</v>
      </c>
      <c r="J17">
        <v>0.8</v>
      </c>
      <c r="K17">
        <v>0.8</v>
      </c>
      <c r="L17">
        <v>0.8</v>
      </c>
      <c r="M17">
        <v>0.8</v>
      </c>
      <c r="N17">
        <v>0.5</v>
      </c>
      <c r="O17">
        <v>0.8</v>
      </c>
      <c r="P17">
        <v>0.8</v>
      </c>
      <c r="Q17">
        <v>0.8</v>
      </c>
      <c r="R17">
        <v>0.5</v>
      </c>
      <c r="S17">
        <v>0.5</v>
      </c>
      <c r="T17">
        <v>0.5</v>
      </c>
      <c r="U17">
        <v>0.5</v>
      </c>
      <c r="V17">
        <v>0.5</v>
      </c>
      <c r="W17">
        <v>0.5</v>
      </c>
      <c r="X17">
        <v>0.5</v>
      </c>
      <c r="Y17" s="216">
        <v>0.5</v>
      </c>
      <c r="Z17">
        <v>0.1</v>
      </c>
      <c r="AA17">
        <v>0.1</v>
      </c>
      <c r="AB17">
        <v>0.1</v>
      </c>
      <c r="AC17">
        <v>0.1</v>
      </c>
      <c r="AD17">
        <v>0.1</v>
      </c>
      <c r="AE17">
        <v>0.1</v>
      </c>
      <c r="AF17" s="216">
        <v>0.1</v>
      </c>
      <c r="AG17">
        <v>0.5</v>
      </c>
      <c r="AH17">
        <v>0.5</v>
      </c>
      <c r="AI17">
        <v>0.5</v>
      </c>
      <c r="AJ17">
        <v>0.5</v>
      </c>
      <c r="AK17">
        <v>0.5</v>
      </c>
      <c r="AL17">
        <v>0.5</v>
      </c>
      <c r="AM17">
        <v>0.5</v>
      </c>
      <c r="AN17">
        <v>0.5</v>
      </c>
      <c r="AO17">
        <v>0.5</v>
      </c>
      <c r="AP17">
        <v>0.5</v>
      </c>
      <c r="AQ17" s="216">
        <v>0.5</v>
      </c>
      <c r="AR17" s="216">
        <v>0.5</v>
      </c>
      <c r="AS17">
        <v>0.8</v>
      </c>
      <c r="AT17" s="216">
        <v>0.5</v>
      </c>
      <c r="AU17" s="216">
        <v>0.5</v>
      </c>
      <c r="AV17">
        <v>0.8</v>
      </c>
      <c r="AW17">
        <v>0.5</v>
      </c>
      <c r="AX17">
        <v>0.8</v>
      </c>
      <c r="AY17">
        <v>0.8</v>
      </c>
      <c r="AZ17">
        <v>0.8</v>
      </c>
      <c r="BA17">
        <v>0.8</v>
      </c>
      <c r="BB17">
        <v>0.5</v>
      </c>
      <c r="BC17">
        <v>0.8</v>
      </c>
      <c r="BD17">
        <v>0.8</v>
      </c>
      <c r="BE17">
        <v>0.8</v>
      </c>
      <c r="BF17">
        <v>0.8</v>
      </c>
      <c r="BG17">
        <v>0.8</v>
      </c>
      <c r="BH17">
        <v>0.8</v>
      </c>
      <c r="BI17">
        <v>0.8</v>
      </c>
      <c r="BJ17">
        <v>0.8</v>
      </c>
      <c r="BK17">
        <v>0.8</v>
      </c>
      <c r="BL17">
        <v>0.8</v>
      </c>
      <c r="BM17" s="216">
        <v>0.8</v>
      </c>
      <c r="BN17" s="216">
        <v>0.8</v>
      </c>
      <c r="BO17" s="216">
        <v>0.8</v>
      </c>
      <c r="BP17" s="216">
        <v>0.8</v>
      </c>
      <c r="BQ17" s="216">
        <v>0.8</v>
      </c>
      <c r="BR17" s="216">
        <v>0.8</v>
      </c>
      <c r="BS17" s="216">
        <v>0.8</v>
      </c>
      <c r="BT17" s="216">
        <v>0.8</v>
      </c>
      <c r="BU17" s="216">
        <v>0.8</v>
      </c>
      <c r="BV17" s="216">
        <v>0.8</v>
      </c>
      <c r="BW17" s="216">
        <v>0.8</v>
      </c>
      <c r="BX17" s="216">
        <v>0.8</v>
      </c>
      <c r="BY17" s="216">
        <v>0.8</v>
      </c>
      <c r="BZ17" s="216">
        <v>0.8</v>
      </c>
      <c r="CA17" s="216">
        <v>0.8</v>
      </c>
      <c r="CB17" s="216">
        <v>0.5</v>
      </c>
      <c r="CC17" s="216">
        <v>0.5</v>
      </c>
      <c r="CD17" s="216">
        <v>0.8</v>
      </c>
      <c r="CE17" s="216">
        <v>0.8</v>
      </c>
      <c r="CF17" s="216">
        <v>0.8</v>
      </c>
      <c r="CG17" s="216">
        <v>0.8</v>
      </c>
      <c r="CH17" s="216">
        <v>0.5</v>
      </c>
      <c r="CI17">
        <v>0</v>
      </c>
      <c r="CJ17" s="216">
        <v>0</v>
      </c>
      <c r="CK17" s="216">
        <v>0</v>
      </c>
      <c r="CL17" s="216">
        <v>0</v>
      </c>
      <c r="CM17" s="216">
        <v>0</v>
      </c>
    </row>
    <row r="18" spans="1:91" customFormat="1" ht="15" x14ac:dyDescent="0.5">
      <c r="A18" s="245" t="s">
        <v>192</v>
      </c>
      <c r="B18">
        <v>0</v>
      </c>
      <c r="C18">
        <v>0</v>
      </c>
      <c r="D18">
        <v>0.8</v>
      </c>
      <c r="E18">
        <v>0.8</v>
      </c>
      <c r="F18">
        <v>0.8</v>
      </c>
      <c r="G18">
        <v>0.8</v>
      </c>
      <c r="H18">
        <v>0.8</v>
      </c>
      <c r="I18">
        <v>0.8</v>
      </c>
      <c r="J18">
        <v>0.8</v>
      </c>
      <c r="K18">
        <v>0.8</v>
      </c>
      <c r="L18">
        <v>0.8</v>
      </c>
      <c r="M18">
        <v>0.8</v>
      </c>
      <c r="N18">
        <v>0.5</v>
      </c>
      <c r="O18">
        <v>0.8</v>
      </c>
      <c r="P18">
        <v>0.8</v>
      </c>
      <c r="Q18">
        <v>0.8</v>
      </c>
      <c r="R18">
        <v>0.5</v>
      </c>
      <c r="S18">
        <v>0.5</v>
      </c>
      <c r="T18">
        <v>0.5</v>
      </c>
      <c r="U18">
        <v>0.5</v>
      </c>
      <c r="V18">
        <v>0.5</v>
      </c>
      <c r="W18">
        <v>0.5</v>
      </c>
      <c r="X18">
        <v>0.5</v>
      </c>
      <c r="Y18" s="216">
        <v>0.5</v>
      </c>
      <c r="Z18">
        <v>0.1</v>
      </c>
      <c r="AA18">
        <v>0.1</v>
      </c>
      <c r="AB18">
        <v>0.1</v>
      </c>
      <c r="AC18">
        <v>0.1</v>
      </c>
      <c r="AD18">
        <v>0.1</v>
      </c>
      <c r="AE18">
        <v>0.1</v>
      </c>
      <c r="AF18" s="216">
        <v>0.1</v>
      </c>
      <c r="AG18">
        <v>0.5</v>
      </c>
      <c r="AH18">
        <v>0.5</v>
      </c>
      <c r="AI18">
        <v>0.5</v>
      </c>
      <c r="AJ18">
        <v>0.5</v>
      </c>
      <c r="AK18">
        <v>0.5</v>
      </c>
      <c r="AL18">
        <v>0.5</v>
      </c>
      <c r="AM18">
        <v>0.5</v>
      </c>
      <c r="AN18">
        <v>0.5</v>
      </c>
      <c r="AO18">
        <v>0.5</v>
      </c>
      <c r="AP18">
        <v>0.5</v>
      </c>
      <c r="AQ18" s="216">
        <v>0.5</v>
      </c>
      <c r="AR18" s="216">
        <v>0.5</v>
      </c>
      <c r="AS18">
        <v>0.8</v>
      </c>
      <c r="AT18" s="216">
        <v>0.5</v>
      </c>
      <c r="AU18" s="216">
        <v>0.5</v>
      </c>
      <c r="AV18">
        <v>0.8</v>
      </c>
      <c r="AW18">
        <v>0.5</v>
      </c>
      <c r="AX18">
        <v>0.8</v>
      </c>
      <c r="AY18">
        <v>0.8</v>
      </c>
      <c r="AZ18">
        <v>0.8</v>
      </c>
      <c r="BA18">
        <v>0.8</v>
      </c>
      <c r="BB18">
        <v>0.5</v>
      </c>
      <c r="BC18">
        <v>0.8</v>
      </c>
      <c r="BD18">
        <v>0.8</v>
      </c>
      <c r="BE18">
        <v>0.8</v>
      </c>
      <c r="BF18">
        <v>0.8</v>
      </c>
      <c r="BG18">
        <v>0.8</v>
      </c>
      <c r="BH18">
        <v>0.8</v>
      </c>
      <c r="BI18">
        <v>0.8</v>
      </c>
      <c r="BJ18">
        <v>0.8</v>
      </c>
      <c r="BK18">
        <v>0.8</v>
      </c>
      <c r="BL18">
        <v>0.8</v>
      </c>
      <c r="BM18" s="216">
        <v>0.8</v>
      </c>
      <c r="BN18" s="216">
        <v>0.8</v>
      </c>
      <c r="BO18" s="216">
        <v>0.8</v>
      </c>
      <c r="BP18" s="216">
        <v>0.8</v>
      </c>
      <c r="BQ18" s="216">
        <v>0.8</v>
      </c>
      <c r="BR18" s="216">
        <v>0.8</v>
      </c>
      <c r="BS18" s="216">
        <v>0.8</v>
      </c>
      <c r="BT18" s="216">
        <v>0.8</v>
      </c>
      <c r="BU18" s="216">
        <v>0.8</v>
      </c>
      <c r="BV18" s="216">
        <v>0.8</v>
      </c>
      <c r="BW18" s="216">
        <v>0.8</v>
      </c>
      <c r="BX18" s="216">
        <v>0.8</v>
      </c>
      <c r="BY18" s="216">
        <v>0.8</v>
      </c>
      <c r="BZ18" s="216">
        <v>0.8</v>
      </c>
      <c r="CA18" s="216">
        <v>0.8</v>
      </c>
      <c r="CB18" s="216">
        <v>0.5</v>
      </c>
      <c r="CC18" s="216">
        <v>0.5</v>
      </c>
      <c r="CD18" s="216">
        <v>0.8</v>
      </c>
      <c r="CE18" s="216">
        <v>0.8</v>
      </c>
      <c r="CF18" s="216">
        <v>0.8</v>
      </c>
      <c r="CG18" s="216">
        <v>0.8</v>
      </c>
      <c r="CH18" s="216">
        <v>0.5</v>
      </c>
      <c r="CI18">
        <v>0</v>
      </c>
      <c r="CJ18" s="216">
        <v>0</v>
      </c>
      <c r="CK18" s="216">
        <v>0</v>
      </c>
      <c r="CL18" s="216">
        <v>0</v>
      </c>
      <c r="CM18" s="216">
        <v>0</v>
      </c>
    </row>
    <row r="19" spans="1:91" customFormat="1" ht="15" x14ac:dyDescent="0.5">
      <c r="A19" s="245" t="s">
        <v>193</v>
      </c>
      <c r="B19">
        <v>0</v>
      </c>
      <c r="C19">
        <v>0</v>
      </c>
      <c r="D19">
        <v>0.8</v>
      </c>
      <c r="E19">
        <v>0.8</v>
      </c>
      <c r="F19">
        <v>0.8</v>
      </c>
      <c r="G19">
        <v>0.8</v>
      </c>
      <c r="H19">
        <v>0.8</v>
      </c>
      <c r="I19">
        <v>0.8</v>
      </c>
      <c r="J19">
        <v>0.8</v>
      </c>
      <c r="K19">
        <v>0.8</v>
      </c>
      <c r="L19">
        <v>0.8</v>
      </c>
      <c r="M19">
        <v>0.8</v>
      </c>
      <c r="N19">
        <v>0.5</v>
      </c>
      <c r="O19">
        <v>0.8</v>
      </c>
      <c r="P19">
        <v>0.8</v>
      </c>
      <c r="Q19">
        <v>0.8</v>
      </c>
      <c r="R19">
        <v>0.5</v>
      </c>
      <c r="S19">
        <v>0.5</v>
      </c>
      <c r="T19">
        <v>0.5</v>
      </c>
      <c r="U19">
        <v>0.5</v>
      </c>
      <c r="V19">
        <v>0.5</v>
      </c>
      <c r="W19">
        <v>0.5</v>
      </c>
      <c r="X19">
        <v>0.5</v>
      </c>
      <c r="Y19" s="216">
        <v>0.5</v>
      </c>
      <c r="Z19">
        <v>0.1</v>
      </c>
      <c r="AA19">
        <v>0.1</v>
      </c>
      <c r="AB19">
        <v>0.1</v>
      </c>
      <c r="AC19">
        <v>0.1</v>
      </c>
      <c r="AD19">
        <v>0.1</v>
      </c>
      <c r="AE19">
        <v>0.1</v>
      </c>
      <c r="AF19" s="216">
        <v>0.1</v>
      </c>
      <c r="AG19">
        <v>0.5</v>
      </c>
      <c r="AH19">
        <v>0.5</v>
      </c>
      <c r="AI19">
        <v>0.5</v>
      </c>
      <c r="AJ19">
        <v>0.5</v>
      </c>
      <c r="AK19">
        <v>0.5</v>
      </c>
      <c r="AL19">
        <v>0.5</v>
      </c>
      <c r="AM19">
        <v>0.5</v>
      </c>
      <c r="AN19">
        <v>0.5</v>
      </c>
      <c r="AO19">
        <v>0.5</v>
      </c>
      <c r="AP19">
        <v>0.5</v>
      </c>
      <c r="AQ19" s="216">
        <v>0.5</v>
      </c>
      <c r="AR19" s="216">
        <v>0.5</v>
      </c>
      <c r="AS19">
        <v>0.8</v>
      </c>
      <c r="AT19" s="216">
        <v>0.5</v>
      </c>
      <c r="AU19" s="216">
        <v>0.5</v>
      </c>
      <c r="AV19">
        <v>0.8</v>
      </c>
      <c r="AW19">
        <v>0.5</v>
      </c>
      <c r="AX19">
        <v>0.8</v>
      </c>
      <c r="AY19">
        <v>0.8</v>
      </c>
      <c r="AZ19">
        <v>0.8</v>
      </c>
      <c r="BA19">
        <v>0.8</v>
      </c>
      <c r="BB19">
        <v>0.5</v>
      </c>
      <c r="BC19">
        <v>0.8</v>
      </c>
      <c r="BD19">
        <v>0.8</v>
      </c>
      <c r="BE19">
        <v>0.8</v>
      </c>
      <c r="BF19">
        <v>0.8</v>
      </c>
      <c r="BG19">
        <v>0.8</v>
      </c>
      <c r="BH19">
        <v>0.8</v>
      </c>
      <c r="BI19">
        <v>0.8</v>
      </c>
      <c r="BJ19">
        <v>0.8</v>
      </c>
      <c r="BK19">
        <v>0.8</v>
      </c>
      <c r="BL19">
        <v>0.8</v>
      </c>
      <c r="BM19" s="216">
        <v>0.8</v>
      </c>
      <c r="BN19" s="216">
        <v>0.8</v>
      </c>
      <c r="BO19" s="216">
        <v>0.8</v>
      </c>
      <c r="BP19" s="216">
        <v>0.8</v>
      </c>
      <c r="BQ19" s="216">
        <v>0.8</v>
      </c>
      <c r="BR19" s="216">
        <v>0.8</v>
      </c>
      <c r="BS19" s="216">
        <v>0.8</v>
      </c>
      <c r="BT19" s="216">
        <v>0.8</v>
      </c>
      <c r="BU19" s="216">
        <v>0.8</v>
      </c>
      <c r="BV19" s="216">
        <v>0.8</v>
      </c>
      <c r="BW19" s="216">
        <v>0.8</v>
      </c>
      <c r="BX19" s="216">
        <v>0.8</v>
      </c>
      <c r="BY19" s="216">
        <v>0.8</v>
      </c>
      <c r="BZ19" s="216">
        <v>0.8</v>
      </c>
      <c r="CA19" s="216">
        <v>0.8</v>
      </c>
      <c r="CB19" s="216">
        <v>0.5</v>
      </c>
      <c r="CC19" s="216">
        <v>0.5</v>
      </c>
      <c r="CD19" s="216">
        <v>0.8</v>
      </c>
      <c r="CE19" s="216">
        <v>0.8</v>
      </c>
      <c r="CF19" s="216">
        <v>0.8</v>
      </c>
      <c r="CG19" s="216">
        <v>0.8</v>
      </c>
      <c r="CH19" s="216">
        <v>0.5</v>
      </c>
      <c r="CI19">
        <v>0</v>
      </c>
      <c r="CJ19" s="216">
        <v>0</v>
      </c>
      <c r="CK19" s="216">
        <v>0</v>
      </c>
      <c r="CL19" s="216">
        <v>0</v>
      </c>
      <c r="CM19" s="216">
        <v>0</v>
      </c>
    </row>
    <row r="20" spans="1:91" customFormat="1" ht="15" x14ac:dyDescent="0.5">
      <c r="A20" s="245" t="s">
        <v>194</v>
      </c>
      <c r="B20">
        <v>0</v>
      </c>
      <c r="C20">
        <v>0</v>
      </c>
      <c r="D20">
        <v>0.8</v>
      </c>
      <c r="E20">
        <v>0.8</v>
      </c>
      <c r="F20">
        <v>0.8</v>
      </c>
      <c r="G20">
        <v>0.8</v>
      </c>
      <c r="H20">
        <v>0.8</v>
      </c>
      <c r="I20">
        <v>0.8</v>
      </c>
      <c r="J20">
        <v>0.8</v>
      </c>
      <c r="K20">
        <v>0.8</v>
      </c>
      <c r="L20">
        <v>0.8</v>
      </c>
      <c r="M20">
        <v>0.8</v>
      </c>
      <c r="N20">
        <v>0.5</v>
      </c>
      <c r="O20">
        <v>0.8</v>
      </c>
      <c r="P20">
        <v>0.8</v>
      </c>
      <c r="Q20">
        <v>0.8</v>
      </c>
      <c r="R20">
        <v>0.5</v>
      </c>
      <c r="S20">
        <v>0.5</v>
      </c>
      <c r="T20">
        <v>0.5</v>
      </c>
      <c r="U20">
        <v>0.5</v>
      </c>
      <c r="V20">
        <v>0.5</v>
      </c>
      <c r="W20">
        <v>0.5</v>
      </c>
      <c r="X20">
        <v>0.5</v>
      </c>
      <c r="Y20" s="216">
        <v>0.5</v>
      </c>
      <c r="Z20">
        <v>0.1</v>
      </c>
      <c r="AA20">
        <v>0.1</v>
      </c>
      <c r="AB20">
        <v>0.1</v>
      </c>
      <c r="AC20">
        <v>0.1</v>
      </c>
      <c r="AD20">
        <v>0.1</v>
      </c>
      <c r="AE20">
        <v>0.1</v>
      </c>
      <c r="AF20" s="216">
        <v>0.1</v>
      </c>
      <c r="AG20">
        <v>0.5</v>
      </c>
      <c r="AH20">
        <v>0.5</v>
      </c>
      <c r="AI20">
        <v>0.5</v>
      </c>
      <c r="AJ20">
        <v>0.5</v>
      </c>
      <c r="AK20">
        <v>0.5</v>
      </c>
      <c r="AL20">
        <v>0.5</v>
      </c>
      <c r="AM20">
        <v>0.5</v>
      </c>
      <c r="AN20">
        <v>0.5</v>
      </c>
      <c r="AO20">
        <v>0.5</v>
      </c>
      <c r="AP20">
        <v>0.5</v>
      </c>
      <c r="AQ20" s="216">
        <v>0.5</v>
      </c>
      <c r="AR20" s="216">
        <v>0.5</v>
      </c>
      <c r="AS20">
        <v>0.8</v>
      </c>
      <c r="AT20" s="216">
        <v>0.5</v>
      </c>
      <c r="AU20" s="216">
        <v>0.5</v>
      </c>
      <c r="AV20">
        <v>0.8</v>
      </c>
      <c r="AW20">
        <v>0.5</v>
      </c>
      <c r="AX20">
        <v>0.8</v>
      </c>
      <c r="AY20">
        <v>0.8</v>
      </c>
      <c r="AZ20">
        <v>0.8</v>
      </c>
      <c r="BA20">
        <v>0.8</v>
      </c>
      <c r="BB20">
        <v>0.5</v>
      </c>
      <c r="BC20">
        <v>0.8</v>
      </c>
      <c r="BD20">
        <v>0.8</v>
      </c>
      <c r="BE20">
        <v>0.8</v>
      </c>
      <c r="BF20">
        <v>0.8</v>
      </c>
      <c r="BG20">
        <v>0.8</v>
      </c>
      <c r="BH20">
        <v>0.8</v>
      </c>
      <c r="BI20">
        <v>0.8</v>
      </c>
      <c r="BJ20">
        <v>0.8</v>
      </c>
      <c r="BK20">
        <v>0.8</v>
      </c>
      <c r="BL20">
        <v>0.8</v>
      </c>
      <c r="BM20" s="216">
        <v>0.8</v>
      </c>
      <c r="BN20" s="216">
        <v>0.8</v>
      </c>
      <c r="BO20" s="216">
        <v>0.8</v>
      </c>
      <c r="BP20" s="216">
        <v>0.8</v>
      </c>
      <c r="BQ20" s="216">
        <v>0.8</v>
      </c>
      <c r="BR20" s="216">
        <v>0.8</v>
      </c>
      <c r="BS20" s="216">
        <v>0.8</v>
      </c>
      <c r="BT20" s="216">
        <v>0.8</v>
      </c>
      <c r="BU20" s="216">
        <v>0.8</v>
      </c>
      <c r="BV20" s="216">
        <v>0.8</v>
      </c>
      <c r="BW20" s="216">
        <v>0.8</v>
      </c>
      <c r="BX20" s="216">
        <v>0.8</v>
      </c>
      <c r="BY20" s="216">
        <v>0.8</v>
      </c>
      <c r="BZ20" s="216">
        <v>0.8</v>
      </c>
      <c r="CA20" s="216">
        <v>0.8</v>
      </c>
      <c r="CB20" s="216">
        <v>0.5</v>
      </c>
      <c r="CC20" s="216">
        <v>0.5</v>
      </c>
      <c r="CD20" s="216">
        <v>0.8</v>
      </c>
      <c r="CE20" s="216">
        <v>0.8</v>
      </c>
      <c r="CF20" s="216">
        <v>0.8</v>
      </c>
      <c r="CG20" s="216">
        <v>0.8</v>
      </c>
      <c r="CH20" s="216">
        <v>0.5</v>
      </c>
      <c r="CI20">
        <v>0</v>
      </c>
      <c r="CJ20" s="216">
        <v>0</v>
      </c>
      <c r="CK20" s="216">
        <v>0</v>
      </c>
      <c r="CL20" s="216">
        <v>0</v>
      </c>
      <c r="CM20" s="216">
        <v>0</v>
      </c>
    </row>
    <row r="21" spans="1:91" customFormat="1" ht="15" x14ac:dyDescent="0.5">
      <c r="A21" s="245" t="s">
        <v>195</v>
      </c>
      <c r="B21">
        <v>0</v>
      </c>
      <c r="C21">
        <v>0</v>
      </c>
      <c r="D21">
        <v>0.8</v>
      </c>
      <c r="E21">
        <v>0.8</v>
      </c>
      <c r="F21">
        <v>0.8</v>
      </c>
      <c r="G21">
        <v>0.8</v>
      </c>
      <c r="H21">
        <v>0.8</v>
      </c>
      <c r="I21">
        <v>0.8</v>
      </c>
      <c r="J21">
        <v>0.8</v>
      </c>
      <c r="K21">
        <v>0.8</v>
      </c>
      <c r="L21">
        <v>0.8</v>
      </c>
      <c r="M21">
        <v>0.8</v>
      </c>
      <c r="N21">
        <v>0.5</v>
      </c>
      <c r="O21">
        <v>0.8</v>
      </c>
      <c r="P21">
        <v>0.8</v>
      </c>
      <c r="Q21">
        <v>0.8</v>
      </c>
      <c r="R21">
        <v>0.5</v>
      </c>
      <c r="S21">
        <v>0.5</v>
      </c>
      <c r="T21">
        <v>0.5</v>
      </c>
      <c r="U21">
        <v>0.5</v>
      </c>
      <c r="V21">
        <v>0.5</v>
      </c>
      <c r="W21">
        <v>0.5</v>
      </c>
      <c r="X21">
        <v>0.5</v>
      </c>
      <c r="Y21" s="216">
        <v>0.5</v>
      </c>
      <c r="Z21">
        <v>0.1</v>
      </c>
      <c r="AA21">
        <v>0.1</v>
      </c>
      <c r="AB21">
        <v>0.1</v>
      </c>
      <c r="AC21">
        <v>0.1</v>
      </c>
      <c r="AD21">
        <v>0.1</v>
      </c>
      <c r="AE21">
        <v>0.1</v>
      </c>
      <c r="AF21" s="216">
        <v>0.1</v>
      </c>
      <c r="AG21">
        <v>0.5</v>
      </c>
      <c r="AH21">
        <v>0.5</v>
      </c>
      <c r="AI21">
        <v>0.5</v>
      </c>
      <c r="AJ21">
        <v>0.5</v>
      </c>
      <c r="AK21">
        <v>0.5</v>
      </c>
      <c r="AL21">
        <v>0.5</v>
      </c>
      <c r="AM21">
        <v>0.5</v>
      </c>
      <c r="AN21">
        <v>0.5</v>
      </c>
      <c r="AO21">
        <v>0.5</v>
      </c>
      <c r="AP21">
        <v>0.5</v>
      </c>
      <c r="AQ21" s="216">
        <v>0.5</v>
      </c>
      <c r="AR21" s="216">
        <v>0.5</v>
      </c>
      <c r="AS21">
        <v>0.8</v>
      </c>
      <c r="AT21" s="216">
        <v>0.5</v>
      </c>
      <c r="AU21" s="216">
        <v>0.5</v>
      </c>
      <c r="AV21">
        <v>0.8</v>
      </c>
      <c r="AW21">
        <v>0.5</v>
      </c>
      <c r="AX21">
        <v>0.8</v>
      </c>
      <c r="AY21">
        <v>0.8</v>
      </c>
      <c r="AZ21">
        <v>0.8</v>
      </c>
      <c r="BA21">
        <v>0.8</v>
      </c>
      <c r="BB21">
        <v>0.5</v>
      </c>
      <c r="BC21">
        <v>0.8</v>
      </c>
      <c r="BD21">
        <v>0.8</v>
      </c>
      <c r="BE21">
        <v>0.8</v>
      </c>
      <c r="BF21">
        <v>0.8</v>
      </c>
      <c r="BG21">
        <v>0.8</v>
      </c>
      <c r="BH21">
        <v>0.8</v>
      </c>
      <c r="BI21">
        <v>0.8</v>
      </c>
      <c r="BJ21">
        <v>0.8</v>
      </c>
      <c r="BK21">
        <v>0.8</v>
      </c>
      <c r="BL21">
        <v>0.8</v>
      </c>
      <c r="BM21" s="216">
        <v>0.8</v>
      </c>
      <c r="BN21" s="216">
        <v>0.8</v>
      </c>
      <c r="BO21" s="216">
        <v>0.8</v>
      </c>
      <c r="BP21" s="216">
        <v>0.8</v>
      </c>
      <c r="BQ21" s="216">
        <v>0.8</v>
      </c>
      <c r="BR21" s="216">
        <v>0.8</v>
      </c>
      <c r="BS21" s="216">
        <v>0.8</v>
      </c>
      <c r="BT21" s="216">
        <v>0.8</v>
      </c>
      <c r="BU21" s="216">
        <v>0.8</v>
      </c>
      <c r="BV21" s="216">
        <v>0.8</v>
      </c>
      <c r="BW21" s="216">
        <v>0.8</v>
      </c>
      <c r="BX21" s="216">
        <v>0.8</v>
      </c>
      <c r="BY21" s="216">
        <v>0.8</v>
      </c>
      <c r="BZ21" s="216">
        <v>0.8</v>
      </c>
      <c r="CA21" s="216">
        <v>0.8</v>
      </c>
      <c r="CB21" s="216">
        <v>0.5</v>
      </c>
      <c r="CC21" s="216">
        <v>0.5</v>
      </c>
      <c r="CD21" s="216">
        <v>0.8</v>
      </c>
      <c r="CE21" s="216">
        <v>0.8</v>
      </c>
      <c r="CF21" s="216">
        <v>0.8</v>
      </c>
      <c r="CG21" s="216">
        <v>0.8</v>
      </c>
      <c r="CH21" s="216">
        <v>0.5</v>
      </c>
      <c r="CI21">
        <v>0</v>
      </c>
      <c r="CJ21" s="216">
        <v>0</v>
      </c>
      <c r="CK21" s="216">
        <v>0</v>
      </c>
      <c r="CL21" s="216">
        <v>0</v>
      </c>
      <c r="CM21" s="216">
        <v>0</v>
      </c>
    </row>
    <row r="22" spans="1:91" customFormat="1" ht="15" x14ac:dyDescent="0.5">
      <c r="A22" s="245" t="s">
        <v>196</v>
      </c>
      <c r="B22">
        <v>0</v>
      </c>
      <c r="C22">
        <v>0</v>
      </c>
      <c r="D22">
        <v>0.8</v>
      </c>
      <c r="E22">
        <v>0.8</v>
      </c>
      <c r="F22">
        <v>0.8</v>
      </c>
      <c r="G22">
        <v>0.8</v>
      </c>
      <c r="H22">
        <v>0.8</v>
      </c>
      <c r="I22">
        <v>0.8</v>
      </c>
      <c r="J22">
        <v>0.8</v>
      </c>
      <c r="K22">
        <v>0.8</v>
      </c>
      <c r="L22">
        <v>0.8</v>
      </c>
      <c r="M22">
        <v>0.8</v>
      </c>
      <c r="N22">
        <v>0.5</v>
      </c>
      <c r="O22">
        <v>0.8</v>
      </c>
      <c r="P22">
        <v>0.8</v>
      </c>
      <c r="Q22">
        <v>0.8</v>
      </c>
      <c r="R22">
        <v>0.5</v>
      </c>
      <c r="S22">
        <v>0.5</v>
      </c>
      <c r="T22">
        <v>0.5</v>
      </c>
      <c r="U22">
        <v>0.5</v>
      </c>
      <c r="V22">
        <v>0.5</v>
      </c>
      <c r="W22">
        <v>0.5</v>
      </c>
      <c r="X22">
        <v>0.5</v>
      </c>
      <c r="Y22" s="216">
        <v>0.5</v>
      </c>
      <c r="Z22">
        <v>0.1</v>
      </c>
      <c r="AA22">
        <v>0.1</v>
      </c>
      <c r="AB22">
        <v>0.1</v>
      </c>
      <c r="AC22">
        <v>0.1</v>
      </c>
      <c r="AD22">
        <v>0.1</v>
      </c>
      <c r="AE22">
        <v>0.1</v>
      </c>
      <c r="AF22" s="216">
        <v>0.1</v>
      </c>
      <c r="AG22">
        <v>0.5</v>
      </c>
      <c r="AH22">
        <v>0.5</v>
      </c>
      <c r="AI22">
        <v>0.5</v>
      </c>
      <c r="AJ22">
        <v>0.5</v>
      </c>
      <c r="AK22">
        <v>0.5</v>
      </c>
      <c r="AL22">
        <v>0.5</v>
      </c>
      <c r="AM22">
        <v>0.5</v>
      </c>
      <c r="AN22">
        <v>0.5</v>
      </c>
      <c r="AO22">
        <v>0.5</v>
      </c>
      <c r="AP22">
        <v>0.5</v>
      </c>
      <c r="AQ22" s="216">
        <v>0.5</v>
      </c>
      <c r="AR22" s="216">
        <v>0.5</v>
      </c>
      <c r="AS22">
        <v>0.8</v>
      </c>
      <c r="AT22" s="216">
        <v>0.5</v>
      </c>
      <c r="AU22" s="216">
        <v>0.5</v>
      </c>
      <c r="AV22">
        <v>0.8</v>
      </c>
      <c r="AW22">
        <v>0.5</v>
      </c>
      <c r="AX22">
        <v>0.8</v>
      </c>
      <c r="AY22">
        <v>0.8</v>
      </c>
      <c r="AZ22">
        <v>0.8</v>
      </c>
      <c r="BA22">
        <v>0.8</v>
      </c>
      <c r="BB22">
        <v>0.5</v>
      </c>
      <c r="BC22">
        <v>0.8</v>
      </c>
      <c r="BD22">
        <v>0.8</v>
      </c>
      <c r="BE22">
        <v>0.8</v>
      </c>
      <c r="BF22">
        <v>0.8</v>
      </c>
      <c r="BG22">
        <v>0.8</v>
      </c>
      <c r="BH22">
        <v>0.8</v>
      </c>
      <c r="BI22">
        <v>0.8</v>
      </c>
      <c r="BJ22">
        <v>0.8</v>
      </c>
      <c r="BK22">
        <v>0.8</v>
      </c>
      <c r="BL22">
        <v>0.8</v>
      </c>
      <c r="BM22" s="216">
        <v>0.8</v>
      </c>
      <c r="BN22" s="216">
        <v>0.8</v>
      </c>
      <c r="BO22" s="216">
        <v>0.8</v>
      </c>
      <c r="BP22" s="216">
        <v>0.8</v>
      </c>
      <c r="BQ22" s="216">
        <v>0.8</v>
      </c>
      <c r="BR22" s="216">
        <v>0.8</v>
      </c>
      <c r="BS22" s="216">
        <v>0.8</v>
      </c>
      <c r="BT22" s="216">
        <v>0.8</v>
      </c>
      <c r="BU22" s="216">
        <v>0.8</v>
      </c>
      <c r="BV22" s="216">
        <v>0.8</v>
      </c>
      <c r="BW22" s="216">
        <v>0.8</v>
      </c>
      <c r="BX22" s="216">
        <v>0.8</v>
      </c>
      <c r="BY22" s="216">
        <v>0.8</v>
      </c>
      <c r="BZ22" s="216">
        <v>0.8</v>
      </c>
      <c r="CA22" s="216">
        <v>0.8</v>
      </c>
      <c r="CB22" s="216">
        <v>0.5</v>
      </c>
      <c r="CC22" s="216">
        <v>0.5</v>
      </c>
      <c r="CD22" s="216">
        <v>0.8</v>
      </c>
      <c r="CE22" s="216">
        <v>0.8</v>
      </c>
      <c r="CF22" s="216">
        <v>0.8</v>
      </c>
      <c r="CG22" s="216">
        <v>0.8</v>
      </c>
      <c r="CH22" s="216">
        <v>0.5</v>
      </c>
      <c r="CI22">
        <v>0</v>
      </c>
      <c r="CJ22" s="216">
        <v>0</v>
      </c>
      <c r="CK22" s="216">
        <v>0</v>
      </c>
      <c r="CL22" s="216">
        <v>0</v>
      </c>
      <c r="CM22" s="216">
        <v>0</v>
      </c>
    </row>
    <row r="23" spans="1:91" customFormat="1" ht="15" x14ac:dyDescent="0.5">
      <c r="A23" s="245" t="s">
        <v>197</v>
      </c>
      <c r="B23">
        <v>0</v>
      </c>
      <c r="C23">
        <v>0</v>
      </c>
      <c r="D23">
        <v>0.8</v>
      </c>
      <c r="E23">
        <v>0.8</v>
      </c>
      <c r="F23">
        <v>0.8</v>
      </c>
      <c r="G23">
        <v>0.8</v>
      </c>
      <c r="H23">
        <v>0.8</v>
      </c>
      <c r="I23">
        <v>0.8</v>
      </c>
      <c r="J23">
        <v>0.8</v>
      </c>
      <c r="K23">
        <v>0.8</v>
      </c>
      <c r="L23">
        <v>0.8</v>
      </c>
      <c r="M23">
        <v>0.8</v>
      </c>
      <c r="N23">
        <v>0.5</v>
      </c>
      <c r="O23">
        <v>0.8</v>
      </c>
      <c r="P23">
        <v>0.8</v>
      </c>
      <c r="Q23">
        <v>0.8</v>
      </c>
      <c r="R23">
        <v>0.5</v>
      </c>
      <c r="S23">
        <v>0.5</v>
      </c>
      <c r="T23">
        <v>0.5</v>
      </c>
      <c r="U23">
        <v>0.5</v>
      </c>
      <c r="V23">
        <v>0.5</v>
      </c>
      <c r="W23">
        <v>0.5</v>
      </c>
      <c r="X23">
        <v>0.5</v>
      </c>
      <c r="Y23" s="216">
        <v>0.5</v>
      </c>
      <c r="Z23">
        <v>0.1</v>
      </c>
      <c r="AA23">
        <v>0.1</v>
      </c>
      <c r="AB23">
        <v>0.1</v>
      </c>
      <c r="AC23">
        <v>0.1</v>
      </c>
      <c r="AD23">
        <v>0.1</v>
      </c>
      <c r="AE23">
        <v>0.1</v>
      </c>
      <c r="AF23" s="216">
        <v>0.1</v>
      </c>
      <c r="AG23">
        <v>0.5</v>
      </c>
      <c r="AH23">
        <v>0.5</v>
      </c>
      <c r="AI23">
        <v>0.5</v>
      </c>
      <c r="AJ23">
        <v>0.5</v>
      </c>
      <c r="AK23">
        <v>0.5</v>
      </c>
      <c r="AL23">
        <v>0.5</v>
      </c>
      <c r="AM23">
        <v>0.5</v>
      </c>
      <c r="AN23">
        <v>0.5</v>
      </c>
      <c r="AO23">
        <v>0.5</v>
      </c>
      <c r="AP23">
        <v>0.5</v>
      </c>
      <c r="AQ23" s="216">
        <v>0.5</v>
      </c>
      <c r="AR23" s="216">
        <v>0.5</v>
      </c>
      <c r="AS23">
        <v>0.8</v>
      </c>
      <c r="AT23" s="216">
        <v>0.5</v>
      </c>
      <c r="AU23" s="216">
        <v>0.5</v>
      </c>
      <c r="AV23">
        <v>0.8</v>
      </c>
      <c r="AW23">
        <v>0.5</v>
      </c>
      <c r="AX23">
        <v>0.8</v>
      </c>
      <c r="AY23">
        <v>0.8</v>
      </c>
      <c r="AZ23">
        <v>0.8</v>
      </c>
      <c r="BA23">
        <v>0.8</v>
      </c>
      <c r="BB23">
        <v>0.5</v>
      </c>
      <c r="BC23">
        <v>0.8</v>
      </c>
      <c r="BD23">
        <v>0.8</v>
      </c>
      <c r="BE23">
        <v>0.8</v>
      </c>
      <c r="BF23">
        <v>0.8</v>
      </c>
      <c r="BG23">
        <v>0.8</v>
      </c>
      <c r="BH23">
        <v>0.8</v>
      </c>
      <c r="BI23">
        <v>0.8</v>
      </c>
      <c r="BJ23">
        <v>0.8</v>
      </c>
      <c r="BK23">
        <v>0.8</v>
      </c>
      <c r="BL23">
        <v>0.8</v>
      </c>
      <c r="BM23" s="216">
        <v>0.8</v>
      </c>
      <c r="BN23" s="216">
        <v>0.8</v>
      </c>
      <c r="BO23" s="216">
        <v>0.8</v>
      </c>
      <c r="BP23" s="216">
        <v>0.8</v>
      </c>
      <c r="BQ23" s="216">
        <v>0.8</v>
      </c>
      <c r="BR23" s="216">
        <v>0.8</v>
      </c>
      <c r="BS23" s="216">
        <v>0.8</v>
      </c>
      <c r="BT23" s="216">
        <v>0.8</v>
      </c>
      <c r="BU23" s="216">
        <v>0.8</v>
      </c>
      <c r="BV23" s="216">
        <v>0.8</v>
      </c>
      <c r="BW23" s="216">
        <v>0.8</v>
      </c>
      <c r="BX23" s="216">
        <v>0.8</v>
      </c>
      <c r="BY23" s="216">
        <v>0.8</v>
      </c>
      <c r="BZ23" s="216">
        <v>0.8</v>
      </c>
      <c r="CA23" s="216">
        <v>0.8</v>
      </c>
      <c r="CB23" s="216">
        <v>0.5</v>
      </c>
      <c r="CC23" s="216">
        <v>0.5</v>
      </c>
      <c r="CD23" s="216">
        <v>0.8</v>
      </c>
      <c r="CE23" s="216">
        <v>0.8</v>
      </c>
      <c r="CF23" s="216">
        <v>0.8</v>
      </c>
      <c r="CG23" s="216">
        <v>0.8</v>
      </c>
      <c r="CH23" s="216">
        <v>0.5</v>
      </c>
      <c r="CI23">
        <v>0</v>
      </c>
      <c r="CJ23" s="216">
        <v>0</v>
      </c>
      <c r="CK23" s="216">
        <v>0</v>
      </c>
      <c r="CL23" s="216">
        <v>0</v>
      </c>
      <c r="CM23" s="216">
        <v>0</v>
      </c>
    </row>
    <row r="24" spans="1:91" customFormat="1" ht="15" x14ac:dyDescent="0.5">
      <c r="A24" s="245" t="s">
        <v>198</v>
      </c>
      <c r="B24">
        <v>0</v>
      </c>
      <c r="C24">
        <v>0</v>
      </c>
      <c r="D24">
        <v>0.8</v>
      </c>
      <c r="E24">
        <v>0.8</v>
      </c>
      <c r="F24">
        <v>0.8</v>
      </c>
      <c r="G24">
        <v>0.8</v>
      </c>
      <c r="H24">
        <v>0.8</v>
      </c>
      <c r="I24">
        <v>0.8</v>
      </c>
      <c r="J24">
        <v>0.8</v>
      </c>
      <c r="K24">
        <v>0.8</v>
      </c>
      <c r="L24">
        <v>0.8</v>
      </c>
      <c r="M24">
        <v>0.8</v>
      </c>
      <c r="N24">
        <v>0.5</v>
      </c>
      <c r="O24">
        <v>0.8</v>
      </c>
      <c r="P24">
        <v>0.8</v>
      </c>
      <c r="Q24">
        <v>0.8</v>
      </c>
      <c r="R24">
        <v>0.5</v>
      </c>
      <c r="S24">
        <v>0.5</v>
      </c>
      <c r="T24">
        <v>0.5</v>
      </c>
      <c r="U24">
        <v>0.5</v>
      </c>
      <c r="V24">
        <v>0.5</v>
      </c>
      <c r="W24">
        <v>0.5</v>
      </c>
      <c r="X24">
        <v>0.5</v>
      </c>
      <c r="Y24" s="216">
        <v>0.5</v>
      </c>
      <c r="Z24">
        <v>0.1</v>
      </c>
      <c r="AA24">
        <v>0.1</v>
      </c>
      <c r="AB24">
        <v>0.1</v>
      </c>
      <c r="AC24">
        <v>0.1</v>
      </c>
      <c r="AD24">
        <v>0.1</v>
      </c>
      <c r="AE24">
        <v>0.1</v>
      </c>
      <c r="AF24" s="216">
        <v>0.1</v>
      </c>
      <c r="AG24">
        <v>0.5</v>
      </c>
      <c r="AH24">
        <v>0.5</v>
      </c>
      <c r="AI24">
        <v>0.5</v>
      </c>
      <c r="AJ24">
        <v>0.5</v>
      </c>
      <c r="AK24">
        <v>0.5</v>
      </c>
      <c r="AL24">
        <v>0.5</v>
      </c>
      <c r="AM24">
        <v>0.5</v>
      </c>
      <c r="AN24">
        <v>0.5</v>
      </c>
      <c r="AO24">
        <v>0.5</v>
      </c>
      <c r="AP24">
        <v>0.5</v>
      </c>
      <c r="AQ24" s="216">
        <v>0.5</v>
      </c>
      <c r="AR24" s="216">
        <v>0.5</v>
      </c>
      <c r="AS24">
        <v>0.8</v>
      </c>
      <c r="AT24" s="216">
        <v>0.5</v>
      </c>
      <c r="AU24" s="216">
        <v>0.5</v>
      </c>
      <c r="AV24">
        <v>0.8</v>
      </c>
      <c r="AW24">
        <v>0.5</v>
      </c>
      <c r="AX24">
        <v>0.8</v>
      </c>
      <c r="AY24">
        <v>0.8</v>
      </c>
      <c r="AZ24">
        <v>0.8</v>
      </c>
      <c r="BA24">
        <v>0.8</v>
      </c>
      <c r="BB24">
        <v>0.5</v>
      </c>
      <c r="BC24">
        <v>0.8</v>
      </c>
      <c r="BD24">
        <v>0.8</v>
      </c>
      <c r="BE24">
        <v>0.8</v>
      </c>
      <c r="BF24">
        <v>0.8</v>
      </c>
      <c r="BG24">
        <v>0.8</v>
      </c>
      <c r="BH24">
        <v>0.8</v>
      </c>
      <c r="BI24">
        <v>0.8</v>
      </c>
      <c r="BJ24">
        <v>0.8</v>
      </c>
      <c r="BK24">
        <v>0.8</v>
      </c>
      <c r="BL24">
        <v>0.8</v>
      </c>
      <c r="BM24" s="216">
        <v>0.8</v>
      </c>
      <c r="BN24" s="216">
        <v>0.8</v>
      </c>
      <c r="BO24" s="216">
        <v>0.8</v>
      </c>
      <c r="BP24" s="216">
        <v>0.8</v>
      </c>
      <c r="BQ24" s="216">
        <v>0.8</v>
      </c>
      <c r="BR24" s="216">
        <v>0.8</v>
      </c>
      <c r="BS24" s="216">
        <v>0.8</v>
      </c>
      <c r="BT24" s="216">
        <v>0.8</v>
      </c>
      <c r="BU24" s="216">
        <v>0.8</v>
      </c>
      <c r="BV24" s="216">
        <v>0.8</v>
      </c>
      <c r="BW24" s="216">
        <v>0.8</v>
      </c>
      <c r="BX24" s="216">
        <v>0.8</v>
      </c>
      <c r="BY24" s="216">
        <v>0.8</v>
      </c>
      <c r="BZ24" s="216">
        <v>0.8</v>
      </c>
      <c r="CA24" s="216">
        <v>0.8</v>
      </c>
      <c r="CB24" s="216">
        <v>0.5</v>
      </c>
      <c r="CC24" s="216">
        <v>0.5</v>
      </c>
      <c r="CD24" s="216">
        <v>0.8</v>
      </c>
      <c r="CE24" s="216">
        <v>0.8</v>
      </c>
      <c r="CF24" s="216">
        <v>0.8</v>
      </c>
      <c r="CG24" s="216">
        <v>0.8</v>
      </c>
      <c r="CH24" s="216">
        <v>0.5</v>
      </c>
      <c r="CI24">
        <v>0</v>
      </c>
      <c r="CJ24" s="216">
        <v>0</v>
      </c>
      <c r="CK24" s="216">
        <v>0</v>
      </c>
      <c r="CL24" s="216">
        <v>0</v>
      </c>
      <c r="CM24" s="216">
        <v>0</v>
      </c>
    </row>
    <row r="25" spans="1:91" customFormat="1" ht="15" x14ac:dyDescent="0.5">
      <c r="A25" s="245" t="s">
        <v>199</v>
      </c>
      <c r="B25">
        <v>0</v>
      </c>
      <c r="C25">
        <v>0</v>
      </c>
      <c r="D25">
        <v>0.8</v>
      </c>
      <c r="E25">
        <v>0.8</v>
      </c>
      <c r="F25">
        <v>0.8</v>
      </c>
      <c r="G25">
        <v>0.8</v>
      </c>
      <c r="H25">
        <v>0.8</v>
      </c>
      <c r="I25">
        <v>0.8</v>
      </c>
      <c r="J25">
        <v>0.8</v>
      </c>
      <c r="K25">
        <v>0.8</v>
      </c>
      <c r="L25">
        <v>0.8</v>
      </c>
      <c r="M25">
        <v>0.8</v>
      </c>
      <c r="N25">
        <v>0.5</v>
      </c>
      <c r="O25">
        <v>0.8</v>
      </c>
      <c r="P25">
        <v>0.8</v>
      </c>
      <c r="Q25">
        <v>0.8</v>
      </c>
      <c r="R25">
        <v>0.5</v>
      </c>
      <c r="S25">
        <v>0.5</v>
      </c>
      <c r="T25">
        <v>0.5</v>
      </c>
      <c r="U25">
        <v>0.5</v>
      </c>
      <c r="V25">
        <v>0.5</v>
      </c>
      <c r="W25">
        <v>0.5</v>
      </c>
      <c r="X25">
        <v>0.5</v>
      </c>
      <c r="Y25" s="216">
        <v>0.5</v>
      </c>
      <c r="Z25">
        <v>0.1</v>
      </c>
      <c r="AA25">
        <v>0.1</v>
      </c>
      <c r="AB25">
        <v>0.1</v>
      </c>
      <c r="AC25">
        <v>0.1</v>
      </c>
      <c r="AD25">
        <v>0.1</v>
      </c>
      <c r="AE25">
        <v>0.1</v>
      </c>
      <c r="AF25" s="216">
        <v>0.1</v>
      </c>
      <c r="AG25">
        <v>0.5</v>
      </c>
      <c r="AH25">
        <v>0.5</v>
      </c>
      <c r="AI25">
        <v>0.5</v>
      </c>
      <c r="AJ25">
        <v>0.5</v>
      </c>
      <c r="AK25">
        <v>0.5</v>
      </c>
      <c r="AL25">
        <v>0.5</v>
      </c>
      <c r="AM25">
        <v>0.5</v>
      </c>
      <c r="AN25">
        <v>0.5</v>
      </c>
      <c r="AO25">
        <v>0.5</v>
      </c>
      <c r="AP25">
        <v>0.5</v>
      </c>
      <c r="AQ25" s="216">
        <v>0.5</v>
      </c>
      <c r="AR25" s="216">
        <v>0.5</v>
      </c>
      <c r="AS25">
        <v>0.8</v>
      </c>
      <c r="AT25" s="216">
        <v>0.5</v>
      </c>
      <c r="AU25" s="216">
        <v>0.5</v>
      </c>
      <c r="AV25">
        <v>0.8</v>
      </c>
      <c r="AW25">
        <v>0.5</v>
      </c>
      <c r="AX25">
        <v>0.8</v>
      </c>
      <c r="AY25">
        <v>0.8</v>
      </c>
      <c r="AZ25">
        <v>0.8</v>
      </c>
      <c r="BA25">
        <v>0.8</v>
      </c>
      <c r="BB25">
        <v>0.5</v>
      </c>
      <c r="BC25">
        <v>0.8</v>
      </c>
      <c r="BD25">
        <v>0.8</v>
      </c>
      <c r="BE25">
        <v>0.8</v>
      </c>
      <c r="BF25">
        <v>0.8</v>
      </c>
      <c r="BG25">
        <v>0.8</v>
      </c>
      <c r="BH25">
        <v>0.8</v>
      </c>
      <c r="BI25">
        <v>0.8</v>
      </c>
      <c r="BJ25">
        <v>0.8</v>
      </c>
      <c r="BK25">
        <v>0.8</v>
      </c>
      <c r="BL25">
        <v>0.8</v>
      </c>
      <c r="BM25" s="216">
        <v>0.8</v>
      </c>
      <c r="BN25" s="216">
        <v>0.8</v>
      </c>
      <c r="BO25" s="216">
        <v>0.8</v>
      </c>
      <c r="BP25" s="216">
        <v>0.8</v>
      </c>
      <c r="BQ25" s="216">
        <v>0.8</v>
      </c>
      <c r="BR25" s="216">
        <v>0.8</v>
      </c>
      <c r="BS25" s="216">
        <v>0.8</v>
      </c>
      <c r="BT25" s="216">
        <v>0.8</v>
      </c>
      <c r="BU25" s="216">
        <v>0.8</v>
      </c>
      <c r="BV25" s="216">
        <v>0.8</v>
      </c>
      <c r="BW25" s="216">
        <v>0.8</v>
      </c>
      <c r="BX25" s="216">
        <v>0.8</v>
      </c>
      <c r="BY25" s="216">
        <v>0.8</v>
      </c>
      <c r="BZ25" s="216">
        <v>0.8</v>
      </c>
      <c r="CA25" s="216">
        <v>0.8</v>
      </c>
      <c r="CB25" s="216">
        <v>0.5</v>
      </c>
      <c r="CC25" s="216">
        <v>0.5</v>
      </c>
      <c r="CD25" s="216">
        <v>0.8</v>
      </c>
      <c r="CE25" s="216">
        <v>0.8</v>
      </c>
      <c r="CF25" s="216">
        <v>0.8</v>
      </c>
      <c r="CG25" s="216">
        <v>0.8</v>
      </c>
      <c r="CH25" s="216">
        <v>0.5</v>
      </c>
      <c r="CI25">
        <v>0</v>
      </c>
      <c r="CJ25" s="216">
        <v>0</v>
      </c>
      <c r="CK25" s="216">
        <v>0</v>
      </c>
      <c r="CL25" s="216">
        <v>0</v>
      </c>
      <c r="CM25" s="216">
        <v>0</v>
      </c>
    </row>
    <row r="26" spans="1:91" customFormat="1" ht="15" x14ac:dyDescent="0.5">
      <c r="A26" s="246" t="s">
        <v>265</v>
      </c>
      <c r="B26">
        <v>0</v>
      </c>
      <c r="C26">
        <v>0</v>
      </c>
      <c r="D26">
        <v>0.8</v>
      </c>
      <c r="E26">
        <v>0.8</v>
      </c>
      <c r="F26">
        <v>0.8</v>
      </c>
      <c r="G26">
        <v>0.8</v>
      </c>
      <c r="H26">
        <v>0.8</v>
      </c>
      <c r="I26">
        <v>0.8</v>
      </c>
      <c r="J26">
        <v>0.8</v>
      </c>
      <c r="K26">
        <v>0.8</v>
      </c>
      <c r="L26">
        <v>0.8</v>
      </c>
      <c r="M26">
        <v>0.8</v>
      </c>
      <c r="N26">
        <v>0.5</v>
      </c>
      <c r="O26">
        <v>0.8</v>
      </c>
      <c r="P26">
        <v>0.8</v>
      </c>
      <c r="Q26">
        <v>0.8</v>
      </c>
      <c r="R26">
        <v>0.5</v>
      </c>
      <c r="S26">
        <v>0.5</v>
      </c>
      <c r="T26">
        <v>0.5</v>
      </c>
      <c r="U26">
        <v>0.5</v>
      </c>
      <c r="V26">
        <v>0.5</v>
      </c>
      <c r="W26">
        <v>0.5</v>
      </c>
      <c r="X26">
        <v>0.5</v>
      </c>
      <c r="Y26" s="216">
        <v>0.5</v>
      </c>
      <c r="Z26">
        <v>0.1</v>
      </c>
      <c r="AA26">
        <v>0.1</v>
      </c>
      <c r="AB26">
        <v>0.1</v>
      </c>
      <c r="AC26">
        <v>0.1</v>
      </c>
      <c r="AD26">
        <v>0.1</v>
      </c>
      <c r="AE26">
        <v>0.1</v>
      </c>
      <c r="AF26" s="216">
        <v>0.1</v>
      </c>
      <c r="AG26">
        <v>0.5</v>
      </c>
      <c r="AH26">
        <v>0.5</v>
      </c>
      <c r="AI26">
        <v>0.5</v>
      </c>
      <c r="AJ26">
        <v>0.5</v>
      </c>
      <c r="AK26">
        <v>0.5</v>
      </c>
      <c r="AL26">
        <v>0.5</v>
      </c>
      <c r="AM26">
        <v>0.5</v>
      </c>
      <c r="AN26">
        <v>0.5</v>
      </c>
      <c r="AO26">
        <v>0.5</v>
      </c>
      <c r="AP26">
        <v>0.5</v>
      </c>
      <c r="AQ26" s="216">
        <v>0.5</v>
      </c>
      <c r="AR26" s="216">
        <v>0.5</v>
      </c>
      <c r="AS26">
        <v>0.8</v>
      </c>
      <c r="AT26" s="216">
        <v>0.5</v>
      </c>
      <c r="AU26" s="216">
        <v>0.5</v>
      </c>
      <c r="AV26">
        <v>0.8</v>
      </c>
      <c r="AW26">
        <v>0.5</v>
      </c>
      <c r="AX26">
        <v>0.8</v>
      </c>
      <c r="AY26">
        <v>0.8</v>
      </c>
      <c r="AZ26">
        <v>0.8</v>
      </c>
      <c r="BA26">
        <v>0.8</v>
      </c>
      <c r="BB26">
        <v>0.5</v>
      </c>
      <c r="BC26">
        <v>0.8</v>
      </c>
      <c r="BD26">
        <v>0.8</v>
      </c>
      <c r="BE26">
        <v>0.8</v>
      </c>
      <c r="BF26">
        <v>0.8</v>
      </c>
      <c r="BG26">
        <v>0.8</v>
      </c>
      <c r="BH26">
        <v>0.8</v>
      </c>
      <c r="BI26">
        <v>0.8</v>
      </c>
      <c r="BJ26">
        <v>0.8</v>
      </c>
      <c r="BK26">
        <v>0.8</v>
      </c>
      <c r="BL26">
        <v>0.8</v>
      </c>
      <c r="BM26" s="216">
        <v>0.8</v>
      </c>
      <c r="BN26" s="216">
        <v>0.8</v>
      </c>
      <c r="BO26" s="216">
        <v>0.8</v>
      </c>
      <c r="BP26" s="216">
        <v>0.8</v>
      </c>
      <c r="BQ26" s="216">
        <v>0.8</v>
      </c>
      <c r="BR26" s="216">
        <v>0.8</v>
      </c>
      <c r="BS26" s="216">
        <v>0.8</v>
      </c>
      <c r="BT26" s="216">
        <v>0.8</v>
      </c>
      <c r="BU26" s="216">
        <v>0.8</v>
      </c>
      <c r="BV26" s="216">
        <v>0.8</v>
      </c>
      <c r="BW26" s="216">
        <v>0.8</v>
      </c>
      <c r="BX26" s="216">
        <v>0.8</v>
      </c>
      <c r="BY26" s="216">
        <v>0.8</v>
      </c>
      <c r="BZ26" s="216">
        <v>0.8</v>
      </c>
      <c r="CA26" s="216">
        <v>0.8</v>
      </c>
      <c r="CB26" s="216">
        <v>0.5</v>
      </c>
      <c r="CC26" s="216">
        <v>0.5</v>
      </c>
      <c r="CD26" s="216">
        <v>0.8</v>
      </c>
      <c r="CE26" s="216">
        <v>0.8</v>
      </c>
      <c r="CF26" s="216">
        <v>0.8</v>
      </c>
      <c r="CG26" s="216">
        <v>0.8</v>
      </c>
      <c r="CH26" s="216">
        <v>0.5</v>
      </c>
      <c r="CI26">
        <v>0</v>
      </c>
      <c r="CJ26" s="216">
        <v>0</v>
      </c>
      <c r="CK26" s="216">
        <v>0</v>
      </c>
      <c r="CL26" s="216">
        <v>0</v>
      </c>
      <c r="CM26" s="216">
        <v>0</v>
      </c>
    </row>
    <row r="27" spans="1:91" customFormat="1" ht="15" x14ac:dyDescent="0.5">
      <c r="A27" s="246" t="s">
        <v>274</v>
      </c>
      <c r="B27">
        <v>0</v>
      </c>
      <c r="C27">
        <v>0</v>
      </c>
      <c r="D27">
        <v>0.8</v>
      </c>
      <c r="E27">
        <v>0.8</v>
      </c>
      <c r="F27">
        <v>0.8</v>
      </c>
      <c r="G27">
        <v>0.8</v>
      </c>
      <c r="H27">
        <v>0.8</v>
      </c>
      <c r="I27">
        <v>0.8</v>
      </c>
      <c r="J27">
        <v>0.8</v>
      </c>
      <c r="K27">
        <v>0.8</v>
      </c>
      <c r="L27">
        <v>0.8</v>
      </c>
      <c r="M27">
        <v>0.8</v>
      </c>
      <c r="N27">
        <v>0.5</v>
      </c>
      <c r="O27">
        <v>0.8</v>
      </c>
      <c r="P27">
        <v>0.8</v>
      </c>
      <c r="Q27">
        <v>0.8</v>
      </c>
      <c r="R27">
        <v>0.5</v>
      </c>
      <c r="S27">
        <v>0.5</v>
      </c>
      <c r="T27">
        <v>0.5</v>
      </c>
      <c r="U27">
        <v>0.5</v>
      </c>
      <c r="V27">
        <v>0.5</v>
      </c>
      <c r="W27">
        <v>0.5</v>
      </c>
      <c r="X27">
        <v>0.5</v>
      </c>
      <c r="Y27" s="216">
        <v>0.5</v>
      </c>
      <c r="Z27">
        <v>0.1</v>
      </c>
      <c r="AA27">
        <v>0.1</v>
      </c>
      <c r="AB27">
        <v>0.1</v>
      </c>
      <c r="AC27">
        <v>0.1</v>
      </c>
      <c r="AD27">
        <v>0.1</v>
      </c>
      <c r="AE27">
        <v>0.1</v>
      </c>
      <c r="AF27" s="216">
        <v>0.1</v>
      </c>
      <c r="AG27">
        <v>0.5</v>
      </c>
      <c r="AH27">
        <v>0.5</v>
      </c>
      <c r="AI27">
        <v>0.5</v>
      </c>
      <c r="AJ27">
        <v>0.5</v>
      </c>
      <c r="AK27">
        <v>0.5</v>
      </c>
      <c r="AL27">
        <v>0.5</v>
      </c>
      <c r="AM27">
        <v>0.5</v>
      </c>
      <c r="AN27">
        <v>0.5</v>
      </c>
      <c r="AO27">
        <v>0.5</v>
      </c>
      <c r="AP27">
        <v>0.5</v>
      </c>
      <c r="AQ27" s="216">
        <v>0.5</v>
      </c>
      <c r="AR27" s="216">
        <v>0.5</v>
      </c>
      <c r="AS27">
        <v>0.8</v>
      </c>
      <c r="AT27" s="216">
        <v>0.5</v>
      </c>
      <c r="AU27" s="216">
        <v>0.5</v>
      </c>
      <c r="AV27">
        <v>0.8</v>
      </c>
      <c r="AW27">
        <v>0.5</v>
      </c>
      <c r="AX27">
        <v>0.8</v>
      </c>
      <c r="AY27">
        <v>0.8</v>
      </c>
      <c r="AZ27">
        <v>0.8</v>
      </c>
      <c r="BA27">
        <v>0.8</v>
      </c>
      <c r="BB27">
        <v>0.5</v>
      </c>
      <c r="BC27">
        <v>0.8</v>
      </c>
      <c r="BD27">
        <v>0.8</v>
      </c>
      <c r="BE27">
        <v>0.8</v>
      </c>
      <c r="BF27">
        <v>0.8</v>
      </c>
      <c r="BG27">
        <v>0.8</v>
      </c>
      <c r="BH27">
        <v>0.8</v>
      </c>
      <c r="BI27">
        <v>0.8</v>
      </c>
      <c r="BJ27">
        <v>0.8</v>
      </c>
      <c r="BK27">
        <v>0.8</v>
      </c>
      <c r="BL27">
        <v>0.8</v>
      </c>
      <c r="BM27" s="216">
        <v>0.8</v>
      </c>
      <c r="BN27" s="216">
        <v>0.8</v>
      </c>
      <c r="BO27" s="216">
        <v>0.8</v>
      </c>
      <c r="BP27" s="216">
        <v>0.8</v>
      </c>
      <c r="BQ27" s="216">
        <v>0.8</v>
      </c>
      <c r="BR27" s="216">
        <v>0.8</v>
      </c>
      <c r="BS27" s="216">
        <v>0.8</v>
      </c>
      <c r="BT27" s="216">
        <v>0.8</v>
      </c>
      <c r="BU27" s="216">
        <v>0.8</v>
      </c>
      <c r="BV27" s="216">
        <v>0.8</v>
      </c>
      <c r="BW27" s="216">
        <v>0.8</v>
      </c>
      <c r="BX27" s="216">
        <v>0.8</v>
      </c>
      <c r="BY27" s="216">
        <v>0.8</v>
      </c>
      <c r="BZ27" s="216">
        <v>0.8</v>
      </c>
      <c r="CA27" s="216">
        <v>0.8</v>
      </c>
      <c r="CB27" s="216">
        <v>0.5</v>
      </c>
      <c r="CC27" s="216">
        <v>0.5</v>
      </c>
      <c r="CD27" s="216">
        <v>0.8</v>
      </c>
      <c r="CE27" s="216">
        <v>0.8</v>
      </c>
      <c r="CF27" s="216">
        <v>0.8</v>
      </c>
      <c r="CG27" s="216">
        <v>0.8</v>
      </c>
      <c r="CH27" s="216">
        <v>0.5</v>
      </c>
      <c r="CI27">
        <v>0</v>
      </c>
      <c r="CJ27" s="216">
        <v>0</v>
      </c>
      <c r="CK27" s="216">
        <v>0</v>
      </c>
      <c r="CL27" s="216">
        <v>0</v>
      </c>
      <c r="CM27" s="216">
        <v>0</v>
      </c>
    </row>
    <row r="28" spans="1:91" customFormat="1" ht="15" x14ac:dyDescent="0.5">
      <c r="A28" s="246" t="s">
        <v>275</v>
      </c>
      <c r="B28">
        <v>0</v>
      </c>
      <c r="C28">
        <v>0</v>
      </c>
      <c r="D28">
        <v>0.8</v>
      </c>
      <c r="E28">
        <v>0.8</v>
      </c>
      <c r="F28">
        <v>0.8</v>
      </c>
      <c r="G28">
        <v>0.8</v>
      </c>
      <c r="H28">
        <v>0.8</v>
      </c>
      <c r="I28">
        <v>0.8</v>
      </c>
      <c r="J28">
        <v>0.8</v>
      </c>
      <c r="K28">
        <v>0.8</v>
      </c>
      <c r="L28">
        <v>0.8</v>
      </c>
      <c r="M28">
        <v>0.8</v>
      </c>
      <c r="N28">
        <v>0.5</v>
      </c>
      <c r="O28">
        <v>0.8</v>
      </c>
      <c r="P28">
        <v>0.8</v>
      </c>
      <c r="Q28">
        <v>0.8</v>
      </c>
      <c r="R28">
        <v>0.5</v>
      </c>
      <c r="S28">
        <v>0.5</v>
      </c>
      <c r="T28">
        <v>0.5</v>
      </c>
      <c r="U28">
        <v>0.5</v>
      </c>
      <c r="V28">
        <v>0.5</v>
      </c>
      <c r="W28">
        <v>0.5</v>
      </c>
      <c r="X28">
        <v>0.5</v>
      </c>
      <c r="Y28" s="216">
        <v>0.5</v>
      </c>
      <c r="Z28">
        <v>0.1</v>
      </c>
      <c r="AA28">
        <v>0.1</v>
      </c>
      <c r="AB28">
        <v>0.1</v>
      </c>
      <c r="AC28">
        <v>0.1</v>
      </c>
      <c r="AD28">
        <v>0.1</v>
      </c>
      <c r="AE28">
        <v>0.1</v>
      </c>
      <c r="AF28" s="216">
        <v>0.1</v>
      </c>
      <c r="AG28">
        <v>0.5</v>
      </c>
      <c r="AH28">
        <v>0.5</v>
      </c>
      <c r="AI28">
        <v>0.5</v>
      </c>
      <c r="AJ28">
        <v>0.5</v>
      </c>
      <c r="AK28">
        <v>0.5</v>
      </c>
      <c r="AL28">
        <v>0.5</v>
      </c>
      <c r="AM28">
        <v>0.5</v>
      </c>
      <c r="AN28">
        <v>0.5</v>
      </c>
      <c r="AO28">
        <v>0.5</v>
      </c>
      <c r="AP28">
        <v>0.5</v>
      </c>
      <c r="AQ28" s="216">
        <v>0.5</v>
      </c>
      <c r="AR28" s="216">
        <v>0.5</v>
      </c>
      <c r="AS28">
        <v>0.8</v>
      </c>
      <c r="AT28" s="216">
        <v>0.5</v>
      </c>
      <c r="AU28" s="216">
        <v>0.5</v>
      </c>
      <c r="AV28">
        <v>0.8</v>
      </c>
      <c r="AW28">
        <v>0.5</v>
      </c>
      <c r="AX28">
        <v>0.8</v>
      </c>
      <c r="AY28">
        <v>0.8</v>
      </c>
      <c r="AZ28">
        <v>0.8</v>
      </c>
      <c r="BA28">
        <v>0.8</v>
      </c>
      <c r="BB28">
        <v>0.5</v>
      </c>
      <c r="BC28">
        <v>0.8</v>
      </c>
      <c r="BD28">
        <v>0.8</v>
      </c>
      <c r="BE28">
        <v>0.8</v>
      </c>
      <c r="BF28">
        <v>0.8</v>
      </c>
      <c r="BG28">
        <v>0.8</v>
      </c>
      <c r="BH28">
        <v>0.8</v>
      </c>
      <c r="BI28">
        <v>0.8</v>
      </c>
      <c r="BJ28">
        <v>0.8</v>
      </c>
      <c r="BK28">
        <v>0.8</v>
      </c>
      <c r="BL28">
        <v>0.8</v>
      </c>
      <c r="BM28" s="216">
        <v>0.8</v>
      </c>
      <c r="BN28" s="216">
        <v>0.8</v>
      </c>
      <c r="BO28" s="216">
        <v>0.8</v>
      </c>
      <c r="BP28" s="216">
        <v>0.8</v>
      </c>
      <c r="BQ28" s="216">
        <v>0.8</v>
      </c>
      <c r="BR28" s="216">
        <v>0.8</v>
      </c>
      <c r="BS28" s="216">
        <v>0.8</v>
      </c>
      <c r="BT28" s="216">
        <v>0.8</v>
      </c>
      <c r="BU28" s="216">
        <v>0.8</v>
      </c>
      <c r="BV28" s="216">
        <v>0.8</v>
      </c>
      <c r="BW28" s="216">
        <v>0.8</v>
      </c>
      <c r="BX28" s="216">
        <v>0.8</v>
      </c>
      <c r="BY28" s="216">
        <v>0.8</v>
      </c>
      <c r="BZ28" s="216">
        <v>0.8</v>
      </c>
      <c r="CA28" s="216">
        <v>0.8</v>
      </c>
      <c r="CB28" s="216">
        <v>0.5</v>
      </c>
      <c r="CC28" s="216">
        <v>0.5</v>
      </c>
      <c r="CD28" s="216">
        <v>0.8</v>
      </c>
      <c r="CE28" s="216">
        <v>0.8</v>
      </c>
      <c r="CF28" s="216">
        <v>0.8</v>
      </c>
      <c r="CG28" s="216">
        <v>0.8</v>
      </c>
      <c r="CH28" s="216">
        <v>0.5</v>
      </c>
      <c r="CI28">
        <v>0</v>
      </c>
      <c r="CJ28" s="216">
        <v>0</v>
      </c>
      <c r="CK28" s="216">
        <v>0</v>
      </c>
      <c r="CL28" s="216">
        <v>0</v>
      </c>
      <c r="CM28" s="216">
        <v>0</v>
      </c>
    </row>
    <row r="29" spans="1:91" customFormat="1" ht="15" x14ac:dyDescent="0.5">
      <c r="A29" s="246" t="s">
        <v>276</v>
      </c>
      <c r="B29">
        <v>0</v>
      </c>
      <c r="C29">
        <v>0</v>
      </c>
      <c r="D29">
        <v>0.8</v>
      </c>
      <c r="E29">
        <v>0.8</v>
      </c>
      <c r="F29">
        <v>0.8</v>
      </c>
      <c r="G29">
        <v>0.8</v>
      </c>
      <c r="H29">
        <v>0.8</v>
      </c>
      <c r="I29">
        <v>0.8</v>
      </c>
      <c r="J29">
        <v>0.8</v>
      </c>
      <c r="K29">
        <v>0.8</v>
      </c>
      <c r="L29">
        <v>0.8</v>
      </c>
      <c r="M29">
        <v>0.8</v>
      </c>
      <c r="N29">
        <v>0.5</v>
      </c>
      <c r="O29">
        <v>0.8</v>
      </c>
      <c r="P29">
        <v>0.8</v>
      </c>
      <c r="Q29">
        <v>0.8</v>
      </c>
      <c r="R29">
        <v>0.5</v>
      </c>
      <c r="S29">
        <v>0.5</v>
      </c>
      <c r="T29">
        <v>0.5</v>
      </c>
      <c r="U29">
        <v>0.5</v>
      </c>
      <c r="V29">
        <v>0.5</v>
      </c>
      <c r="W29">
        <v>0.5</v>
      </c>
      <c r="X29">
        <v>0.5</v>
      </c>
      <c r="Y29" s="216">
        <v>0.5</v>
      </c>
      <c r="Z29">
        <v>0.1</v>
      </c>
      <c r="AA29">
        <v>0.1</v>
      </c>
      <c r="AB29">
        <v>0.1</v>
      </c>
      <c r="AC29">
        <v>0.1</v>
      </c>
      <c r="AD29">
        <v>0.1</v>
      </c>
      <c r="AE29">
        <v>0.1</v>
      </c>
      <c r="AF29" s="216">
        <v>0.1</v>
      </c>
      <c r="AG29">
        <v>0.5</v>
      </c>
      <c r="AH29">
        <v>0.5</v>
      </c>
      <c r="AI29">
        <v>0.5</v>
      </c>
      <c r="AJ29">
        <v>0.5</v>
      </c>
      <c r="AK29">
        <v>0.5</v>
      </c>
      <c r="AL29">
        <v>0.5</v>
      </c>
      <c r="AM29">
        <v>0.5</v>
      </c>
      <c r="AN29">
        <v>0.5</v>
      </c>
      <c r="AO29">
        <v>0.5</v>
      </c>
      <c r="AP29">
        <v>0.5</v>
      </c>
      <c r="AQ29" s="216">
        <v>0.5</v>
      </c>
      <c r="AR29" s="216">
        <v>0.5</v>
      </c>
      <c r="AS29">
        <v>0.8</v>
      </c>
      <c r="AT29" s="216">
        <v>0.5</v>
      </c>
      <c r="AU29" s="216">
        <v>0.5</v>
      </c>
      <c r="AV29">
        <v>0.8</v>
      </c>
      <c r="AW29">
        <v>0.5</v>
      </c>
      <c r="AX29">
        <v>0.8</v>
      </c>
      <c r="AY29">
        <v>0.8</v>
      </c>
      <c r="AZ29">
        <v>0.8</v>
      </c>
      <c r="BA29">
        <v>0.8</v>
      </c>
      <c r="BB29">
        <v>0.5</v>
      </c>
      <c r="BC29">
        <v>0.8</v>
      </c>
      <c r="BD29">
        <v>0.8</v>
      </c>
      <c r="BE29">
        <v>0.8</v>
      </c>
      <c r="BF29">
        <v>0.8</v>
      </c>
      <c r="BG29">
        <v>0.8</v>
      </c>
      <c r="BH29">
        <v>0.8</v>
      </c>
      <c r="BI29">
        <v>0.8</v>
      </c>
      <c r="BJ29">
        <v>0.8</v>
      </c>
      <c r="BK29">
        <v>0.8</v>
      </c>
      <c r="BL29">
        <v>0.8</v>
      </c>
      <c r="BM29" s="216">
        <v>0.8</v>
      </c>
      <c r="BN29" s="216">
        <v>0.8</v>
      </c>
      <c r="BO29" s="216">
        <v>0.8</v>
      </c>
      <c r="BP29" s="216">
        <v>0.8</v>
      </c>
      <c r="BQ29" s="216">
        <v>0.8</v>
      </c>
      <c r="BR29" s="216">
        <v>0.8</v>
      </c>
      <c r="BS29" s="216">
        <v>0.8</v>
      </c>
      <c r="BT29" s="216">
        <v>0.8</v>
      </c>
      <c r="BU29" s="216">
        <v>0.8</v>
      </c>
      <c r="BV29" s="216">
        <v>0.8</v>
      </c>
      <c r="BW29" s="216">
        <v>0.8</v>
      </c>
      <c r="BX29" s="216">
        <v>0.8</v>
      </c>
      <c r="BY29" s="216">
        <v>0.8</v>
      </c>
      <c r="BZ29" s="216">
        <v>0.8</v>
      </c>
      <c r="CA29" s="216">
        <v>0.8</v>
      </c>
      <c r="CB29" s="216">
        <v>0.5</v>
      </c>
      <c r="CC29" s="216">
        <v>0.5</v>
      </c>
      <c r="CD29" s="216">
        <v>0.8</v>
      </c>
      <c r="CE29" s="216">
        <v>0.8</v>
      </c>
      <c r="CF29" s="216">
        <v>0.8</v>
      </c>
      <c r="CG29" s="216">
        <v>0.8</v>
      </c>
      <c r="CH29" s="216">
        <v>0.5</v>
      </c>
      <c r="CI29">
        <v>0</v>
      </c>
      <c r="CJ29" s="216">
        <v>0</v>
      </c>
      <c r="CK29" s="216">
        <v>0</v>
      </c>
      <c r="CL29" s="216">
        <v>0</v>
      </c>
      <c r="CM29" s="216">
        <v>0</v>
      </c>
    </row>
    <row r="30" spans="1:91" customFormat="1" ht="15" x14ac:dyDescent="0.5">
      <c r="A30" s="246" t="s">
        <v>277</v>
      </c>
      <c r="B30">
        <v>0</v>
      </c>
      <c r="C30">
        <v>0</v>
      </c>
      <c r="D30">
        <v>0.8</v>
      </c>
      <c r="E30">
        <v>0.8</v>
      </c>
      <c r="F30">
        <v>0.8</v>
      </c>
      <c r="G30">
        <v>0.8</v>
      </c>
      <c r="H30">
        <v>0.8</v>
      </c>
      <c r="I30">
        <v>0.8</v>
      </c>
      <c r="J30">
        <v>0.8</v>
      </c>
      <c r="K30">
        <v>0.8</v>
      </c>
      <c r="L30">
        <v>0.8</v>
      </c>
      <c r="M30">
        <v>0.8</v>
      </c>
      <c r="N30">
        <v>0.5</v>
      </c>
      <c r="O30">
        <v>0.8</v>
      </c>
      <c r="P30">
        <v>0.8</v>
      </c>
      <c r="Q30">
        <v>0.8</v>
      </c>
      <c r="R30">
        <v>0.5</v>
      </c>
      <c r="S30">
        <v>0.5</v>
      </c>
      <c r="T30">
        <v>0.5</v>
      </c>
      <c r="U30">
        <v>0.5</v>
      </c>
      <c r="V30">
        <v>0.5</v>
      </c>
      <c r="W30">
        <v>0.5</v>
      </c>
      <c r="X30">
        <v>0.5</v>
      </c>
      <c r="Y30" s="216">
        <v>0.5</v>
      </c>
      <c r="Z30">
        <v>0.1</v>
      </c>
      <c r="AA30">
        <v>0.1</v>
      </c>
      <c r="AB30">
        <v>0.1</v>
      </c>
      <c r="AC30">
        <v>0.1</v>
      </c>
      <c r="AD30">
        <v>0.1</v>
      </c>
      <c r="AE30">
        <v>0.1</v>
      </c>
      <c r="AF30" s="216">
        <v>0.1</v>
      </c>
      <c r="AG30">
        <v>0.5</v>
      </c>
      <c r="AH30">
        <v>0.5</v>
      </c>
      <c r="AI30">
        <v>0.5</v>
      </c>
      <c r="AJ30">
        <v>0.5</v>
      </c>
      <c r="AK30">
        <v>0.5</v>
      </c>
      <c r="AL30">
        <v>0.5</v>
      </c>
      <c r="AM30">
        <v>0.5</v>
      </c>
      <c r="AN30">
        <v>0.5</v>
      </c>
      <c r="AO30">
        <v>0.5</v>
      </c>
      <c r="AP30">
        <v>0.5</v>
      </c>
      <c r="AQ30" s="216">
        <v>0.5</v>
      </c>
      <c r="AR30" s="216">
        <v>0.5</v>
      </c>
      <c r="AS30">
        <v>0.8</v>
      </c>
      <c r="AT30" s="216">
        <v>0.5</v>
      </c>
      <c r="AU30" s="216">
        <v>0.5</v>
      </c>
      <c r="AV30">
        <v>0.8</v>
      </c>
      <c r="AW30">
        <v>0.5</v>
      </c>
      <c r="AX30">
        <v>0.8</v>
      </c>
      <c r="AY30">
        <v>0.8</v>
      </c>
      <c r="AZ30">
        <v>0.8</v>
      </c>
      <c r="BA30">
        <v>0.8</v>
      </c>
      <c r="BB30">
        <v>0.5</v>
      </c>
      <c r="BC30">
        <v>0.8</v>
      </c>
      <c r="BD30">
        <v>0.8</v>
      </c>
      <c r="BE30">
        <v>0.8</v>
      </c>
      <c r="BF30">
        <v>0.8</v>
      </c>
      <c r="BG30">
        <v>0.8</v>
      </c>
      <c r="BH30">
        <v>0.8</v>
      </c>
      <c r="BI30">
        <v>0.8</v>
      </c>
      <c r="BJ30">
        <v>0.8</v>
      </c>
      <c r="BK30">
        <v>0.8</v>
      </c>
      <c r="BL30">
        <v>0.8</v>
      </c>
      <c r="BM30" s="216">
        <v>0.8</v>
      </c>
      <c r="BN30" s="216">
        <v>0.8</v>
      </c>
      <c r="BO30" s="216">
        <v>0.8</v>
      </c>
      <c r="BP30" s="216">
        <v>0.8</v>
      </c>
      <c r="BQ30" s="216">
        <v>0.8</v>
      </c>
      <c r="BR30" s="216">
        <v>0.8</v>
      </c>
      <c r="BS30" s="216">
        <v>0.8</v>
      </c>
      <c r="BT30" s="216">
        <v>0.8</v>
      </c>
      <c r="BU30" s="216">
        <v>0.8</v>
      </c>
      <c r="BV30" s="216">
        <v>0.8</v>
      </c>
      <c r="BW30" s="216">
        <v>0.8</v>
      </c>
      <c r="BX30" s="216">
        <v>0.8</v>
      </c>
      <c r="BY30" s="216">
        <v>0.8</v>
      </c>
      <c r="BZ30" s="216">
        <v>0.8</v>
      </c>
      <c r="CA30" s="216">
        <v>0.8</v>
      </c>
      <c r="CB30" s="216">
        <v>0.5</v>
      </c>
      <c r="CC30" s="216">
        <v>0.5</v>
      </c>
      <c r="CD30" s="216">
        <v>0.8</v>
      </c>
      <c r="CE30" s="216">
        <v>0.8</v>
      </c>
      <c r="CF30" s="216">
        <v>0.8</v>
      </c>
      <c r="CG30" s="216">
        <v>0.8</v>
      </c>
      <c r="CH30" s="216">
        <v>0.5</v>
      </c>
      <c r="CI30">
        <v>0</v>
      </c>
      <c r="CJ30" s="216">
        <v>0</v>
      </c>
      <c r="CK30" s="216">
        <v>0</v>
      </c>
      <c r="CL30" s="216">
        <v>0</v>
      </c>
      <c r="CM30" s="216">
        <v>0</v>
      </c>
    </row>
    <row r="31" spans="1:91" customFormat="1" ht="15" x14ac:dyDescent="0.5">
      <c r="A31" s="246" t="s">
        <v>278</v>
      </c>
      <c r="B31">
        <v>0</v>
      </c>
      <c r="C31">
        <v>0</v>
      </c>
      <c r="D31">
        <v>0.8</v>
      </c>
      <c r="E31">
        <v>0.8</v>
      </c>
      <c r="F31">
        <v>0.8</v>
      </c>
      <c r="G31">
        <v>0.8</v>
      </c>
      <c r="H31">
        <v>0.8</v>
      </c>
      <c r="I31">
        <v>0.8</v>
      </c>
      <c r="J31">
        <v>0.8</v>
      </c>
      <c r="K31">
        <v>0.8</v>
      </c>
      <c r="L31">
        <v>0.8</v>
      </c>
      <c r="M31">
        <v>0.8</v>
      </c>
      <c r="N31">
        <v>0.5</v>
      </c>
      <c r="O31">
        <v>0.8</v>
      </c>
      <c r="P31">
        <v>0.8</v>
      </c>
      <c r="Q31">
        <v>0.8</v>
      </c>
      <c r="R31">
        <v>0.5</v>
      </c>
      <c r="S31">
        <v>0.5</v>
      </c>
      <c r="T31">
        <v>0.5</v>
      </c>
      <c r="U31">
        <v>0.5</v>
      </c>
      <c r="V31">
        <v>0.5</v>
      </c>
      <c r="W31">
        <v>0.5</v>
      </c>
      <c r="X31">
        <v>0.5</v>
      </c>
      <c r="Y31" s="216">
        <v>0.5</v>
      </c>
      <c r="Z31">
        <v>0.1</v>
      </c>
      <c r="AA31">
        <v>0.1</v>
      </c>
      <c r="AB31">
        <v>0.1</v>
      </c>
      <c r="AC31">
        <v>0.1</v>
      </c>
      <c r="AD31">
        <v>0.1</v>
      </c>
      <c r="AE31">
        <v>0.1</v>
      </c>
      <c r="AF31" s="216">
        <v>0.1</v>
      </c>
      <c r="AG31">
        <v>0.5</v>
      </c>
      <c r="AH31">
        <v>0.5</v>
      </c>
      <c r="AI31">
        <v>0.5</v>
      </c>
      <c r="AJ31">
        <v>0.5</v>
      </c>
      <c r="AK31">
        <v>0.5</v>
      </c>
      <c r="AL31">
        <v>0.5</v>
      </c>
      <c r="AM31">
        <v>0.5</v>
      </c>
      <c r="AN31">
        <v>0.5</v>
      </c>
      <c r="AO31">
        <v>0.5</v>
      </c>
      <c r="AP31">
        <v>0.5</v>
      </c>
      <c r="AQ31" s="216">
        <v>0.5</v>
      </c>
      <c r="AR31" s="216">
        <v>0.5</v>
      </c>
      <c r="AS31">
        <v>0.8</v>
      </c>
      <c r="AT31" s="216">
        <v>0.5</v>
      </c>
      <c r="AU31" s="216">
        <v>0.5</v>
      </c>
      <c r="AV31">
        <v>0.8</v>
      </c>
      <c r="AW31">
        <v>0.5</v>
      </c>
      <c r="AX31">
        <v>0.8</v>
      </c>
      <c r="AY31">
        <v>0.8</v>
      </c>
      <c r="AZ31">
        <v>0.8</v>
      </c>
      <c r="BA31">
        <v>0.8</v>
      </c>
      <c r="BB31">
        <v>0.5</v>
      </c>
      <c r="BC31">
        <v>0.8</v>
      </c>
      <c r="BD31">
        <v>0.8</v>
      </c>
      <c r="BE31">
        <v>0.8</v>
      </c>
      <c r="BF31">
        <v>0.8</v>
      </c>
      <c r="BG31">
        <v>0.8</v>
      </c>
      <c r="BH31">
        <v>0.8</v>
      </c>
      <c r="BI31">
        <v>0.8</v>
      </c>
      <c r="BJ31">
        <v>0.8</v>
      </c>
      <c r="BK31">
        <v>0.8</v>
      </c>
      <c r="BL31">
        <v>0.8</v>
      </c>
      <c r="BM31" s="216">
        <v>0.8</v>
      </c>
      <c r="BN31" s="216">
        <v>0.8</v>
      </c>
      <c r="BO31" s="216">
        <v>0.8</v>
      </c>
      <c r="BP31" s="216">
        <v>0.8</v>
      </c>
      <c r="BQ31" s="216">
        <v>0.8</v>
      </c>
      <c r="BR31" s="216">
        <v>0.8</v>
      </c>
      <c r="BS31" s="216">
        <v>0.8</v>
      </c>
      <c r="BT31" s="216">
        <v>0.8</v>
      </c>
      <c r="BU31" s="216">
        <v>0.8</v>
      </c>
      <c r="BV31" s="216">
        <v>0.8</v>
      </c>
      <c r="BW31" s="216">
        <v>0.8</v>
      </c>
      <c r="BX31" s="216">
        <v>0.8</v>
      </c>
      <c r="BY31" s="216">
        <v>0.8</v>
      </c>
      <c r="BZ31" s="216">
        <v>0.8</v>
      </c>
      <c r="CA31" s="216">
        <v>0.8</v>
      </c>
      <c r="CB31" s="216">
        <v>0.5</v>
      </c>
      <c r="CC31" s="216">
        <v>0.5</v>
      </c>
      <c r="CD31" s="216">
        <v>0.8</v>
      </c>
      <c r="CE31" s="216">
        <v>0.8</v>
      </c>
      <c r="CF31" s="216">
        <v>0.8</v>
      </c>
      <c r="CG31" s="216">
        <v>0.8</v>
      </c>
      <c r="CH31" s="216">
        <v>0.5</v>
      </c>
      <c r="CI31">
        <v>0</v>
      </c>
      <c r="CJ31" s="216">
        <v>0</v>
      </c>
      <c r="CK31" s="216">
        <v>0</v>
      </c>
      <c r="CL31" s="216">
        <v>0</v>
      </c>
      <c r="CM31" s="216">
        <v>0</v>
      </c>
    </row>
    <row r="32" spans="1:91" customFormat="1" ht="15" x14ac:dyDescent="0.5">
      <c r="A32" s="246" t="s">
        <v>279</v>
      </c>
      <c r="B32">
        <v>0</v>
      </c>
      <c r="C32">
        <v>0</v>
      </c>
      <c r="D32">
        <v>0.8</v>
      </c>
      <c r="E32">
        <v>0.8</v>
      </c>
      <c r="F32">
        <v>0.8</v>
      </c>
      <c r="G32">
        <v>0.8</v>
      </c>
      <c r="H32">
        <v>0.8</v>
      </c>
      <c r="I32">
        <v>0.8</v>
      </c>
      <c r="J32">
        <v>0.8</v>
      </c>
      <c r="K32">
        <v>0.8</v>
      </c>
      <c r="L32">
        <v>0.8</v>
      </c>
      <c r="M32">
        <v>0.8</v>
      </c>
      <c r="N32">
        <v>0.5</v>
      </c>
      <c r="O32">
        <v>0.8</v>
      </c>
      <c r="P32">
        <v>0.8</v>
      </c>
      <c r="Q32">
        <v>0.8</v>
      </c>
      <c r="R32">
        <v>0.5</v>
      </c>
      <c r="S32">
        <v>0.5</v>
      </c>
      <c r="T32">
        <v>0.5</v>
      </c>
      <c r="U32">
        <v>0.5</v>
      </c>
      <c r="V32">
        <v>0.5</v>
      </c>
      <c r="W32">
        <v>0.5</v>
      </c>
      <c r="X32">
        <v>0.5</v>
      </c>
      <c r="Y32" s="216">
        <v>0.5</v>
      </c>
      <c r="Z32">
        <v>0.1</v>
      </c>
      <c r="AA32">
        <v>0.1</v>
      </c>
      <c r="AB32">
        <v>0.1</v>
      </c>
      <c r="AC32">
        <v>0.1</v>
      </c>
      <c r="AD32">
        <v>0.1</v>
      </c>
      <c r="AE32">
        <v>0.1</v>
      </c>
      <c r="AF32" s="216">
        <v>0.1</v>
      </c>
      <c r="AG32">
        <v>0.5</v>
      </c>
      <c r="AH32">
        <v>0.5</v>
      </c>
      <c r="AI32">
        <v>0.5</v>
      </c>
      <c r="AJ32">
        <v>0.5</v>
      </c>
      <c r="AK32">
        <v>0.5</v>
      </c>
      <c r="AL32">
        <v>0.5</v>
      </c>
      <c r="AM32">
        <v>0.5</v>
      </c>
      <c r="AN32">
        <v>0.5</v>
      </c>
      <c r="AO32">
        <v>0.5</v>
      </c>
      <c r="AP32">
        <v>0.5</v>
      </c>
      <c r="AQ32" s="216">
        <v>0.5</v>
      </c>
      <c r="AR32" s="216">
        <v>0.5</v>
      </c>
      <c r="AS32">
        <v>0.8</v>
      </c>
      <c r="AT32" s="216">
        <v>0.5</v>
      </c>
      <c r="AU32" s="216">
        <v>0.5</v>
      </c>
      <c r="AV32">
        <v>0.8</v>
      </c>
      <c r="AW32">
        <v>0.5</v>
      </c>
      <c r="AX32">
        <v>0.8</v>
      </c>
      <c r="AY32">
        <v>0.8</v>
      </c>
      <c r="AZ32">
        <v>0.8</v>
      </c>
      <c r="BA32">
        <v>0.8</v>
      </c>
      <c r="BB32">
        <v>0.5</v>
      </c>
      <c r="BC32">
        <v>0.8</v>
      </c>
      <c r="BD32">
        <v>0.8</v>
      </c>
      <c r="BE32">
        <v>0.8</v>
      </c>
      <c r="BF32">
        <v>0.8</v>
      </c>
      <c r="BG32">
        <v>0.8</v>
      </c>
      <c r="BH32">
        <v>0.8</v>
      </c>
      <c r="BI32">
        <v>0.8</v>
      </c>
      <c r="BJ32">
        <v>0.8</v>
      </c>
      <c r="BK32">
        <v>0.8</v>
      </c>
      <c r="BL32">
        <v>0.8</v>
      </c>
      <c r="BM32" s="216">
        <v>0.8</v>
      </c>
      <c r="BN32" s="216">
        <v>0.8</v>
      </c>
      <c r="BO32" s="216">
        <v>0.8</v>
      </c>
      <c r="BP32" s="216">
        <v>0.8</v>
      </c>
      <c r="BQ32" s="216">
        <v>0.8</v>
      </c>
      <c r="BR32" s="216">
        <v>0.8</v>
      </c>
      <c r="BS32" s="216">
        <v>0.8</v>
      </c>
      <c r="BT32" s="216">
        <v>0.8</v>
      </c>
      <c r="BU32" s="216">
        <v>0.8</v>
      </c>
      <c r="BV32" s="216">
        <v>0.8</v>
      </c>
      <c r="BW32" s="216">
        <v>0.8</v>
      </c>
      <c r="BX32" s="216">
        <v>0.8</v>
      </c>
      <c r="BY32" s="216">
        <v>0.8</v>
      </c>
      <c r="BZ32" s="216">
        <v>0.8</v>
      </c>
      <c r="CA32" s="216">
        <v>0.8</v>
      </c>
      <c r="CB32" s="216">
        <v>0.5</v>
      </c>
      <c r="CC32" s="216">
        <v>0.5</v>
      </c>
      <c r="CD32" s="216">
        <v>0.8</v>
      </c>
      <c r="CE32" s="216">
        <v>0.8</v>
      </c>
      <c r="CF32" s="216">
        <v>0.8</v>
      </c>
      <c r="CG32" s="216">
        <v>0.8</v>
      </c>
      <c r="CH32" s="216">
        <v>0.5</v>
      </c>
      <c r="CI32">
        <v>0</v>
      </c>
      <c r="CJ32" s="216">
        <v>0</v>
      </c>
      <c r="CK32" s="216">
        <v>0</v>
      </c>
      <c r="CL32" s="216">
        <v>0</v>
      </c>
      <c r="CM32" s="216">
        <v>0</v>
      </c>
    </row>
    <row r="33" spans="1:91" customFormat="1" ht="15" x14ac:dyDescent="0.5">
      <c r="A33" s="245" t="s">
        <v>200</v>
      </c>
      <c r="B33">
        <v>0</v>
      </c>
      <c r="C33">
        <v>0</v>
      </c>
      <c r="D33">
        <v>0.8</v>
      </c>
      <c r="E33">
        <v>0.8</v>
      </c>
      <c r="F33">
        <v>0.8</v>
      </c>
      <c r="G33">
        <v>0.8</v>
      </c>
      <c r="H33">
        <v>0.8</v>
      </c>
      <c r="I33">
        <v>0.8</v>
      </c>
      <c r="J33">
        <v>0.8</v>
      </c>
      <c r="K33">
        <v>0.8</v>
      </c>
      <c r="L33">
        <v>0.8</v>
      </c>
      <c r="M33">
        <v>0.8</v>
      </c>
      <c r="N33">
        <v>0.5</v>
      </c>
      <c r="O33">
        <v>0.8</v>
      </c>
      <c r="P33">
        <v>0.8</v>
      </c>
      <c r="Q33">
        <v>0.8</v>
      </c>
      <c r="R33">
        <v>0.5</v>
      </c>
      <c r="S33">
        <v>0.5</v>
      </c>
      <c r="T33">
        <v>0.5</v>
      </c>
      <c r="U33">
        <v>0.5</v>
      </c>
      <c r="V33">
        <v>0.5</v>
      </c>
      <c r="W33">
        <v>0.5</v>
      </c>
      <c r="X33">
        <v>0.5</v>
      </c>
      <c r="Y33" s="216">
        <v>0.5</v>
      </c>
      <c r="Z33">
        <v>0.1</v>
      </c>
      <c r="AA33">
        <v>0.1</v>
      </c>
      <c r="AB33">
        <v>0.1</v>
      </c>
      <c r="AC33">
        <v>0.1</v>
      </c>
      <c r="AD33">
        <v>0.1</v>
      </c>
      <c r="AE33">
        <v>0.1</v>
      </c>
      <c r="AF33" s="216">
        <v>0.1</v>
      </c>
      <c r="AG33">
        <v>0.5</v>
      </c>
      <c r="AH33">
        <v>0.5</v>
      </c>
      <c r="AI33">
        <v>0.5</v>
      </c>
      <c r="AJ33">
        <v>0.5</v>
      </c>
      <c r="AK33">
        <v>0.5</v>
      </c>
      <c r="AL33">
        <v>0.5</v>
      </c>
      <c r="AM33">
        <v>0.5</v>
      </c>
      <c r="AN33">
        <v>0.5</v>
      </c>
      <c r="AO33">
        <v>0.5</v>
      </c>
      <c r="AP33">
        <v>0.5</v>
      </c>
      <c r="AQ33" s="216">
        <v>0.5</v>
      </c>
      <c r="AR33" s="216">
        <v>0.5</v>
      </c>
      <c r="AS33">
        <v>0.8</v>
      </c>
      <c r="AT33" s="216">
        <v>0.5</v>
      </c>
      <c r="AU33" s="216">
        <v>0.5</v>
      </c>
      <c r="AV33">
        <v>0.8</v>
      </c>
      <c r="AW33">
        <v>0.5</v>
      </c>
      <c r="AX33">
        <v>0.8</v>
      </c>
      <c r="AY33">
        <v>0.8</v>
      </c>
      <c r="AZ33">
        <v>0.8</v>
      </c>
      <c r="BA33">
        <v>0.8</v>
      </c>
      <c r="BB33">
        <v>0.5</v>
      </c>
      <c r="BC33">
        <v>0.8</v>
      </c>
      <c r="BD33">
        <v>0.8</v>
      </c>
      <c r="BE33">
        <v>0.8</v>
      </c>
      <c r="BF33">
        <v>0.8</v>
      </c>
      <c r="BG33">
        <v>0.8</v>
      </c>
      <c r="BH33">
        <v>0.8</v>
      </c>
      <c r="BI33">
        <v>0.8</v>
      </c>
      <c r="BJ33">
        <v>0.8</v>
      </c>
      <c r="BK33">
        <v>0.8</v>
      </c>
      <c r="BL33">
        <v>0.8</v>
      </c>
      <c r="BM33" s="216">
        <v>0.8</v>
      </c>
      <c r="BN33" s="216">
        <v>0.8</v>
      </c>
      <c r="BO33" s="216">
        <v>0.8</v>
      </c>
      <c r="BP33" s="216">
        <v>0.8</v>
      </c>
      <c r="BQ33" s="216">
        <v>0.8</v>
      </c>
      <c r="BR33" s="216">
        <v>0.8</v>
      </c>
      <c r="BS33" s="216">
        <v>0.8</v>
      </c>
      <c r="BT33" s="216">
        <v>0.8</v>
      </c>
      <c r="BU33" s="216">
        <v>0.8</v>
      </c>
      <c r="BV33" s="216">
        <v>0.8</v>
      </c>
      <c r="BW33" s="216">
        <v>0.8</v>
      </c>
      <c r="BX33" s="216">
        <v>0.8</v>
      </c>
      <c r="BY33" s="216">
        <v>0.8</v>
      </c>
      <c r="BZ33" s="216">
        <v>0.8</v>
      </c>
      <c r="CA33" s="216">
        <v>0.8</v>
      </c>
      <c r="CB33" s="216">
        <v>0.5</v>
      </c>
      <c r="CC33" s="216">
        <v>0.5</v>
      </c>
      <c r="CD33" s="216">
        <v>0.8</v>
      </c>
      <c r="CE33" s="216">
        <v>0.8</v>
      </c>
      <c r="CF33" s="216">
        <v>0.8</v>
      </c>
      <c r="CG33" s="216">
        <v>0.8</v>
      </c>
      <c r="CH33" s="216">
        <v>0.5</v>
      </c>
      <c r="CI33">
        <v>0</v>
      </c>
      <c r="CJ33" s="216">
        <v>0</v>
      </c>
      <c r="CK33" s="216">
        <v>0</v>
      </c>
      <c r="CL33" s="216">
        <v>0</v>
      </c>
      <c r="CM33" s="216">
        <v>0</v>
      </c>
    </row>
    <row r="34" spans="1:91" customFormat="1" ht="15" x14ac:dyDescent="0.5">
      <c r="A34" s="245" t="s">
        <v>201</v>
      </c>
      <c r="B34">
        <v>0</v>
      </c>
      <c r="C34">
        <v>0</v>
      </c>
      <c r="D34">
        <v>0.8</v>
      </c>
      <c r="E34">
        <v>0.8</v>
      </c>
      <c r="F34">
        <v>0.8</v>
      </c>
      <c r="G34">
        <v>0.8</v>
      </c>
      <c r="H34">
        <v>0.8</v>
      </c>
      <c r="I34">
        <v>0.8</v>
      </c>
      <c r="J34">
        <v>0.8</v>
      </c>
      <c r="K34">
        <v>0.8</v>
      </c>
      <c r="L34">
        <v>0.8</v>
      </c>
      <c r="M34">
        <v>0.8</v>
      </c>
      <c r="N34">
        <v>0.5</v>
      </c>
      <c r="O34">
        <v>0.8</v>
      </c>
      <c r="P34">
        <v>0.8</v>
      </c>
      <c r="Q34">
        <v>0.8</v>
      </c>
      <c r="R34">
        <v>0.5</v>
      </c>
      <c r="S34">
        <v>0.5</v>
      </c>
      <c r="T34">
        <v>0.5</v>
      </c>
      <c r="U34">
        <v>0.5</v>
      </c>
      <c r="V34">
        <v>0.5</v>
      </c>
      <c r="W34">
        <v>0.5</v>
      </c>
      <c r="X34">
        <v>0.5</v>
      </c>
      <c r="Y34" s="216">
        <v>0.5</v>
      </c>
      <c r="Z34">
        <v>0.1</v>
      </c>
      <c r="AA34">
        <v>0.1</v>
      </c>
      <c r="AB34">
        <v>0.1</v>
      </c>
      <c r="AC34">
        <v>0.1</v>
      </c>
      <c r="AD34">
        <v>0.1</v>
      </c>
      <c r="AE34">
        <v>0.1</v>
      </c>
      <c r="AF34" s="216">
        <v>0.1</v>
      </c>
      <c r="AG34">
        <v>0.5</v>
      </c>
      <c r="AH34">
        <v>0.5</v>
      </c>
      <c r="AI34">
        <v>0.5</v>
      </c>
      <c r="AJ34">
        <v>0.5</v>
      </c>
      <c r="AK34">
        <v>0.5</v>
      </c>
      <c r="AL34">
        <v>0.5</v>
      </c>
      <c r="AM34">
        <v>0.5</v>
      </c>
      <c r="AN34">
        <v>0.5</v>
      </c>
      <c r="AO34">
        <v>0.5</v>
      </c>
      <c r="AP34">
        <v>0.5</v>
      </c>
      <c r="AQ34" s="216">
        <v>0.5</v>
      </c>
      <c r="AR34" s="216">
        <v>0.5</v>
      </c>
      <c r="AS34">
        <v>0.8</v>
      </c>
      <c r="AT34" s="216">
        <v>0.5</v>
      </c>
      <c r="AU34" s="216">
        <v>0.5</v>
      </c>
      <c r="AV34">
        <v>0.8</v>
      </c>
      <c r="AW34">
        <v>0.5</v>
      </c>
      <c r="AX34">
        <v>0.8</v>
      </c>
      <c r="AY34">
        <v>0.8</v>
      </c>
      <c r="AZ34">
        <v>0.8</v>
      </c>
      <c r="BA34">
        <v>0.8</v>
      </c>
      <c r="BB34">
        <v>0.5</v>
      </c>
      <c r="BC34">
        <v>0.8</v>
      </c>
      <c r="BD34">
        <v>0.8</v>
      </c>
      <c r="BE34">
        <v>0.8</v>
      </c>
      <c r="BF34">
        <v>0.8</v>
      </c>
      <c r="BG34">
        <v>0.8</v>
      </c>
      <c r="BH34">
        <v>0.8</v>
      </c>
      <c r="BI34">
        <v>0.8</v>
      </c>
      <c r="BJ34">
        <v>0.8</v>
      </c>
      <c r="BK34">
        <v>0.8</v>
      </c>
      <c r="BL34">
        <v>0.8</v>
      </c>
      <c r="BM34" s="216">
        <v>0.8</v>
      </c>
      <c r="BN34" s="216">
        <v>0.8</v>
      </c>
      <c r="BO34" s="216">
        <v>0.8</v>
      </c>
      <c r="BP34" s="216">
        <v>0.8</v>
      </c>
      <c r="BQ34" s="216">
        <v>0.8</v>
      </c>
      <c r="BR34" s="216">
        <v>0.8</v>
      </c>
      <c r="BS34" s="216">
        <v>0.8</v>
      </c>
      <c r="BT34" s="216">
        <v>0.8</v>
      </c>
      <c r="BU34" s="216">
        <v>0.8</v>
      </c>
      <c r="BV34" s="216">
        <v>0.8</v>
      </c>
      <c r="BW34" s="216">
        <v>0.8</v>
      </c>
      <c r="BX34" s="216">
        <v>0.8</v>
      </c>
      <c r="BY34" s="216">
        <v>0.8</v>
      </c>
      <c r="BZ34" s="216">
        <v>0.8</v>
      </c>
      <c r="CA34" s="216">
        <v>0.8</v>
      </c>
      <c r="CB34" s="216">
        <v>0.5</v>
      </c>
      <c r="CC34" s="216">
        <v>0.5</v>
      </c>
      <c r="CD34" s="216">
        <v>0.8</v>
      </c>
      <c r="CE34" s="216">
        <v>0.8</v>
      </c>
      <c r="CF34" s="216">
        <v>0.8</v>
      </c>
      <c r="CG34" s="216">
        <v>0.8</v>
      </c>
      <c r="CH34" s="216">
        <v>0.5</v>
      </c>
      <c r="CI34">
        <v>0</v>
      </c>
      <c r="CJ34" s="216">
        <v>0</v>
      </c>
      <c r="CK34" s="216">
        <v>0</v>
      </c>
      <c r="CL34" s="216">
        <v>0</v>
      </c>
      <c r="CM34" s="216">
        <v>0</v>
      </c>
    </row>
    <row r="35" spans="1:91" customFormat="1" ht="15" x14ac:dyDescent="0.5">
      <c r="A35" s="245" t="s">
        <v>202</v>
      </c>
      <c r="B35">
        <v>0</v>
      </c>
      <c r="C35">
        <v>0</v>
      </c>
      <c r="D35">
        <v>0.8</v>
      </c>
      <c r="E35">
        <v>0.8</v>
      </c>
      <c r="F35">
        <v>0.8</v>
      </c>
      <c r="G35">
        <v>0.8</v>
      </c>
      <c r="H35">
        <v>0.8</v>
      </c>
      <c r="I35">
        <v>0.8</v>
      </c>
      <c r="J35">
        <v>0.8</v>
      </c>
      <c r="K35">
        <v>0.8</v>
      </c>
      <c r="L35">
        <v>0.8</v>
      </c>
      <c r="M35">
        <v>0.8</v>
      </c>
      <c r="N35">
        <v>0.5</v>
      </c>
      <c r="O35">
        <v>0.8</v>
      </c>
      <c r="P35">
        <v>0.8</v>
      </c>
      <c r="Q35">
        <v>0.8</v>
      </c>
      <c r="R35">
        <v>0.5</v>
      </c>
      <c r="S35">
        <v>0.5</v>
      </c>
      <c r="T35">
        <v>0.5</v>
      </c>
      <c r="U35">
        <v>0.5</v>
      </c>
      <c r="V35">
        <v>0.5</v>
      </c>
      <c r="W35">
        <v>0.5</v>
      </c>
      <c r="X35">
        <v>0.5</v>
      </c>
      <c r="Y35" s="216">
        <v>0.5</v>
      </c>
      <c r="Z35">
        <v>0.1</v>
      </c>
      <c r="AA35">
        <v>0.1</v>
      </c>
      <c r="AB35">
        <v>0.1</v>
      </c>
      <c r="AC35">
        <v>0.1</v>
      </c>
      <c r="AD35">
        <v>0.1</v>
      </c>
      <c r="AE35">
        <v>0.1</v>
      </c>
      <c r="AF35" s="216">
        <v>0.1</v>
      </c>
      <c r="AG35">
        <v>0.5</v>
      </c>
      <c r="AH35">
        <v>0.5</v>
      </c>
      <c r="AI35">
        <v>0.5</v>
      </c>
      <c r="AJ35">
        <v>0.5</v>
      </c>
      <c r="AK35">
        <v>0.5</v>
      </c>
      <c r="AL35">
        <v>0.5</v>
      </c>
      <c r="AM35">
        <v>0.5</v>
      </c>
      <c r="AN35">
        <v>0.5</v>
      </c>
      <c r="AO35">
        <v>0.5</v>
      </c>
      <c r="AP35">
        <v>0.5</v>
      </c>
      <c r="AQ35" s="216">
        <v>0.5</v>
      </c>
      <c r="AR35" s="216">
        <v>0.5</v>
      </c>
      <c r="AS35">
        <v>0.8</v>
      </c>
      <c r="AT35" s="216">
        <v>0.5</v>
      </c>
      <c r="AU35" s="216">
        <v>0.5</v>
      </c>
      <c r="AV35">
        <v>0.8</v>
      </c>
      <c r="AW35">
        <v>0.5</v>
      </c>
      <c r="AX35">
        <v>0.8</v>
      </c>
      <c r="AY35">
        <v>0.8</v>
      </c>
      <c r="AZ35">
        <v>0.8</v>
      </c>
      <c r="BA35">
        <v>0.8</v>
      </c>
      <c r="BB35">
        <v>0.5</v>
      </c>
      <c r="BC35">
        <v>0.8</v>
      </c>
      <c r="BD35">
        <v>0.8</v>
      </c>
      <c r="BE35">
        <v>0.8</v>
      </c>
      <c r="BF35">
        <v>0.8</v>
      </c>
      <c r="BG35">
        <v>0.8</v>
      </c>
      <c r="BH35">
        <v>0.8</v>
      </c>
      <c r="BI35">
        <v>0.8</v>
      </c>
      <c r="BJ35">
        <v>0.8</v>
      </c>
      <c r="BK35">
        <v>0.8</v>
      </c>
      <c r="BL35">
        <v>0.8</v>
      </c>
      <c r="BM35" s="216">
        <v>0.8</v>
      </c>
      <c r="BN35" s="216">
        <v>0.8</v>
      </c>
      <c r="BO35" s="216">
        <v>0.8</v>
      </c>
      <c r="BP35" s="216">
        <v>0.8</v>
      </c>
      <c r="BQ35" s="216">
        <v>0.8</v>
      </c>
      <c r="BR35" s="216">
        <v>0.8</v>
      </c>
      <c r="BS35" s="216">
        <v>0.8</v>
      </c>
      <c r="BT35" s="216">
        <v>0.8</v>
      </c>
      <c r="BU35" s="216">
        <v>0.8</v>
      </c>
      <c r="BV35" s="216">
        <v>0.8</v>
      </c>
      <c r="BW35" s="216">
        <v>0.8</v>
      </c>
      <c r="BX35" s="216">
        <v>0.8</v>
      </c>
      <c r="BY35" s="216">
        <v>0.8</v>
      </c>
      <c r="BZ35" s="216">
        <v>0.8</v>
      </c>
      <c r="CA35" s="216">
        <v>0.8</v>
      </c>
      <c r="CB35" s="216">
        <v>0.5</v>
      </c>
      <c r="CC35" s="216">
        <v>0.5</v>
      </c>
      <c r="CD35" s="216">
        <v>0.8</v>
      </c>
      <c r="CE35" s="216">
        <v>0.8</v>
      </c>
      <c r="CF35" s="216">
        <v>0.8</v>
      </c>
      <c r="CG35" s="216">
        <v>0.8</v>
      </c>
      <c r="CH35" s="216">
        <v>0.5</v>
      </c>
      <c r="CI35">
        <v>0</v>
      </c>
      <c r="CJ35" s="216">
        <v>0</v>
      </c>
      <c r="CK35" s="216">
        <v>0</v>
      </c>
      <c r="CL35" s="216">
        <v>0</v>
      </c>
      <c r="CM35" s="216">
        <v>0</v>
      </c>
    </row>
    <row r="36" spans="1:91" customFormat="1" ht="15" x14ac:dyDescent="0.5">
      <c r="A36" s="245" t="s">
        <v>203</v>
      </c>
      <c r="B36">
        <v>0</v>
      </c>
      <c r="C36">
        <v>0</v>
      </c>
      <c r="D36">
        <v>0.8</v>
      </c>
      <c r="E36">
        <v>0.8</v>
      </c>
      <c r="F36">
        <v>0.8</v>
      </c>
      <c r="G36">
        <v>0.8</v>
      </c>
      <c r="H36">
        <v>0.8</v>
      </c>
      <c r="I36">
        <v>0.8</v>
      </c>
      <c r="J36">
        <v>0.8</v>
      </c>
      <c r="K36">
        <v>0.8</v>
      </c>
      <c r="L36">
        <v>0.8</v>
      </c>
      <c r="M36">
        <v>0.8</v>
      </c>
      <c r="N36">
        <v>0.5</v>
      </c>
      <c r="O36">
        <v>0.8</v>
      </c>
      <c r="P36">
        <v>0.8</v>
      </c>
      <c r="Q36">
        <v>0.8</v>
      </c>
      <c r="R36">
        <v>0.5</v>
      </c>
      <c r="S36">
        <v>0.5</v>
      </c>
      <c r="T36">
        <v>0.5</v>
      </c>
      <c r="U36">
        <v>0.5</v>
      </c>
      <c r="V36">
        <v>0.5</v>
      </c>
      <c r="W36">
        <v>0.5</v>
      </c>
      <c r="X36">
        <v>0.5</v>
      </c>
      <c r="Y36" s="216">
        <v>0.5</v>
      </c>
      <c r="Z36">
        <v>0.1</v>
      </c>
      <c r="AA36">
        <v>0.1</v>
      </c>
      <c r="AB36">
        <v>0.1</v>
      </c>
      <c r="AC36">
        <v>0.1</v>
      </c>
      <c r="AD36">
        <v>0.1</v>
      </c>
      <c r="AE36">
        <v>0.1</v>
      </c>
      <c r="AF36" s="216">
        <v>0.1</v>
      </c>
      <c r="AG36">
        <v>0.5</v>
      </c>
      <c r="AH36">
        <v>0.5</v>
      </c>
      <c r="AI36">
        <v>0.5</v>
      </c>
      <c r="AJ36">
        <v>0.5</v>
      </c>
      <c r="AK36">
        <v>0.5</v>
      </c>
      <c r="AL36">
        <v>0.5</v>
      </c>
      <c r="AM36">
        <v>0.5</v>
      </c>
      <c r="AN36">
        <v>0.5</v>
      </c>
      <c r="AO36">
        <v>0.5</v>
      </c>
      <c r="AP36">
        <v>0.5</v>
      </c>
      <c r="AQ36" s="216">
        <v>0.5</v>
      </c>
      <c r="AR36" s="216">
        <v>0.5</v>
      </c>
      <c r="AS36">
        <v>0.8</v>
      </c>
      <c r="AT36" s="216">
        <v>0.5</v>
      </c>
      <c r="AU36" s="216">
        <v>0.5</v>
      </c>
      <c r="AV36">
        <v>0.8</v>
      </c>
      <c r="AW36">
        <v>0.5</v>
      </c>
      <c r="AX36">
        <v>0.8</v>
      </c>
      <c r="AY36">
        <v>0.8</v>
      </c>
      <c r="AZ36">
        <v>0.8</v>
      </c>
      <c r="BA36">
        <v>0.8</v>
      </c>
      <c r="BB36">
        <v>0.5</v>
      </c>
      <c r="BC36">
        <v>0.8</v>
      </c>
      <c r="BD36">
        <v>0.8</v>
      </c>
      <c r="BE36">
        <v>0.8</v>
      </c>
      <c r="BF36">
        <v>0.8</v>
      </c>
      <c r="BG36">
        <v>0.8</v>
      </c>
      <c r="BH36">
        <v>0.8</v>
      </c>
      <c r="BI36">
        <v>0.8</v>
      </c>
      <c r="BJ36">
        <v>0.8</v>
      </c>
      <c r="BK36">
        <v>0.8</v>
      </c>
      <c r="BL36">
        <v>0.8</v>
      </c>
      <c r="BM36" s="216">
        <v>0.8</v>
      </c>
      <c r="BN36" s="216">
        <v>0.8</v>
      </c>
      <c r="BO36" s="216">
        <v>0.8</v>
      </c>
      <c r="BP36" s="216">
        <v>0.8</v>
      </c>
      <c r="BQ36" s="216">
        <v>0.8</v>
      </c>
      <c r="BR36" s="216">
        <v>0.8</v>
      </c>
      <c r="BS36" s="216">
        <v>0.8</v>
      </c>
      <c r="BT36" s="216">
        <v>0.8</v>
      </c>
      <c r="BU36" s="216">
        <v>0.8</v>
      </c>
      <c r="BV36" s="216">
        <v>0.8</v>
      </c>
      <c r="BW36" s="216">
        <v>0.8</v>
      </c>
      <c r="BX36" s="216">
        <v>0.8</v>
      </c>
      <c r="BY36" s="216">
        <v>0.8</v>
      </c>
      <c r="BZ36" s="216">
        <v>0.8</v>
      </c>
      <c r="CA36" s="216">
        <v>0.8</v>
      </c>
      <c r="CB36" s="216">
        <v>0.5</v>
      </c>
      <c r="CC36" s="216">
        <v>0.5</v>
      </c>
      <c r="CD36" s="216">
        <v>0.8</v>
      </c>
      <c r="CE36" s="216">
        <v>0.8</v>
      </c>
      <c r="CF36" s="216">
        <v>0.8</v>
      </c>
      <c r="CG36" s="216">
        <v>0.8</v>
      </c>
      <c r="CH36" s="216">
        <v>0.5</v>
      </c>
      <c r="CI36">
        <v>0</v>
      </c>
      <c r="CJ36" s="216">
        <v>0</v>
      </c>
      <c r="CK36" s="216">
        <v>0</v>
      </c>
      <c r="CL36" s="216">
        <v>0</v>
      </c>
      <c r="CM36" s="216">
        <v>0</v>
      </c>
    </row>
    <row r="37" spans="1:91" customFormat="1" ht="15" x14ac:dyDescent="0.5">
      <c r="A37" s="245" t="s">
        <v>204</v>
      </c>
      <c r="B37">
        <v>0</v>
      </c>
      <c r="C37">
        <v>0</v>
      </c>
      <c r="D37">
        <v>0.8</v>
      </c>
      <c r="E37">
        <v>0.8</v>
      </c>
      <c r="F37">
        <v>0.8</v>
      </c>
      <c r="G37">
        <v>0.8</v>
      </c>
      <c r="H37">
        <v>0.8</v>
      </c>
      <c r="I37">
        <v>0.8</v>
      </c>
      <c r="J37">
        <v>0.8</v>
      </c>
      <c r="K37">
        <v>0.8</v>
      </c>
      <c r="L37">
        <v>0.8</v>
      </c>
      <c r="M37">
        <v>0.8</v>
      </c>
      <c r="N37">
        <v>0.5</v>
      </c>
      <c r="O37">
        <v>0.8</v>
      </c>
      <c r="P37">
        <v>0.8</v>
      </c>
      <c r="Q37">
        <v>0.8</v>
      </c>
      <c r="R37">
        <v>0.5</v>
      </c>
      <c r="S37">
        <v>0.5</v>
      </c>
      <c r="T37">
        <v>0.5</v>
      </c>
      <c r="U37">
        <v>0.5</v>
      </c>
      <c r="V37">
        <v>0.5</v>
      </c>
      <c r="W37">
        <v>0.5</v>
      </c>
      <c r="X37">
        <v>0.5</v>
      </c>
      <c r="Y37" s="216">
        <v>0.5</v>
      </c>
      <c r="Z37">
        <v>0.1</v>
      </c>
      <c r="AA37">
        <v>0.1</v>
      </c>
      <c r="AB37">
        <v>0.1</v>
      </c>
      <c r="AC37">
        <v>0.1</v>
      </c>
      <c r="AD37">
        <v>0.1</v>
      </c>
      <c r="AE37">
        <v>0.1</v>
      </c>
      <c r="AF37" s="216">
        <v>0.1</v>
      </c>
      <c r="AG37">
        <v>0.5</v>
      </c>
      <c r="AH37">
        <v>0.5</v>
      </c>
      <c r="AI37">
        <v>0.5</v>
      </c>
      <c r="AJ37">
        <v>0.5</v>
      </c>
      <c r="AK37">
        <v>0.5</v>
      </c>
      <c r="AL37">
        <v>0.5</v>
      </c>
      <c r="AM37">
        <v>0.5</v>
      </c>
      <c r="AN37">
        <v>0.5</v>
      </c>
      <c r="AO37">
        <v>0.5</v>
      </c>
      <c r="AP37">
        <v>0.5</v>
      </c>
      <c r="AQ37" s="216">
        <v>0.5</v>
      </c>
      <c r="AR37" s="216">
        <v>0.5</v>
      </c>
      <c r="AS37">
        <v>0.8</v>
      </c>
      <c r="AT37" s="216">
        <v>0.5</v>
      </c>
      <c r="AU37" s="216">
        <v>0.5</v>
      </c>
      <c r="AV37">
        <v>0.8</v>
      </c>
      <c r="AW37">
        <v>0.5</v>
      </c>
      <c r="AX37">
        <v>0.8</v>
      </c>
      <c r="AY37">
        <v>0.8</v>
      </c>
      <c r="AZ37">
        <v>0.8</v>
      </c>
      <c r="BA37">
        <v>0.8</v>
      </c>
      <c r="BB37">
        <v>0.5</v>
      </c>
      <c r="BC37">
        <v>0.8</v>
      </c>
      <c r="BD37">
        <v>0.8</v>
      </c>
      <c r="BE37">
        <v>0.8</v>
      </c>
      <c r="BF37">
        <v>0.8</v>
      </c>
      <c r="BG37">
        <v>0.8</v>
      </c>
      <c r="BH37">
        <v>0.8</v>
      </c>
      <c r="BI37">
        <v>0.8</v>
      </c>
      <c r="BJ37">
        <v>0.8</v>
      </c>
      <c r="BK37">
        <v>0.8</v>
      </c>
      <c r="BL37">
        <v>0.8</v>
      </c>
      <c r="BM37" s="216">
        <v>0.8</v>
      </c>
      <c r="BN37" s="216">
        <v>0.8</v>
      </c>
      <c r="BO37" s="216">
        <v>0.8</v>
      </c>
      <c r="BP37" s="216">
        <v>0.8</v>
      </c>
      <c r="BQ37" s="216">
        <v>0.8</v>
      </c>
      <c r="BR37" s="216">
        <v>0.8</v>
      </c>
      <c r="BS37" s="216">
        <v>0.8</v>
      </c>
      <c r="BT37" s="216">
        <v>0.8</v>
      </c>
      <c r="BU37" s="216">
        <v>0.8</v>
      </c>
      <c r="BV37" s="216">
        <v>0.8</v>
      </c>
      <c r="BW37" s="216">
        <v>0.8</v>
      </c>
      <c r="BX37" s="216">
        <v>0.8</v>
      </c>
      <c r="BY37" s="216">
        <v>0.8</v>
      </c>
      <c r="BZ37" s="216">
        <v>0.8</v>
      </c>
      <c r="CA37" s="216">
        <v>0.8</v>
      </c>
      <c r="CB37" s="216">
        <v>0.5</v>
      </c>
      <c r="CC37" s="216">
        <v>0.5</v>
      </c>
      <c r="CD37" s="216">
        <v>0.8</v>
      </c>
      <c r="CE37" s="216">
        <v>0.8</v>
      </c>
      <c r="CF37" s="216">
        <v>0.8</v>
      </c>
      <c r="CG37" s="216">
        <v>0.8</v>
      </c>
      <c r="CH37" s="216">
        <v>0.5</v>
      </c>
      <c r="CI37">
        <v>0</v>
      </c>
      <c r="CJ37" s="216">
        <v>0</v>
      </c>
      <c r="CK37" s="216">
        <v>0</v>
      </c>
      <c r="CL37" s="216">
        <v>0</v>
      </c>
      <c r="CM37" s="216">
        <v>0</v>
      </c>
    </row>
    <row r="38" spans="1:91" customFormat="1" ht="15" x14ac:dyDescent="0.5">
      <c r="A38" s="245" t="s">
        <v>205</v>
      </c>
      <c r="B38">
        <v>0</v>
      </c>
      <c r="C38">
        <v>0</v>
      </c>
      <c r="D38">
        <v>0.8</v>
      </c>
      <c r="E38">
        <v>0.8</v>
      </c>
      <c r="F38">
        <v>0.8</v>
      </c>
      <c r="G38">
        <v>0.8</v>
      </c>
      <c r="H38">
        <v>0.8</v>
      </c>
      <c r="I38">
        <v>0.8</v>
      </c>
      <c r="J38">
        <v>0.8</v>
      </c>
      <c r="K38">
        <v>0.8</v>
      </c>
      <c r="L38">
        <v>0.8</v>
      </c>
      <c r="M38">
        <v>0.8</v>
      </c>
      <c r="N38">
        <v>0.5</v>
      </c>
      <c r="O38">
        <v>0.8</v>
      </c>
      <c r="P38">
        <v>0.8</v>
      </c>
      <c r="Q38">
        <v>0.8</v>
      </c>
      <c r="R38">
        <v>0.5</v>
      </c>
      <c r="S38">
        <v>0.5</v>
      </c>
      <c r="T38">
        <v>0.5</v>
      </c>
      <c r="U38">
        <v>0.5</v>
      </c>
      <c r="V38">
        <v>0.5</v>
      </c>
      <c r="W38">
        <v>0.5</v>
      </c>
      <c r="X38">
        <v>0.5</v>
      </c>
      <c r="Y38" s="216">
        <v>0.5</v>
      </c>
      <c r="Z38">
        <v>0.1</v>
      </c>
      <c r="AA38">
        <v>0.1</v>
      </c>
      <c r="AB38">
        <v>0.1</v>
      </c>
      <c r="AC38">
        <v>0.1</v>
      </c>
      <c r="AD38">
        <v>0.1</v>
      </c>
      <c r="AE38">
        <v>0.1</v>
      </c>
      <c r="AF38" s="216">
        <v>0.1</v>
      </c>
      <c r="AG38">
        <v>0.5</v>
      </c>
      <c r="AH38">
        <v>0.5</v>
      </c>
      <c r="AI38">
        <v>0.5</v>
      </c>
      <c r="AJ38">
        <v>0.5</v>
      </c>
      <c r="AK38">
        <v>0.5</v>
      </c>
      <c r="AL38">
        <v>0.5</v>
      </c>
      <c r="AM38">
        <v>0.5</v>
      </c>
      <c r="AN38">
        <v>0.5</v>
      </c>
      <c r="AO38">
        <v>0.5</v>
      </c>
      <c r="AP38">
        <v>0.5</v>
      </c>
      <c r="AQ38" s="216">
        <v>0.5</v>
      </c>
      <c r="AR38" s="216">
        <v>0.5</v>
      </c>
      <c r="AS38">
        <v>0.8</v>
      </c>
      <c r="AT38" s="216">
        <v>0.5</v>
      </c>
      <c r="AU38" s="216">
        <v>0.5</v>
      </c>
      <c r="AV38">
        <v>0.8</v>
      </c>
      <c r="AW38">
        <v>0.5</v>
      </c>
      <c r="AX38">
        <v>0.8</v>
      </c>
      <c r="AY38">
        <v>0.8</v>
      </c>
      <c r="AZ38">
        <v>0.8</v>
      </c>
      <c r="BA38">
        <v>0.8</v>
      </c>
      <c r="BB38">
        <v>0.5</v>
      </c>
      <c r="BC38">
        <v>0.8</v>
      </c>
      <c r="BD38">
        <v>0.8</v>
      </c>
      <c r="BE38">
        <v>0.8</v>
      </c>
      <c r="BF38">
        <v>0.8</v>
      </c>
      <c r="BG38">
        <v>0.8</v>
      </c>
      <c r="BH38">
        <v>0.8</v>
      </c>
      <c r="BI38">
        <v>0.8</v>
      </c>
      <c r="BJ38">
        <v>0.8</v>
      </c>
      <c r="BK38">
        <v>0.8</v>
      </c>
      <c r="BL38">
        <v>0.8</v>
      </c>
      <c r="BM38" s="216">
        <v>0.8</v>
      </c>
      <c r="BN38" s="216">
        <v>0.8</v>
      </c>
      <c r="BO38" s="216">
        <v>0.8</v>
      </c>
      <c r="BP38" s="216">
        <v>0.8</v>
      </c>
      <c r="BQ38" s="216">
        <v>0.8</v>
      </c>
      <c r="BR38" s="216">
        <v>0.8</v>
      </c>
      <c r="BS38" s="216">
        <v>0.8</v>
      </c>
      <c r="BT38" s="216">
        <v>0.8</v>
      </c>
      <c r="BU38" s="216">
        <v>0.8</v>
      </c>
      <c r="BV38" s="216">
        <v>0.8</v>
      </c>
      <c r="BW38" s="216">
        <v>0.8</v>
      </c>
      <c r="BX38" s="216">
        <v>0.8</v>
      </c>
      <c r="BY38" s="216">
        <v>0.8</v>
      </c>
      <c r="BZ38" s="216">
        <v>0.8</v>
      </c>
      <c r="CA38" s="216">
        <v>0.8</v>
      </c>
      <c r="CB38" s="216">
        <v>0.5</v>
      </c>
      <c r="CC38" s="216">
        <v>0.5</v>
      </c>
      <c r="CD38" s="216">
        <v>0.8</v>
      </c>
      <c r="CE38" s="216">
        <v>0.8</v>
      </c>
      <c r="CF38" s="216">
        <v>0.8</v>
      </c>
      <c r="CG38" s="216">
        <v>0.8</v>
      </c>
      <c r="CH38" s="216">
        <v>0.5</v>
      </c>
      <c r="CI38">
        <v>0</v>
      </c>
      <c r="CJ38" s="216">
        <v>0</v>
      </c>
      <c r="CK38" s="216">
        <v>0</v>
      </c>
      <c r="CL38" s="216">
        <v>0</v>
      </c>
      <c r="CM38" s="216">
        <v>0</v>
      </c>
    </row>
    <row r="39" spans="1:91" customFormat="1" ht="15" x14ac:dyDescent="0.5">
      <c r="A39" s="245" t="s">
        <v>206</v>
      </c>
      <c r="B39">
        <v>0</v>
      </c>
      <c r="C39">
        <v>0</v>
      </c>
      <c r="D39">
        <v>0.8</v>
      </c>
      <c r="E39">
        <v>0.8</v>
      </c>
      <c r="F39">
        <v>0.8</v>
      </c>
      <c r="G39">
        <v>0.8</v>
      </c>
      <c r="H39">
        <v>0.8</v>
      </c>
      <c r="I39">
        <v>0.8</v>
      </c>
      <c r="J39">
        <v>0.8</v>
      </c>
      <c r="K39">
        <v>0.8</v>
      </c>
      <c r="L39">
        <v>0.8</v>
      </c>
      <c r="M39">
        <v>0.8</v>
      </c>
      <c r="N39">
        <v>0.5</v>
      </c>
      <c r="O39">
        <v>0.8</v>
      </c>
      <c r="P39">
        <v>0.8</v>
      </c>
      <c r="Q39">
        <v>0.8</v>
      </c>
      <c r="R39">
        <v>0.5</v>
      </c>
      <c r="S39">
        <v>0.5</v>
      </c>
      <c r="T39">
        <v>0.5</v>
      </c>
      <c r="U39">
        <v>0.5</v>
      </c>
      <c r="V39">
        <v>0.5</v>
      </c>
      <c r="W39">
        <v>0.5</v>
      </c>
      <c r="X39">
        <v>0.5</v>
      </c>
      <c r="Y39" s="216">
        <v>0.5</v>
      </c>
      <c r="Z39">
        <v>0.1</v>
      </c>
      <c r="AA39">
        <v>0.1</v>
      </c>
      <c r="AB39">
        <v>0.1</v>
      </c>
      <c r="AC39">
        <v>0.1</v>
      </c>
      <c r="AD39">
        <v>0.1</v>
      </c>
      <c r="AE39">
        <v>0.1</v>
      </c>
      <c r="AF39" s="216">
        <v>0.1</v>
      </c>
      <c r="AG39">
        <v>0.5</v>
      </c>
      <c r="AH39">
        <v>0.5</v>
      </c>
      <c r="AI39">
        <v>0.5</v>
      </c>
      <c r="AJ39">
        <v>0.5</v>
      </c>
      <c r="AK39">
        <v>0.5</v>
      </c>
      <c r="AL39">
        <v>0.5</v>
      </c>
      <c r="AM39">
        <v>0.5</v>
      </c>
      <c r="AN39">
        <v>0.5</v>
      </c>
      <c r="AO39">
        <v>0.5</v>
      </c>
      <c r="AP39">
        <v>0.5</v>
      </c>
      <c r="AQ39" s="216">
        <v>0.5</v>
      </c>
      <c r="AR39" s="216">
        <v>0.5</v>
      </c>
      <c r="AS39">
        <v>0.8</v>
      </c>
      <c r="AT39" s="216">
        <v>0.5</v>
      </c>
      <c r="AU39" s="216">
        <v>0.5</v>
      </c>
      <c r="AV39">
        <v>0.8</v>
      </c>
      <c r="AW39">
        <v>0.5</v>
      </c>
      <c r="AX39">
        <v>0.8</v>
      </c>
      <c r="AY39">
        <v>0.8</v>
      </c>
      <c r="AZ39">
        <v>0.8</v>
      </c>
      <c r="BA39">
        <v>0.8</v>
      </c>
      <c r="BB39">
        <v>0.5</v>
      </c>
      <c r="BC39">
        <v>0.8</v>
      </c>
      <c r="BD39">
        <v>0.8</v>
      </c>
      <c r="BE39">
        <v>0.8</v>
      </c>
      <c r="BF39">
        <v>0.8</v>
      </c>
      <c r="BG39">
        <v>0.8</v>
      </c>
      <c r="BH39">
        <v>0.8</v>
      </c>
      <c r="BI39">
        <v>0.8</v>
      </c>
      <c r="BJ39">
        <v>0.8</v>
      </c>
      <c r="BK39">
        <v>0.8</v>
      </c>
      <c r="BL39">
        <v>0.8</v>
      </c>
      <c r="BM39" s="216">
        <v>0.8</v>
      </c>
      <c r="BN39" s="216">
        <v>0.8</v>
      </c>
      <c r="BO39" s="216">
        <v>0.8</v>
      </c>
      <c r="BP39" s="216">
        <v>0.8</v>
      </c>
      <c r="BQ39" s="216">
        <v>0.8</v>
      </c>
      <c r="BR39" s="216">
        <v>0.8</v>
      </c>
      <c r="BS39" s="216">
        <v>0.8</v>
      </c>
      <c r="BT39" s="216">
        <v>0.8</v>
      </c>
      <c r="BU39" s="216">
        <v>0.8</v>
      </c>
      <c r="BV39" s="216">
        <v>0.8</v>
      </c>
      <c r="BW39" s="216">
        <v>0.8</v>
      </c>
      <c r="BX39" s="216">
        <v>0.8</v>
      </c>
      <c r="BY39" s="216">
        <v>0.8</v>
      </c>
      <c r="BZ39" s="216">
        <v>0.8</v>
      </c>
      <c r="CA39" s="216">
        <v>0.8</v>
      </c>
      <c r="CB39" s="216">
        <v>0.5</v>
      </c>
      <c r="CC39" s="216">
        <v>0.5</v>
      </c>
      <c r="CD39" s="216">
        <v>0.8</v>
      </c>
      <c r="CE39" s="216">
        <v>0.8</v>
      </c>
      <c r="CF39" s="216">
        <v>0.8</v>
      </c>
      <c r="CG39" s="216">
        <v>0.8</v>
      </c>
      <c r="CH39" s="216">
        <v>0.5</v>
      </c>
      <c r="CI39">
        <v>0</v>
      </c>
      <c r="CJ39" s="216">
        <v>0</v>
      </c>
      <c r="CK39" s="216">
        <v>0</v>
      </c>
      <c r="CL39" s="216">
        <v>0</v>
      </c>
      <c r="CM39" s="216">
        <v>0</v>
      </c>
    </row>
    <row r="40" spans="1:91" customFormat="1" ht="15" x14ac:dyDescent="0.5">
      <c r="A40" s="245" t="s">
        <v>207</v>
      </c>
      <c r="B40">
        <v>0</v>
      </c>
      <c r="C40">
        <v>0</v>
      </c>
      <c r="D40">
        <v>0.8</v>
      </c>
      <c r="E40">
        <v>0.8</v>
      </c>
      <c r="F40">
        <v>0.8</v>
      </c>
      <c r="G40">
        <v>0.8</v>
      </c>
      <c r="H40">
        <v>0.8</v>
      </c>
      <c r="I40">
        <v>0.8</v>
      </c>
      <c r="J40">
        <v>0.8</v>
      </c>
      <c r="K40">
        <v>0.8</v>
      </c>
      <c r="L40">
        <v>0.8</v>
      </c>
      <c r="M40">
        <v>0.8</v>
      </c>
      <c r="N40">
        <v>0.5</v>
      </c>
      <c r="O40">
        <v>0.8</v>
      </c>
      <c r="P40">
        <v>0.8</v>
      </c>
      <c r="Q40">
        <v>0.8</v>
      </c>
      <c r="R40">
        <v>0.5</v>
      </c>
      <c r="S40">
        <v>0.5</v>
      </c>
      <c r="T40">
        <v>0.5</v>
      </c>
      <c r="U40">
        <v>0.5</v>
      </c>
      <c r="V40">
        <v>0.5</v>
      </c>
      <c r="W40">
        <v>0.5</v>
      </c>
      <c r="X40">
        <v>0.5</v>
      </c>
      <c r="Y40" s="216">
        <v>0.5</v>
      </c>
      <c r="Z40">
        <v>0.1</v>
      </c>
      <c r="AA40">
        <v>0.1</v>
      </c>
      <c r="AB40">
        <v>0.1</v>
      </c>
      <c r="AC40">
        <v>0.1</v>
      </c>
      <c r="AD40">
        <v>0.1</v>
      </c>
      <c r="AE40">
        <v>0.1</v>
      </c>
      <c r="AF40" s="216">
        <v>0.1</v>
      </c>
      <c r="AG40">
        <v>0.5</v>
      </c>
      <c r="AH40">
        <v>0.5</v>
      </c>
      <c r="AI40">
        <v>0.5</v>
      </c>
      <c r="AJ40">
        <v>0.5</v>
      </c>
      <c r="AK40">
        <v>0.5</v>
      </c>
      <c r="AL40">
        <v>0.5</v>
      </c>
      <c r="AM40">
        <v>0.5</v>
      </c>
      <c r="AN40">
        <v>0.5</v>
      </c>
      <c r="AO40">
        <v>0.5</v>
      </c>
      <c r="AP40">
        <v>0.5</v>
      </c>
      <c r="AQ40" s="216">
        <v>0.5</v>
      </c>
      <c r="AR40" s="216">
        <v>0.5</v>
      </c>
      <c r="AS40">
        <v>0.8</v>
      </c>
      <c r="AT40" s="216">
        <v>0.5</v>
      </c>
      <c r="AU40" s="216">
        <v>0.5</v>
      </c>
      <c r="AV40">
        <v>0.8</v>
      </c>
      <c r="AW40">
        <v>0.5</v>
      </c>
      <c r="AX40">
        <v>0.8</v>
      </c>
      <c r="AY40">
        <v>0.8</v>
      </c>
      <c r="AZ40">
        <v>0.8</v>
      </c>
      <c r="BA40">
        <v>0.8</v>
      </c>
      <c r="BB40">
        <v>0.5</v>
      </c>
      <c r="BC40">
        <v>0.8</v>
      </c>
      <c r="BD40">
        <v>0.8</v>
      </c>
      <c r="BE40">
        <v>0.8</v>
      </c>
      <c r="BF40">
        <v>0.8</v>
      </c>
      <c r="BG40">
        <v>0.8</v>
      </c>
      <c r="BH40">
        <v>0.8</v>
      </c>
      <c r="BI40">
        <v>0.8</v>
      </c>
      <c r="BJ40">
        <v>0.8</v>
      </c>
      <c r="BK40">
        <v>0.8</v>
      </c>
      <c r="BL40">
        <v>0.8</v>
      </c>
      <c r="BM40" s="216">
        <v>0.8</v>
      </c>
      <c r="BN40" s="216">
        <v>0.8</v>
      </c>
      <c r="BO40" s="216">
        <v>0.8</v>
      </c>
      <c r="BP40" s="216">
        <v>0.8</v>
      </c>
      <c r="BQ40" s="216">
        <v>0.8</v>
      </c>
      <c r="BR40" s="216">
        <v>0.8</v>
      </c>
      <c r="BS40" s="216">
        <v>0.8</v>
      </c>
      <c r="BT40" s="216">
        <v>0.8</v>
      </c>
      <c r="BU40" s="216">
        <v>0.8</v>
      </c>
      <c r="BV40" s="216">
        <v>0.8</v>
      </c>
      <c r="BW40" s="216">
        <v>0.8</v>
      </c>
      <c r="BX40" s="216">
        <v>0.8</v>
      </c>
      <c r="BY40" s="216">
        <v>0.8</v>
      </c>
      <c r="BZ40" s="216">
        <v>0.8</v>
      </c>
      <c r="CA40" s="216">
        <v>0.8</v>
      </c>
      <c r="CB40" s="216">
        <v>0.5</v>
      </c>
      <c r="CC40" s="216">
        <v>0.5</v>
      </c>
      <c r="CD40" s="216">
        <v>0.8</v>
      </c>
      <c r="CE40" s="216">
        <v>0.8</v>
      </c>
      <c r="CF40" s="216">
        <v>0.8</v>
      </c>
      <c r="CG40" s="216">
        <v>0.8</v>
      </c>
      <c r="CH40" s="216">
        <v>0.5</v>
      </c>
      <c r="CI40">
        <v>0</v>
      </c>
      <c r="CJ40" s="216">
        <v>0</v>
      </c>
      <c r="CK40" s="216">
        <v>0</v>
      </c>
      <c r="CL40" s="216">
        <v>0</v>
      </c>
      <c r="CM40" s="216">
        <v>0</v>
      </c>
    </row>
    <row r="41" spans="1:91" customFormat="1" ht="15" x14ac:dyDescent="0.5">
      <c r="A41" s="245" t="s">
        <v>208</v>
      </c>
      <c r="B41">
        <v>0</v>
      </c>
      <c r="C41">
        <v>0</v>
      </c>
      <c r="D41">
        <v>0.8</v>
      </c>
      <c r="E41">
        <v>0.8</v>
      </c>
      <c r="F41">
        <v>0.8</v>
      </c>
      <c r="G41">
        <v>0.8</v>
      </c>
      <c r="H41">
        <v>0.8</v>
      </c>
      <c r="I41">
        <v>0.8</v>
      </c>
      <c r="J41">
        <v>0.8</v>
      </c>
      <c r="K41">
        <v>0.8</v>
      </c>
      <c r="L41">
        <v>0.8</v>
      </c>
      <c r="M41">
        <v>0.8</v>
      </c>
      <c r="N41">
        <v>0.5</v>
      </c>
      <c r="O41">
        <v>0.8</v>
      </c>
      <c r="P41">
        <v>0.8</v>
      </c>
      <c r="Q41">
        <v>0.8</v>
      </c>
      <c r="R41">
        <v>0.5</v>
      </c>
      <c r="S41">
        <v>0.5</v>
      </c>
      <c r="T41">
        <v>0.5</v>
      </c>
      <c r="U41">
        <v>0.5</v>
      </c>
      <c r="V41">
        <v>0.5</v>
      </c>
      <c r="W41">
        <v>0.5</v>
      </c>
      <c r="X41">
        <v>0.5</v>
      </c>
      <c r="Y41" s="216">
        <v>0.5</v>
      </c>
      <c r="Z41">
        <v>0.1</v>
      </c>
      <c r="AA41">
        <v>0.1</v>
      </c>
      <c r="AB41">
        <v>0.1</v>
      </c>
      <c r="AC41">
        <v>0.1</v>
      </c>
      <c r="AD41">
        <v>0.1</v>
      </c>
      <c r="AE41">
        <v>0.1</v>
      </c>
      <c r="AF41" s="216">
        <v>0.1</v>
      </c>
      <c r="AG41">
        <v>0.5</v>
      </c>
      <c r="AH41">
        <v>0.5</v>
      </c>
      <c r="AI41">
        <v>0.5</v>
      </c>
      <c r="AJ41">
        <v>0.5</v>
      </c>
      <c r="AK41">
        <v>0.5</v>
      </c>
      <c r="AL41">
        <v>0.5</v>
      </c>
      <c r="AM41">
        <v>0.5</v>
      </c>
      <c r="AN41">
        <v>0.5</v>
      </c>
      <c r="AO41">
        <v>0.5</v>
      </c>
      <c r="AP41">
        <v>0.5</v>
      </c>
      <c r="AQ41" s="216">
        <v>0.5</v>
      </c>
      <c r="AR41" s="216">
        <v>0.5</v>
      </c>
      <c r="AS41">
        <v>0.8</v>
      </c>
      <c r="AT41" s="216">
        <v>0.5</v>
      </c>
      <c r="AU41" s="216">
        <v>0.5</v>
      </c>
      <c r="AV41">
        <v>0.8</v>
      </c>
      <c r="AW41">
        <v>0.5</v>
      </c>
      <c r="AX41">
        <v>0.8</v>
      </c>
      <c r="AY41">
        <v>0.8</v>
      </c>
      <c r="AZ41">
        <v>0.8</v>
      </c>
      <c r="BA41">
        <v>0.8</v>
      </c>
      <c r="BB41">
        <v>0.5</v>
      </c>
      <c r="BC41">
        <v>0.8</v>
      </c>
      <c r="BD41">
        <v>0.8</v>
      </c>
      <c r="BE41">
        <v>0.8</v>
      </c>
      <c r="BF41">
        <v>0.8</v>
      </c>
      <c r="BG41">
        <v>0.8</v>
      </c>
      <c r="BH41">
        <v>0.8</v>
      </c>
      <c r="BI41">
        <v>0.8</v>
      </c>
      <c r="BJ41">
        <v>0.8</v>
      </c>
      <c r="BK41">
        <v>0.8</v>
      </c>
      <c r="BL41">
        <v>0.8</v>
      </c>
      <c r="BM41" s="216">
        <v>0.8</v>
      </c>
      <c r="BN41" s="216">
        <v>0.8</v>
      </c>
      <c r="BO41" s="216">
        <v>0.8</v>
      </c>
      <c r="BP41" s="216">
        <v>0.8</v>
      </c>
      <c r="BQ41" s="216">
        <v>0.8</v>
      </c>
      <c r="BR41" s="216">
        <v>0.8</v>
      </c>
      <c r="BS41" s="216">
        <v>0.8</v>
      </c>
      <c r="BT41" s="216">
        <v>0.8</v>
      </c>
      <c r="BU41" s="216">
        <v>0.8</v>
      </c>
      <c r="BV41" s="216">
        <v>0.8</v>
      </c>
      <c r="BW41" s="216">
        <v>0.8</v>
      </c>
      <c r="BX41" s="216">
        <v>0.8</v>
      </c>
      <c r="BY41" s="216">
        <v>0.8</v>
      </c>
      <c r="BZ41" s="216">
        <v>0.8</v>
      </c>
      <c r="CA41" s="216">
        <v>0.8</v>
      </c>
      <c r="CB41" s="216">
        <v>0.5</v>
      </c>
      <c r="CC41" s="216">
        <v>0.5</v>
      </c>
      <c r="CD41" s="216">
        <v>0.8</v>
      </c>
      <c r="CE41" s="216">
        <v>0.8</v>
      </c>
      <c r="CF41" s="216">
        <v>0.8</v>
      </c>
      <c r="CG41" s="216">
        <v>0.8</v>
      </c>
      <c r="CH41" s="216">
        <v>0.5</v>
      </c>
      <c r="CI41">
        <v>0</v>
      </c>
      <c r="CJ41" s="216">
        <v>0</v>
      </c>
      <c r="CK41" s="216">
        <v>0</v>
      </c>
      <c r="CL41" s="216">
        <v>0</v>
      </c>
      <c r="CM41" s="216">
        <v>0</v>
      </c>
    </row>
    <row r="42" spans="1:91" customFormat="1" ht="15" x14ac:dyDescent="0.5">
      <c r="A42" s="245" t="s">
        <v>209</v>
      </c>
      <c r="B42">
        <v>0</v>
      </c>
      <c r="C42">
        <v>0</v>
      </c>
      <c r="D42">
        <v>0.8</v>
      </c>
      <c r="E42">
        <v>0.8</v>
      </c>
      <c r="F42">
        <v>0.8</v>
      </c>
      <c r="G42">
        <v>0.8</v>
      </c>
      <c r="H42">
        <v>0.8</v>
      </c>
      <c r="I42">
        <v>0.8</v>
      </c>
      <c r="J42">
        <v>0.8</v>
      </c>
      <c r="K42">
        <v>0.8</v>
      </c>
      <c r="L42">
        <v>0.8</v>
      </c>
      <c r="M42">
        <v>0.8</v>
      </c>
      <c r="N42">
        <v>0.5</v>
      </c>
      <c r="O42">
        <v>0.8</v>
      </c>
      <c r="P42">
        <v>0.8</v>
      </c>
      <c r="Q42">
        <v>0.8</v>
      </c>
      <c r="R42">
        <v>0.5</v>
      </c>
      <c r="S42">
        <v>0.5</v>
      </c>
      <c r="T42">
        <v>0.5</v>
      </c>
      <c r="U42">
        <v>0.5</v>
      </c>
      <c r="V42">
        <v>0.5</v>
      </c>
      <c r="W42">
        <v>0.5</v>
      </c>
      <c r="X42">
        <v>0.5</v>
      </c>
      <c r="Y42" s="216">
        <v>0.5</v>
      </c>
      <c r="Z42">
        <v>0.1</v>
      </c>
      <c r="AA42">
        <v>0.1</v>
      </c>
      <c r="AB42">
        <v>0.1</v>
      </c>
      <c r="AC42">
        <v>0.1</v>
      </c>
      <c r="AD42">
        <v>0.1</v>
      </c>
      <c r="AE42">
        <v>0.1</v>
      </c>
      <c r="AF42" s="216">
        <v>0.1</v>
      </c>
      <c r="AG42">
        <v>0.5</v>
      </c>
      <c r="AH42">
        <v>0.5</v>
      </c>
      <c r="AI42">
        <v>0.5</v>
      </c>
      <c r="AJ42">
        <v>0.5</v>
      </c>
      <c r="AK42">
        <v>0.5</v>
      </c>
      <c r="AL42">
        <v>0.5</v>
      </c>
      <c r="AM42">
        <v>0.5</v>
      </c>
      <c r="AN42">
        <v>0.5</v>
      </c>
      <c r="AO42">
        <v>0.5</v>
      </c>
      <c r="AP42">
        <v>0.5</v>
      </c>
      <c r="AQ42" s="216">
        <v>0.5</v>
      </c>
      <c r="AR42" s="216">
        <v>0.5</v>
      </c>
      <c r="AS42">
        <v>0.8</v>
      </c>
      <c r="AT42" s="216">
        <v>0.5</v>
      </c>
      <c r="AU42" s="216">
        <v>0.5</v>
      </c>
      <c r="AV42">
        <v>0.8</v>
      </c>
      <c r="AW42">
        <v>0.5</v>
      </c>
      <c r="AX42">
        <v>0.8</v>
      </c>
      <c r="AY42">
        <v>0.8</v>
      </c>
      <c r="AZ42">
        <v>0.8</v>
      </c>
      <c r="BA42">
        <v>0.8</v>
      </c>
      <c r="BB42">
        <v>0.5</v>
      </c>
      <c r="BC42">
        <v>0.8</v>
      </c>
      <c r="BD42">
        <v>0.8</v>
      </c>
      <c r="BE42">
        <v>0.8</v>
      </c>
      <c r="BF42">
        <v>0.8</v>
      </c>
      <c r="BG42">
        <v>0.8</v>
      </c>
      <c r="BH42">
        <v>0.8</v>
      </c>
      <c r="BI42">
        <v>0.8</v>
      </c>
      <c r="BJ42">
        <v>0.8</v>
      </c>
      <c r="BK42">
        <v>0.8</v>
      </c>
      <c r="BL42">
        <v>0.8</v>
      </c>
      <c r="BM42" s="216">
        <v>0.8</v>
      </c>
      <c r="BN42" s="216">
        <v>0.8</v>
      </c>
      <c r="BO42" s="216">
        <v>0.8</v>
      </c>
      <c r="BP42" s="216">
        <v>0.8</v>
      </c>
      <c r="BQ42" s="216">
        <v>0.8</v>
      </c>
      <c r="BR42" s="216">
        <v>0.8</v>
      </c>
      <c r="BS42" s="216">
        <v>0.8</v>
      </c>
      <c r="BT42" s="216">
        <v>0.8</v>
      </c>
      <c r="BU42" s="216">
        <v>0.8</v>
      </c>
      <c r="BV42" s="216">
        <v>0.8</v>
      </c>
      <c r="BW42" s="216">
        <v>0.8</v>
      </c>
      <c r="BX42" s="216">
        <v>0.8</v>
      </c>
      <c r="BY42" s="216">
        <v>0.8</v>
      </c>
      <c r="BZ42" s="216">
        <v>0.8</v>
      </c>
      <c r="CA42" s="216">
        <v>0.8</v>
      </c>
      <c r="CB42" s="216">
        <v>0.5</v>
      </c>
      <c r="CC42" s="216">
        <v>0.5</v>
      </c>
      <c r="CD42" s="216">
        <v>0.8</v>
      </c>
      <c r="CE42" s="216">
        <v>0.8</v>
      </c>
      <c r="CF42" s="216">
        <v>0.8</v>
      </c>
      <c r="CG42" s="216">
        <v>0.8</v>
      </c>
      <c r="CH42" s="216">
        <v>0.5</v>
      </c>
      <c r="CI42">
        <v>0</v>
      </c>
      <c r="CJ42" s="216">
        <v>0</v>
      </c>
      <c r="CK42" s="216">
        <v>0</v>
      </c>
      <c r="CL42" s="216">
        <v>0</v>
      </c>
      <c r="CM42" s="216">
        <v>0</v>
      </c>
    </row>
    <row r="43" spans="1:91" customFormat="1" ht="15" x14ac:dyDescent="0.5">
      <c r="A43" s="245" t="s">
        <v>210</v>
      </c>
      <c r="B43">
        <v>0</v>
      </c>
      <c r="C43">
        <v>0</v>
      </c>
      <c r="D43">
        <v>0.8</v>
      </c>
      <c r="E43">
        <v>0.8</v>
      </c>
      <c r="F43">
        <v>0.8</v>
      </c>
      <c r="G43">
        <v>0.8</v>
      </c>
      <c r="H43">
        <v>0.8</v>
      </c>
      <c r="I43">
        <v>0.8</v>
      </c>
      <c r="J43">
        <v>0.8</v>
      </c>
      <c r="K43">
        <v>0.8</v>
      </c>
      <c r="L43">
        <v>0.8</v>
      </c>
      <c r="M43">
        <v>0.8</v>
      </c>
      <c r="N43">
        <v>0.5</v>
      </c>
      <c r="O43">
        <v>0.8</v>
      </c>
      <c r="P43">
        <v>0.8</v>
      </c>
      <c r="Q43">
        <v>0.8</v>
      </c>
      <c r="R43">
        <v>0.5</v>
      </c>
      <c r="S43">
        <v>0.5</v>
      </c>
      <c r="T43">
        <v>0.5</v>
      </c>
      <c r="U43">
        <v>0.5</v>
      </c>
      <c r="V43">
        <v>0.5</v>
      </c>
      <c r="W43">
        <v>0.5</v>
      </c>
      <c r="X43">
        <v>0.5</v>
      </c>
      <c r="Y43" s="216">
        <v>0.5</v>
      </c>
      <c r="Z43">
        <v>0.1</v>
      </c>
      <c r="AA43">
        <v>0.1</v>
      </c>
      <c r="AB43">
        <v>0.1</v>
      </c>
      <c r="AC43">
        <v>0.1</v>
      </c>
      <c r="AD43">
        <v>0.1</v>
      </c>
      <c r="AE43">
        <v>0.1</v>
      </c>
      <c r="AF43" s="216">
        <v>0.1</v>
      </c>
      <c r="AG43">
        <v>0.5</v>
      </c>
      <c r="AH43">
        <v>0.5</v>
      </c>
      <c r="AI43">
        <v>0.5</v>
      </c>
      <c r="AJ43">
        <v>0.5</v>
      </c>
      <c r="AK43">
        <v>0.5</v>
      </c>
      <c r="AL43">
        <v>0.5</v>
      </c>
      <c r="AM43">
        <v>0.5</v>
      </c>
      <c r="AN43">
        <v>0.5</v>
      </c>
      <c r="AO43">
        <v>0.5</v>
      </c>
      <c r="AP43">
        <v>0.5</v>
      </c>
      <c r="AQ43" s="216">
        <v>0.5</v>
      </c>
      <c r="AR43" s="216">
        <v>0.5</v>
      </c>
      <c r="AS43">
        <v>0.8</v>
      </c>
      <c r="AT43" s="216">
        <v>0.5</v>
      </c>
      <c r="AU43" s="216">
        <v>0.5</v>
      </c>
      <c r="AV43">
        <v>0.8</v>
      </c>
      <c r="AW43">
        <v>0.5</v>
      </c>
      <c r="AX43">
        <v>0.8</v>
      </c>
      <c r="AY43">
        <v>0.8</v>
      </c>
      <c r="AZ43">
        <v>0.8</v>
      </c>
      <c r="BA43">
        <v>0.8</v>
      </c>
      <c r="BB43">
        <v>0.5</v>
      </c>
      <c r="BC43">
        <v>0.8</v>
      </c>
      <c r="BD43">
        <v>0.8</v>
      </c>
      <c r="BE43">
        <v>0.8</v>
      </c>
      <c r="BF43">
        <v>0.8</v>
      </c>
      <c r="BG43">
        <v>0.8</v>
      </c>
      <c r="BH43">
        <v>0.8</v>
      </c>
      <c r="BI43">
        <v>0.8</v>
      </c>
      <c r="BJ43">
        <v>0.8</v>
      </c>
      <c r="BK43">
        <v>0.8</v>
      </c>
      <c r="BL43">
        <v>0.8</v>
      </c>
      <c r="BM43" s="216">
        <v>0.8</v>
      </c>
      <c r="BN43" s="216">
        <v>0.8</v>
      </c>
      <c r="BO43" s="216">
        <v>0.8</v>
      </c>
      <c r="BP43" s="216">
        <v>0.8</v>
      </c>
      <c r="BQ43" s="216">
        <v>0.8</v>
      </c>
      <c r="BR43" s="216">
        <v>0.8</v>
      </c>
      <c r="BS43" s="216">
        <v>0.8</v>
      </c>
      <c r="BT43" s="216">
        <v>0.8</v>
      </c>
      <c r="BU43" s="216">
        <v>0.8</v>
      </c>
      <c r="BV43" s="216">
        <v>0.8</v>
      </c>
      <c r="BW43" s="216">
        <v>0.8</v>
      </c>
      <c r="BX43" s="216">
        <v>0.8</v>
      </c>
      <c r="BY43" s="216">
        <v>0.8</v>
      </c>
      <c r="BZ43" s="216">
        <v>0.8</v>
      </c>
      <c r="CA43" s="216">
        <v>0.8</v>
      </c>
      <c r="CB43" s="216">
        <v>0.5</v>
      </c>
      <c r="CC43" s="216">
        <v>0.5</v>
      </c>
      <c r="CD43" s="216">
        <v>0.8</v>
      </c>
      <c r="CE43" s="216">
        <v>0.8</v>
      </c>
      <c r="CF43" s="216">
        <v>0.8</v>
      </c>
      <c r="CG43" s="216">
        <v>0.8</v>
      </c>
      <c r="CH43" s="216">
        <v>0.5</v>
      </c>
      <c r="CI43">
        <v>0</v>
      </c>
      <c r="CJ43" s="216">
        <v>0</v>
      </c>
      <c r="CK43" s="216">
        <v>0</v>
      </c>
      <c r="CL43" s="216">
        <v>0</v>
      </c>
      <c r="CM43" s="216">
        <v>0</v>
      </c>
    </row>
    <row r="44" spans="1:91" customFormat="1" ht="15" x14ac:dyDescent="0.5">
      <c r="A44" s="245" t="s">
        <v>211</v>
      </c>
      <c r="B44">
        <v>0</v>
      </c>
      <c r="C44">
        <v>0</v>
      </c>
      <c r="D44">
        <v>0.8</v>
      </c>
      <c r="E44">
        <v>0.8</v>
      </c>
      <c r="F44">
        <v>0.8</v>
      </c>
      <c r="G44">
        <v>0.8</v>
      </c>
      <c r="H44">
        <v>0.8</v>
      </c>
      <c r="I44">
        <v>0.8</v>
      </c>
      <c r="J44">
        <v>0.8</v>
      </c>
      <c r="K44">
        <v>0.8</v>
      </c>
      <c r="L44">
        <v>0.8</v>
      </c>
      <c r="M44">
        <v>0.8</v>
      </c>
      <c r="N44">
        <v>0.5</v>
      </c>
      <c r="O44">
        <v>0.8</v>
      </c>
      <c r="P44">
        <v>0.8</v>
      </c>
      <c r="Q44">
        <v>0.8</v>
      </c>
      <c r="R44">
        <v>0.5</v>
      </c>
      <c r="S44">
        <v>0.5</v>
      </c>
      <c r="T44">
        <v>0.5</v>
      </c>
      <c r="U44">
        <v>0.5</v>
      </c>
      <c r="V44">
        <v>0.5</v>
      </c>
      <c r="W44">
        <v>0.5</v>
      </c>
      <c r="X44">
        <v>0.5</v>
      </c>
      <c r="Y44" s="216">
        <v>0.5</v>
      </c>
      <c r="Z44">
        <v>0.1</v>
      </c>
      <c r="AA44">
        <v>0.1</v>
      </c>
      <c r="AB44">
        <v>0.1</v>
      </c>
      <c r="AC44">
        <v>0.1</v>
      </c>
      <c r="AD44">
        <v>0.1</v>
      </c>
      <c r="AE44">
        <v>0.1</v>
      </c>
      <c r="AF44" s="216">
        <v>0.1</v>
      </c>
      <c r="AG44">
        <v>0.5</v>
      </c>
      <c r="AH44">
        <v>0.5</v>
      </c>
      <c r="AI44">
        <v>0.5</v>
      </c>
      <c r="AJ44">
        <v>0.5</v>
      </c>
      <c r="AK44">
        <v>0.5</v>
      </c>
      <c r="AL44">
        <v>0.5</v>
      </c>
      <c r="AM44">
        <v>0.5</v>
      </c>
      <c r="AN44">
        <v>0.5</v>
      </c>
      <c r="AO44">
        <v>0.5</v>
      </c>
      <c r="AP44">
        <v>0.5</v>
      </c>
      <c r="AQ44" s="216">
        <v>0.5</v>
      </c>
      <c r="AR44" s="216">
        <v>0.5</v>
      </c>
      <c r="AS44">
        <v>0.8</v>
      </c>
      <c r="AT44" s="216">
        <v>0.5</v>
      </c>
      <c r="AU44" s="216">
        <v>0.5</v>
      </c>
      <c r="AV44">
        <v>0.8</v>
      </c>
      <c r="AW44">
        <v>0.5</v>
      </c>
      <c r="AX44">
        <v>0.8</v>
      </c>
      <c r="AY44">
        <v>0.8</v>
      </c>
      <c r="AZ44">
        <v>0.8</v>
      </c>
      <c r="BA44">
        <v>0.8</v>
      </c>
      <c r="BB44">
        <v>0.5</v>
      </c>
      <c r="BC44">
        <v>0.8</v>
      </c>
      <c r="BD44">
        <v>0.8</v>
      </c>
      <c r="BE44">
        <v>0.8</v>
      </c>
      <c r="BF44">
        <v>0.8</v>
      </c>
      <c r="BG44">
        <v>0.8</v>
      </c>
      <c r="BH44">
        <v>0.8</v>
      </c>
      <c r="BI44">
        <v>0.8</v>
      </c>
      <c r="BJ44">
        <v>0.8</v>
      </c>
      <c r="BK44">
        <v>0.8</v>
      </c>
      <c r="BL44">
        <v>0.8</v>
      </c>
      <c r="BM44" s="216">
        <v>0.8</v>
      </c>
      <c r="BN44" s="216">
        <v>0.8</v>
      </c>
      <c r="BO44" s="216">
        <v>0.8</v>
      </c>
      <c r="BP44" s="216">
        <v>0.8</v>
      </c>
      <c r="BQ44" s="216">
        <v>0.8</v>
      </c>
      <c r="BR44" s="216">
        <v>0.8</v>
      </c>
      <c r="BS44" s="216">
        <v>0.8</v>
      </c>
      <c r="BT44" s="216">
        <v>0.8</v>
      </c>
      <c r="BU44" s="216">
        <v>0.8</v>
      </c>
      <c r="BV44" s="216">
        <v>0.8</v>
      </c>
      <c r="BW44" s="216">
        <v>0.8</v>
      </c>
      <c r="BX44" s="216">
        <v>0.8</v>
      </c>
      <c r="BY44" s="216">
        <v>0.8</v>
      </c>
      <c r="BZ44" s="216">
        <v>0.8</v>
      </c>
      <c r="CA44" s="216">
        <v>0.8</v>
      </c>
      <c r="CB44" s="216">
        <v>0.5</v>
      </c>
      <c r="CC44" s="216">
        <v>0.5</v>
      </c>
      <c r="CD44" s="216">
        <v>0.8</v>
      </c>
      <c r="CE44" s="216">
        <v>0.8</v>
      </c>
      <c r="CF44" s="216">
        <v>0.8</v>
      </c>
      <c r="CG44" s="216">
        <v>0.8</v>
      </c>
      <c r="CH44" s="216">
        <v>0.5</v>
      </c>
      <c r="CI44">
        <v>0</v>
      </c>
      <c r="CJ44" s="216">
        <v>0</v>
      </c>
      <c r="CK44" s="216">
        <v>0</v>
      </c>
      <c r="CL44" s="216">
        <v>0</v>
      </c>
      <c r="CM44" s="216">
        <v>0</v>
      </c>
    </row>
    <row r="45" spans="1:91" customFormat="1" ht="15" x14ac:dyDescent="0.5">
      <c r="A45" s="245" t="s">
        <v>212</v>
      </c>
      <c r="B45">
        <v>0</v>
      </c>
      <c r="C45">
        <v>0</v>
      </c>
      <c r="D45">
        <v>0.8</v>
      </c>
      <c r="E45">
        <v>0.8</v>
      </c>
      <c r="F45">
        <v>0.8</v>
      </c>
      <c r="G45">
        <v>0.8</v>
      </c>
      <c r="H45">
        <v>0.8</v>
      </c>
      <c r="I45">
        <v>0.8</v>
      </c>
      <c r="J45">
        <v>0.8</v>
      </c>
      <c r="K45">
        <v>0.8</v>
      </c>
      <c r="L45">
        <v>0.8</v>
      </c>
      <c r="M45">
        <v>0.8</v>
      </c>
      <c r="N45">
        <v>0.5</v>
      </c>
      <c r="O45">
        <v>0.8</v>
      </c>
      <c r="P45">
        <v>0.8</v>
      </c>
      <c r="Q45">
        <v>0.8</v>
      </c>
      <c r="R45">
        <v>0.5</v>
      </c>
      <c r="S45">
        <v>0.5</v>
      </c>
      <c r="T45">
        <v>0.5</v>
      </c>
      <c r="U45">
        <v>0.5</v>
      </c>
      <c r="V45">
        <v>0.5</v>
      </c>
      <c r="W45">
        <v>0.5</v>
      </c>
      <c r="X45">
        <v>0.5</v>
      </c>
      <c r="Y45" s="216">
        <v>0.5</v>
      </c>
      <c r="Z45">
        <v>0.1</v>
      </c>
      <c r="AA45">
        <v>0.1</v>
      </c>
      <c r="AB45">
        <v>0.1</v>
      </c>
      <c r="AC45">
        <v>0.1</v>
      </c>
      <c r="AD45">
        <v>0.1</v>
      </c>
      <c r="AE45">
        <v>0.1</v>
      </c>
      <c r="AF45" s="216">
        <v>0.1</v>
      </c>
      <c r="AG45">
        <v>0.5</v>
      </c>
      <c r="AH45">
        <v>0.5</v>
      </c>
      <c r="AI45">
        <v>0.5</v>
      </c>
      <c r="AJ45">
        <v>0.5</v>
      </c>
      <c r="AK45">
        <v>0.5</v>
      </c>
      <c r="AL45">
        <v>0.5</v>
      </c>
      <c r="AM45">
        <v>0.5</v>
      </c>
      <c r="AN45">
        <v>0.5</v>
      </c>
      <c r="AO45">
        <v>0.5</v>
      </c>
      <c r="AP45">
        <v>0.5</v>
      </c>
      <c r="AQ45" s="216">
        <v>0.5</v>
      </c>
      <c r="AR45" s="216">
        <v>0.5</v>
      </c>
      <c r="AS45">
        <v>0.8</v>
      </c>
      <c r="AT45" s="216">
        <v>0.5</v>
      </c>
      <c r="AU45" s="216">
        <v>0.5</v>
      </c>
      <c r="AV45">
        <v>0.8</v>
      </c>
      <c r="AW45">
        <v>0.5</v>
      </c>
      <c r="AX45">
        <v>0.8</v>
      </c>
      <c r="AY45">
        <v>0.8</v>
      </c>
      <c r="AZ45">
        <v>0.8</v>
      </c>
      <c r="BA45">
        <v>0.8</v>
      </c>
      <c r="BB45">
        <v>0.5</v>
      </c>
      <c r="BC45">
        <v>0.8</v>
      </c>
      <c r="BD45">
        <v>0.8</v>
      </c>
      <c r="BE45">
        <v>0.8</v>
      </c>
      <c r="BF45">
        <v>0.8</v>
      </c>
      <c r="BG45">
        <v>0.8</v>
      </c>
      <c r="BH45">
        <v>0.8</v>
      </c>
      <c r="BI45">
        <v>0.8</v>
      </c>
      <c r="BJ45">
        <v>0.8</v>
      </c>
      <c r="BK45">
        <v>0.8</v>
      </c>
      <c r="BL45">
        <v>0.8</v>
      </c>
      <c r="BM45" s="216">
        <v>0.8</v>
      </c>
      <c r="BN45" s="216">
        <v>0.8</v>
      </c>
      <c r="BO45" s="216">
        <v>0.8</v>
      </c>
      <c r="BP45" s="216">
        <v>0.8</v>
      </c>
      <c r="BQ45" s="216">
        <v>0.8</v>
      </c>
      <c r="BR45" s="216">
        <v>0.8</v>
      </c>
      <c r="BS45" s="216">
        <v>0.8</v>
      </c>
      <c r="BT45" s="216">
        <v>0.8</v>
      </c>
      <c r="BU45" s="216">
        <v>0.8</v>
      </c>
      <c r="BV45" s="216">
        <v>0.8</v>
      </c>
      <c r="BW45" s="216">
        <v>0.8</v>
      </c>
      <c r="BX45" s="216">
        <v>0.8</v>
      </c>
      <c r="BY45" s="216">
        <v>0.8</v>
      </c>
      <c r="BZ45" s="216">
        <v>0.8</v>
      </c>
      <c r="CA45" s="216">
        <v>0.8</v>
      </c>
      <c r="CB45" s="216">
        <v>0.5</v>
      </c>
      <c r="CC45" s="216">
        <v>0.5</v>
      </c>
      <c r="CD45" s="216">
        <v>0.8</v>
      </c>
      <c r="CE45" s="216">
        <v>0.8</v>
      </c>
      <c r="CF45" s="216">
        <v>0.8</v>
      </c>
      <c r="CG45" s="216">
        <v>0.8</v>
      </c>
      <c r="CH45" s="216">
        <v>0.5</v>
      </c>
      <c r="CI45">
        <v>0</v>
      </c>
      <c r="CJ45" s="216">
        <v>0</v>
      </c>
      <c r="CK45" s="216">
        <v>0</v>
      </c>
      <c r="CL45" s="216">
        <v>0</v>
      </c>
      <c r="CM45" s="216">
        <v>0</v>
      </c>
    </row>
    <row r="46" spans="1:91" customFormat="1" ht="15" x14ac:dyDescent="0.5">
      <c r="A46" s="245" t="s">
        <v>213</v>
      </c>
      <c r="B46">
        <v>0</v>
      </c>
      <c r="C46">
        <v>0</v>
      </c>
      <c r="D46">
        <v>0.8</v>
      </c>
      <c r="E46">
        <v>0.8</v>
      </c>
      <c r="F46">
        <v>0.8</v>
      </c>
      <c r="G46">
        <v>0.8</v>
      </c>
      <c r="H46">
        <v>0.8</v>
      </c>
      <c r="I46">
        <v>0.8</v>
      </c>
      <c r="J46">
        <v>0.8</v>
      </c>
      <c r="K46">
        <v>0.8</v>
      </c>
      <c r="L46">
        <v>0.8</v>
      </c>
      <c r="M46">
        <v>0.8</v>
      </c>
      <c r="N46">
        <v>0.5</v>
      </c>
      <c r="O46">
        <v>0.8</v>
      </c>
      <c r="P46">
        <v>0.8</v>
      </c>
      <c r="Q46">
        <v>0.8</v>
      </c>
      <c r="R46">
        <v>0.5</v>
      </c>
      <c r="S46">
        <v>0.5</v>
      </c>
      <c r="T46">
        <v>0.5</v>
      </c>
      <c r="U46">
        <v>0.5</v>
      </c>
      <c r="V46">
        <v>0.5</v>
      </c>
      <c r="W46">
        <v>0.5</v>
      </c>
      <c r="X46">
        <v>0.5</v>
      </c>
      <c r="Y46" s="216">
        <v>0.5</v>
      </c>
      <c r="Z46">
        <v>0.1</v>
      </c>
      <c r="AA46">
        <v>0.1</v>
      </c>
      <c r="AB46">
        <v>0.1</v>
      </c>
      <c r="AC46">
        <v>0.1</v>
      </c>
      <c r="AD46">
        <v>0.1</v>
      </c>
      <c r="AE46">
        <v>0.1</v>
      </c>
      <c r="AF46" s="216">
        <v>0.1</v>
      </c>
      <c r="AG46">
        <v>0.5</v>
      </c>
      <c r="AH46">
        <v>0.5</v>
      </c>
      <c r="AI46">
        <v>0.5</v>
      </c>
      <c r="AJ46">
        <v>0.5</v>
      </c>
      <c r="AK46">
        <v>0.5</v>
      </c>
      <c r="AL46">
        <v>0.5</v>
      </c>
      <c r="AM46">
        <v>0.5</v>
      </c>
      <c r="AN46">
        <v>0.5</v>
      </c>
      <c r="AO46">
        <v>0.5</v>
      </c>
      <c r="AP46">
        <v>0.5</v>
      </c>
      <c r="AQ46" s="216">
        <v>0.5</v>
      </c>
      <c r="AR46" s="216">
        <v>0.5</v>
      </c>
      <c r="AS46">
        <v>0.8</v>
      </c>
      <c r="AT46" s="216">
        <v>0.5</v>
      </c>
      <c r="AU46" s="216">
        <v>0.5</v>
      </c>
      <c r="AV46">
        <v>0.8</v>
      </c>
      <c r="AW46">
        <v>0.5</v>
      </c>
      <c r="AX46">
        <v>0.8</v>
      </c>
      <c r="AY46">
        <v>0.8</v>
      </c>
      <c r="AZ46">
        <v>0.8</v>
      </c>
      <c r="BA46">
        <v>0.8</v>
      </c>
      <c r="BB46">
        <v>0.5</v>
      </c>
      <c r="BC46">
        <v>0.8</v>
      </c>
      <c r="BD46">
        <v>0.8</v>
      </c>
      <c r="BE46">
        <v>0.8</v>
      </c>
      <c r="BF46">
        <v>0.8</v>
      </c>
      <c r="BG46">
        <v>0.8</v>
      </c>
      <c r="BH46">
        <v>0.8</v>
      </c>
      <c r="BI46">
        <v>0.8</v>
      </c>
      <c r="BJ46">
        <v>0.8</v>
      </c>
      <c r="BK46">
        <v>0.8</v>
      </c>
      <c r="BL46">
        <v>0.8</v>
      </c>
      <c r="BM46" s="216">
        <v>0.8</v>
      </c>
      <c r="BN46" s="216">
        <v>0.8</v>
      </c>
      <c r="BO46" s="216">
        <v>0.8</v>
      </c>
      <c r="BP46" s="216">
        <v>0.8</v>
      </c>
      <c r="BQ46" s="216">
        <v>0.8</v>
      </c>
      <c r="BR46" s="216">
        <v>0.8</v>
      </c>
      <c r="BS46" s="216">
        <v>0.8</v>
      </c>
      <c r="BT46" s="216">
        <v>0.8</v>
      </c>
      <c r="BU46" s="216">
        <v>0.8</v>
      </c>
      <c r="BV46" s="216">
        <v>0.8</v>
      </c>
      <c r="BW46" s="216">
        <v>0.8</v>
      </c>
      <c r="BX46" s="216">
        <v>0.8</v>
      </c>
      <c r="BY46" s="216">
        <v>0.8</v>
      </c>
      <c r="BZ46" s="216">
        <v>0.8</v>
      </c>
      <c r="CA46" s="216">
        <v>0.8</v>
      </c>
      <c r="CB46" s="216">
        <v>0.5</v>
      </c>
      <c r="CC46" s="216">
        <v>0.5</v>
      </c>
      <c r="CD46" s="216">
        <v>0.8</v>
      </c>
      <c r="CE46" s="216">
        <v>0.8</v>
      </c>
      <c r="CF46" s="216">
        <v>0.8</v>
      </c>
      <c r="CG46" s="216">
        <v>0.8</v>
      </c>
      <c r="CH46" s="216">
        <v>0.5</v>
      </c>
      <c r="CI46">
        <v>0</v>
      </c>
      <c r="CJ46" s="216">
        <v>0</v>
      </c>
      <c r="CK46" s="216">
        <v>0</v>
      </c>
      <c r="CL46" s="216">
        <v>0</v>
      </c>
      <c r="CM46" s="216">
        <v>0</v>
      </c>
    </row>
    <row r="47" spans="1:91" customFormat="1" ht="15" x14ac:dyDescent="0.5">
      <c r="A47" s="245" t="s">
        <v>214</v>
      </c>
      <c r="B47">
        <v>0</v>
      </c>
      <c r="C47">
        <v>0</v>
      </c>
      <c r="D47">
        <v>0.8</v>
      </c>
      <c r="E47">
        <v>0.8</v>
      </c>
      <c r="F47">
        <v>0.8</v>
      </c>
      <c r="G47">
        <v>0.8</v>
      </c>
      <c r="H47">
        <v>0.8</v>
      </c>
      <c r="I47">
        <v>0.8</v>
      </c>
      <c r="J47">
        <v>0.8</v>
      </c>
      <c r="K47">
        <v>0.8</v>
      </c>
      <c r="L47">
        <v>0.8</v>
      </c>
      <c r="M47">
        <v>0.8</v>
      </c>
      <c r="N47">
        <v>0.5</v>
      </c>
      <c r="O47">
        <v>0.8</v>
      </c>
      <c r="P47">
        <v>0.8</v>
      </c>
      <c r="Q47">
        <v>0.8</v>
      </c>
      <c r="R47">
        <v>0.5</v>
      </c>
      <c r="S47">
        <v>0.5</v>
      </c>
      <c r="T47">
        <v>0.5</v>
      </c>
      <c r="U47">
        <v>0.5</v>
      </c>
      <c r="V47">
        <v>0.5</v>
      </c>
      <c r="W47">
        <v>0.5</v>
      </c>
      <c r="X47">
        <v>0.5</v>
      </c>
      <c r="Y47" s="216">
        <v>0.5</v>
      </c>
      <c r="Z47">
        <v>0.1</v>
      </c>
      <c r="AA47">
        <v>0.1</v>
      </c>
      <c r="AB47">
        <v>0.1</v>
      </c>
      <c r="AC47">
        <v>0.1</v>
      </c>
      <c r="AD47">
        <v>0.1</v>
      </c>
      <c r="AE47">
        <v>0.1</v>
      </c>
      <c r="AF47" s="216">
        <v>0.1</v>
      </c>
      <c r="AG47">
        <v>0.5</v>
      </c>
      <c r="AH47">
        <v>0.5</v>
      </c>
      <c r="AI47">
        <v>0.5</v>
      </c>
      <c r="AJ47">
        <v>0.5</v>
      </c>
      <c r="AK47">
        <v>0.5</v>
      </c>
      <c r="AL47">
        <v>0.5</v>
      </c>
      <c r="AM47">
        <v>0.5</v>
      </c>
      <c r="AN47">
        <v>0.5</v>
      </c>
      <c r="AO47">
        <v>0.5</v>
      </c>
      <c r="AP47">
        <v>0.5</v>
      </c>
      <c r="AQ47" s="216">
        <v>0.5</v>
      </c>
      <c r="AR47" s="216">
        <v>0.5</v>
      </c>
      <c r="AS47">
        <v>0.8</v>
      </c>
      <c r="AT47" s="216">
        <v>0.5</v>
      </c>
      <c r="AU47" s="216">
        <v>0.5</v>
      </c>
      <c r="AV47">
        <v>0.8</v>
      </c>
      <c r="AW47">
        <v>0.5</v>
      </c>
      <c r="AX47">
        <v>0.8</v>
      </c>
      <c r="AY47">
        <v>0.8</v>
      </c>
      <c r="AZ47">
        <v>0.8</v>
      </c>
      <c r="BA47">
        <v>0.8</v>
      </c>
      <c r="BB47">
        <v>0.5</v>
      </c>
      <c r="BC47">
        <v>0.8</v>
      </c>
      <c r="BD47">
        <v>0.8</v>
      </c>
      <c r="BE47">
        <v>0.8</v>
      </c>
      <c r="BF47">
        <v>0.8</v>
      </c>
      <c r="BG47">
        <v>0.8</v>
      </c>
      <c r="BH47">
        <v>0.8</v>
      </c>
      <c r="BI47">
        <v>0.8</v>
      </c>
      <c r="BJ47">
        <v>0.8</v>
      </c>
      <c r="BK47">
        <v>0.8</v>
      </c>
      <c r="BL47">
        <v>0.8</v>
      </c>
      <c r="BM47" s="216">
        <v>0.8</v>
      </c>
      <c r="BN47" s="216">
        <v>0.8</v>
      </c>
      <c r="BO47" s="216">
        <v>0.8</v>
      </c>
      <c r="BP47" s="216">
        <v>0.8</v>
      </c>
      <c r="BQ47" s="216">
        <v>0.8</v>
      </c>
      <c r="BR47" s="216">
        <v>0.8</v>
      </c>
      <c r="BS47" s="216">
        <v>0.8</v>
      </c>
      <c r="BT47" s="216">
        <v>0.8</v>
      </c>
      <c r="BU47" s="216">
        <v>0.8</v>
      </c>
      <c r="BV47" s="216">
        <v>0.8</v>
      </c>
      <c r="BW47" s="216">
        <v>0.8</v>
      </c>
      <c r="BX47" s="216">
        <v>0.8</v>
      </c>
      <c r="BY47" s="216">
        <v>0.8</v>
      </c>
      <c r="BZ47" s="216">
        <v>0.8</v>
      </c>
      <c r="CA47" s="216">
        <v>0.8</v>
      </c>
      <c r="CB47" s="216">
        <v>0.5</v>
      </c>
      <c r="CC47" s="216">
        <v>0.5</v>
      </c>
      <c r="CD47" s="216">
        <v>0.8</v>
      </c>
      <c r="CE47" s="216">
        <v>0.8</v>
      </c>
      <c r="CF47" s="216">
        <v>0.8</v>
      </c>
      <c r="CG47" s="216">
        <v>0.8</v>
      </c>
      <c r="CH47" s="216">
        <v>0.5</v>
      </c>
      <c r="CI47">
        <v>0</v>
      </c>
      <c r="CJ47" s="216">
        <v>0</v>
      </c>
      <c r="CK47" s="216">
        <v>0</v>
      </c>
      <c r="CL47" s="216">
        <v>0</v>
      </c>
      <c r="CM47" s="216">
        <v>0</v>
      </c>
    </row>
    <row r="48" spans="1:91" customFormat="1" ht="15" x14ac:dyDescent="0.5">
      <c r="A48" s="245" t="s">
        <v>215</v>
      </c>
      <c r="B48">
        <v>0</v>
      </c>
      <c r="C48">
        <v>0</v>
      </c>
      <c r="D48">
        <v>0.8</v>
      </c>
      <c r="E48">
        <v>0.8</v>
      </c>
      <c r="F48">
        <v>0.8</v>
      </c>
      <c r="G48">
        <v>0.8</v>
      </c>
      <c r="H48">
        <v>0.8</v>
      </c>
      <c r="I48">
        <v>0.8</v>
      </c>
      <c r="J48">
        <v>0.8</v>
      </c>
      <c r="K48">
        <v>0.8</v>
      </c>
      <c r="L48">
        <v>0.8</v>
      </c>
      <c r="M48">
        <v>0.8</v>
      </c>
      <c r="N48">
        <v>0.5</v>
      </c>
      <c r="O48">
        <v>0.8</v>
      </c>
      <c r="P48">
        <v>0.8</v>
      </c>
      <c r="Q48">
        <v>0.8</v>
      </c>
      <c r="R48">
        <v>0.5</v>
      </c>
      <c r="S48">
        <v>0.5</v>
      </c>
      <c r="T48">
        <v>0.5</v>
      </c>
      <c r="U48">
        <v>0.5</v>
      </c>
      <c r="V48">
        <v>0.5</v>
      </c>
      <c r="W48">
        <v>0.5</v>
      </c>
      <c r="X48">
        <v>0.5</v>
      </c>
      <c r="Y48" s="216">
        <v>0.5</v>
      </c>
      <c r="Z48">
        <v>0.1</v>
      </c>
      <c r="AA48">
        <v>0.1</v>
      </c>
      <c r="AB48">
        <v>0.1</v>
      </c>
      <c r="AC48">
        <v>0.1</v>
      </c>
      <c r="AD48">
        <v>0.1</v>
      </c>
      <c r="AE48">
        <v>0.1</v>
      </c>
      <c r="AF48" s="216">
        <v>0.1</v>
      </c>
      <c r="AG48">
        <v>0.5</v>
      </c>
      <c r="AH48">
        <v>0.5</v>
      </c>
      <c r="AI48">
        <v>0.5</v>
      </c>
      <c r="AJ48">
        <v>0.5</v>
      </c>
      <c r="AK48">
        <v>0.5</v>
      </c>
      <c r="AL48">
        <v>0.5</v>
      </c>
      <c r="AM48">
        <v>0.5</v>
      </c>
      <c r="AN48">
        <v>0.5</v>
      </c>
      <c r="AO48">
        <v>0.5</v>
      </c>
      <c r="AP48">
        <v>0.5</v>
      </c>
      <c r="AQ48" s="216">
        <v>0.5</v>
      </c>
      <c r="AR48" s="216">
        <v>0.5</v>
      </c>
      <c r="AS48">
        <v>0.8</v>
      </c>
      <c r="AT48" s="216">
        <v>0.5</v>
      </c>
      <c r="AU48" s="216">
        <v>0.5</v>
      </c>
      <c r="AV48">
        <v>0.8</v>
      </c>
      <c r="AW48">
        <v>0.5</v>
      </c>
      <c r="AX48">
        <v>0.8</v>
      </c>
      <c r="AY48">
        <v>0.8</v>
      </c>
      <c r="AZ48">
        <v>0.8</v>
      </c>
      <c r="BA48">
        <v>0.8</v>
      </c>
      <c r="BB48">
        <v>0.5</v>
      </c>
      <c r="BC48">
        <v>0.8</v>
      </c>
      <c r="BD48">
        <v>0.8</v>
      </c>
      <c r="BE48">
        <v>0.8</v>
      </c>
      <c r="BF48">
        <v>0.8</v>
      </c>
      <c r="BG48">
        <v>0.8</v>
      </c>
      <c r="BH48">
        <v>0.8</v>
      </c>
      <c r="BI48">
        <v>0.8</v>
      </c>
      <c r="BJ48">
        <v>0.8</v>
      </c>
      <c r="BK48">
        <v>0.8</v>
      </c>
      <c r="BL48">
        <v>0.8</v>
      </c>
      <c r="BM48" s="216">
        <v>0.8</v>
      </c>
      <c r="BN48" s="216">
        <v>0.8</v>
      </c>
      <c r="BO48" s="216">
        <v>0.8</v>
      </c>
      <c r="BP48" s="216">
        <v>0.8</v>
      </c>
      <c r="BQ48" s="216">
        <v>0.8</v>
      </c>
      <c r="BR48" s="216">
        <v>0.8</v>
      </c>
      <c r="BS48" s="216">
        <v>0.8</v>
      </c>
      <c r="BT48" s="216">
        <v>0.8</v>
      </c>
      <c r="BU48" s="216">
        <v>0.8</v>
      </c>
      <c r="BV48" s="216">
        <v>0.8</v>
      </c>
      <c r="BW48" s="216">
        <v>0.8</v>
      </c>
      <c r="BX48" s="216">
        <v>0.8</v>
      </c>
      <c r="BY48" s="216">
        <v>0.8</v>
      </c>
      <c r="BZ48" s="216">
        <v>0.8</v>
      </c>
      <c r="CA48" s="216">
        <v>0.8</v>
      </c>
      <c r="CB48" s="216">
        <v>0.5</v>
      </c>
      <c r="CC48" s="216">
        <v>0.5</v>
      </c>
      <c r="CD48" s="216">
        <v>0.8</v>
      </c>
      <c r="CE48" s="216">
        <v>0.8</v>
      </c>
      <c r="CF48" s="216">
        <v>0.8</v>
      </c>
      <c r="CG48" s="216">
        <v>0.8</v>
      </c>
      <c r="CH48" s="216">
        <v>0.5</v>
      </c>
      <c r="CI48">
        <v>0</v>
      </c>
      <c r="CJ48" s="216">
        <v>0</v>
      </c>
      <c r="CK48" s="216">
        <v>0</v>
      </c>
      <c r="CL48" s="216">
        <v>0</v>
      </c>
      <c r="CM48" s="216">
        <v>0</v>
      </c>
    </row>
    <row r="49" spans="1:91" customFormat="1" ht="15" customHeight="1" x14ac:dyDescent="0.5">
      <c r="A49" s="245" t="s">
        <v>216</v>
      </c>
      <c r="B49">
        <v>0</v>
      </c>
      <c r="C49">
        <v>0</v>
      </c>
      <c r="D49">
        <v>0.8</v>
      </c>
      <c r="E49">
        <v>0.8</v>
      </c>
      <c r="F49">
        <v>0.8</v>
      </c>
      <c r="G49">
        <v>0.8</v>
      </c>
      <c r="H49">
        <v>0.8</v>
      </c>
      <c r="I49">
        <v>0.8</v>
      </c>
      <c r="J49">
        <v>0.8</v>
      </c>
      <c r="K49">
        <v>0.8</v>
      </c>
      <c r="L49">
        <v>0.8</v>
      </c>
      <c r="M49">
        <v>0.8</v>
      </c>
      <c r="N49">
        <v>0.5</v>
      </c>
      <c r="O49">
        <v>0.8</v>
      </c>
      <c r="P49">
        <v>0.8</v>
      </c>
      <c r="Q49">
        <v>0.8</v>
      </c>
      <c r="R49">
        <v>0.5</v>
      </c>
      <c r="S49">
        <v>0.5</v>
      </c>
      <c r="T49">
        <v>0.5</v>
      </c>
      <c r="U49">
        <v>0.5</v>
      </c>
      <c r="V49">
        <v>0.5</v>
      </c>
      <c r="W49">
        <v>0.5</v>
      </c>
      <c r="X49">
        <v>0.5</v>
      </c>
      <c r="Y49" s="216">
        <v>0.5</v>
      </c>
      <c r="Z49">
        <v>0.1</v>
      </c>
      <c r="AA49">
        <v>0.1</v>
      </c>
      <c r="AB49">
        <v>0.1</v>
      </c>
      <c r="AC49">
        <v>0.1</v>
      </c>
      <c r="AD49">
        <v>0.1</v>
      </c>
      <c r="AE49">
        <v>0.1</v>
      </c>
      <c r="AF49" s="216">
        <v>0.1</v>
      </c>
      <c r="AG49">
        <v>0.5</v>
      </c>
      <c r="AH49">
        <v>0.5</v>
      </c>
      <c r="AI49">
        <v>0.5</v>
      </c>
      <c r="AJ49">
        <v>0.5</v>
      </c>
      <c r="AK49">
        <v>0.5</v>
      </c>
      <c r="AL49">
        <v>0.5</v>
      </c>
      <c r="AM49">
        <v>0.5</v>
      </c>
      <c r="AN49">
        <v>0.5</v>
      </c>
      <c r="AO49">
        <v>0.5</v>
      </c>
      <c r="AP49">
        <v>0.5</v>
      </c>
      <c r="AQ49" s="216">
        <v>0.5</v>
      </c>
      <c r="AR49" s="216">
        <v>0.5</v>
      </c>
      <c r="AS49">
        <v>0.8</v>
      </c>
      <c r="AT49" s="216">
        <v>0.5</v>
      </c>
      <c r="AU49" s="216">
        <v>0.5</v>
      </c>
      <c r="AV49">
        <v>0.8</v>
      </c>
      <c r="AW49">
        <v>0.5</v>
      </c>
      <c r="AX49">
        <v>0.8</v>
      </c>
      <c r="AY49">
        <v>0.8</v>
      </c>
      <c r="AZ49">
        <v>0.8</v>
      </c>
      <c r="BA49">
        <v>0.8</v>
      </c>
      <c r="BB49">
        <v>0.5</v>
      </c>
      <c r="BC49">
        <v>0.8</v>
      </c>
      <c r="BD49">
        <v>0.8</v>
      </c>
      <c r="BE49">
        <v>0.8</v>
      </c>
      <c r="BF49">
        <v>0.8</v>
      </c>
      <c r="BG49">
        <v>0.8</v>
      </c>
      <c r="BH49">
        <v>0.8</v>
      </c>
      <c r="BI49">
        <v>0.8</v>
      </c>
      <c r="BJ49">
        <v>0.8</v>
      </c>
      <c r="BK49">
        <v>0.8</v>
      </c>
      <c r="BL49">
        <v>0.8</v>
      </c>
      <c r="BM49" s="216">
        <v>0.8</v>
      </c>
      <c r="BN49" s="216">
        <v>0.8</v>
      </c>
      <c r="BO49" s="216">
        <v>0.8</v>
      </c>
      <c r="BP49" s="216">
        <v>0.8</v>
      </c>
      <c r="BQ49" s="216">
        <v>0.8</v>
      </c>
      <c r="BR49" s="216">
        <v>0.8</v>
      </c>
      <c r="BS49" s="216">
        <v>0.8</v>
      </c>
      <c r="BT49" s="216">
        <v>0.8</v>
      </c>
      <c r="BU49" s="216">
        <v>0.8</v>
      </c>
      <c r="BV49" s="216">
        <v>0.8</v>
      </c>
      <c r="BW49" s="216">
        <v>0.8</v>
      </c>
      <c r="BX49" s="216">
        <v>0.8</v>
      </c>
      <c r="BY49" s="216">
        <v>0.8</v>
      </c>
      <c r="BZ49" s="216">
        <v>0.8</v>
      </c>
      <c r="CA49" s="216">
        <v>0.8</v>
      </c>
      <c r="CB49" s="216">
        <v>0.5</v>
      </c>
      <c r="CC49" s="216">
        <v>0.5</v>
      </c>
      <c r="CD49" s="216">
        <v>0.8</v>
      </c>
      <c r="CE49" s="216">
        <v>0.8</v>
      </c>
      <c r="CF49" s="216">
        <v>0.8</v>
      </c>
      <c r="CG49" s="216">
        <v>0.8</v>
      </c>
      <c r="CH49" s="216">
        <v>0.5</v>
      </c>
      <c r="CI49">
        <v>0</v>
      </c>
      <c r="CJ49" s="216">
        <v>0</v>
      </c>
      <c r="CK49" s="216">
        <v>0</v>
      </c>
      <c r="CL49" s="216">
        <v>0</v>
      </c>
      <c r="CM49" s="216">
        <v>0</v>
      </c>
    </row>
    <row r="50" spans="1:91" customFormat="1" ht="15" customHeight="1" x14ac:dyDescent="0.5">
      <c r="A50" s="245" t="s">
        <v>217</v>
      </c>
      <c r="B50">
        <v>0</v>
      </c>
      <c r="C50">
        <v>0</v>
      </c>
      <c r="D50">
        <v>0.8</v>
      </c>
      <c r="E50">
        <v>0.8</v>
      </c>
      <c r="F50">
        <v>0.8</v>
      </c>
      <c r="G50">
        <v>0.8</v>
      </c>
      <c r="H50">
        <v>0.8</v>
      </c>
      <c r="I50">
        <v>0.8</v>
      </c>
      <c r="J50">
        <v>0.8</v>
      </c>
      <c r="K50">
        <v>0.8</v>
      </c>
      <c r="L50">
        <v>0.8</v>
      </c>
      <c r="M50">
        <v>0.8</v>
      </c>
      <c r="N50">
        <v>0.5</v>
      </c>
      <c r="O50">
        <v>0.8</v>
      </c>
      <c r="P50">
        <v>0.8</v>
      </c>
      <c r="Q50">
        <v>0.8</v>
      </c>
      <c r="R50">
        <v>0.5</v>
      </c>
      <c r="S50">
        <v>0.5</v>
      </c>
      <c r="T50">
        <v>0.5</v>
      </c>
      <c r="U50">
        <v>0.5</v>
      </c>
      <c r="V50">
        <v>0.5</v>
      </c>
      <c r="W50">
        <v>0.5</v>
      </c>
      <c r="X50">
        <v>0.5</v>
      </c>
      <c r="Y50" s="216">
        <v>0.5</v>
      </c>
      <c r="Z50">
        <v>0.1</v>
      </c>
      <c r="AA50">
        <v>0.1</v>
      </c>
      <c r="AB50">
        <v>0.1</v>
      </c>
      <c r="AC50">
        <v>0.1</v>
      </c>
      <c r="AD50">
        <v>0.1</v>
      </c>
      <c r="AE50">
        <v>0.1</v>
      </c>
      <c r="AF50" s="216">
        <v>0.1</v>
      </c>
      <c r="AG50">
        <v>0.5</v>
      </c>
      <c r="AH50">
        <v>0.5</v>
      </c>
      <c r="AI50">
        <v>0.5</v>
      </c>
      <c r="AJ50">
        <v>0.5</v>
      </c>
      <c r="AK50">
        <v>0.5</v>
      </c>
      <c r="AL50">
        <v>0.5</v>
      </c>
      <c r="AM50">
        <v>0.5</v>
      </c>
      <c r="AN50">
        <v>0.5</v>
      </c>
      <c r="AO50">
        <v>0.5</v>
      </c>
      <c r="AP50">
        <v>0.5</v>
      </c>
      <c r="AQ50" s="216">
        <v>0.5</v>
      </c>
      <c r="AR50" s="216">
        <v>0.5</v>
      </c>
      <c r="AS50">
        <v>0.8</v>
      </c>
      <c r="AT50" s="216">
        <v>0.5</v>
      </c>
      <c r="AU50" s="216">
        <v>0.5</v>
      </c>
      <c r="AV50">
        <v>0.8</v>
      </c>
      <c r="AW50">
        <v>0.5</v>
      </c>
      <c r="AX50">
        <v>0.8</v>
      </c>
      <c r="AY50">
        <v>0.8</v>
      </c>
      <c r="AZ50">
        <v>0.8</v>
      </c>
      <c r="BA50">
        <v>0.8</v>
      </c>
      <c r="BB50">
        <v>0.5</v>
      </c>
      <c r="BC50">
        <v>0.8</v>
      </c>
      <c r="BD50">
        <v>0.8</v>
      </c>
      <c r="BE50">
        <v>0.8</v>
      </c>
      <c r="BF50">
        <v>0.8</v>
      </c>
      <c r="BG50">
        <v>0.8</v>
      </c>
      <c r="BH50">
        <v>0.8</v>
      </c>
      <c r="BI50">
        <v>0.8</v>
      </c>
      <c r="BJ50">
        <v>0.8</v>
      </c>
      <c r="BK50">
        <v>0.8</v>
      </c>
      <c r="BL50">
        <v>0.8</v>
      </c>
      <c r="BM50" s="216">
        <v>0.8</v>
      </c>
      <c r="BN50" s="216">
        <v>0.8</v>
      </c>
      <c r="BO50" s="216">
        <v>0.8</v>
      </c>
      <c r="BP50" s="216">
        <v>0.8</v>
      </c>
      <c r="BQ50" s="216">
        <v>0.8</v>
      </c>
      <c r="BR50" s="216">
        <v>0.8</v>
      </c>
      <c r="BS50" s="216">
        <v>0.8</v>
      </c>
      <c r="BT50" s="216">
        <v>0.8</v>
      </c>
      <c r="BU50" s="216">
        <v>0.8</v>
      </c>
      <c r="BV50" s="216">
        <v>0.8</v>
      </c>
      <c r="BW50" s="216">
        <v>0.8</v>
      </c>
      <c r="BX50" s="216">
        <v>0.8</v>
      </c>
      <c r="BY50" s="216">
        <v>0.8</v>
      </c>
      <c r="BZ50" s="216">
        <v>0.8</v>
      </c>
      <c r="CA50" s="216">
        <v>0.8</v>
      </c>
      <c r="CB50" s="216">
        <v>0.5</v>
      </c>
      <c r="CC50" s="216">
        <v>0.5</v>
      </c>
      <c r="CD50" s="216">
        <v>0.8</v>
      </c>
      <c r="CE50" s="216">
        <v>0.8</v>
      </c>
      <c r="CF50" s="216">
        <v>0.8</v>
      </c>
      <c r="CG50" s="216">
        <v>0.8</v>
      </c>
      <c r="CH50" s="216">
        <v>0.5</v>
      </c>
      <c r="CI50">
        <v>0</v>
      </c>
      <c r="CJ50" s="216">
        <v>0</v>
      </c>
      <c r="CK50" s="216">
        <v>0</v>
      </c>
      <c r="CL50" s="216">
        <v>0</v>
      </c>
      <c r="CM50" s="216">
        <v>0</v>
      </c>
    </row>
    <row r="51" spans="1:91" customFormat="1" ht="15" customHeight="1" x14ac:dyDescent="0.5">
      <c r="A51" s="245" t="s">
        <v>218</v>
      </c>
      <c r="B51">
        <v>0</v>
      </c>
      <c r="C51">
        <v>0</v>
      </c>
      <c r="D51">
        <v>0.8</v>
      </c>
      <c r="E51">
        <v>0.8</v>
      </c>
      <c r="F51">
        <v>0.8</v>
      </c>
      <c r="G51">
        <v>0.8</v>
      </c>
      <c r="H51">
        <v>0.8</v>
      </c>
      <c r="I51">
        <v>0.8</v>
      </c>
      <c r="J51">
        <v>0.8</v>
      </c>
      <c r="K51">
        <v>0.8</v>
      </c>
      <c r="L51">
        <v>0.8</v>
      </c>
      <c r="M51">
        <v>0.8</v>
      </c>
      <c r="N51">
        <v>0.5</v>
      </c>
      <c r="O51">
        <v>0.8</v>
      </c>
      <c r="P51">
        <v>0.8</v>
      </c>
      <c r="Q51">
        <v>0.8</v>
      </c>
      <c r="R51">
        <v>0.5</v>
      </c>
      <c r="S51">
        <v>0.5</v>
      </c>
      <c r="T51">
        <v>0.5</v>
      </c>
      <c r="U51">
        <v>0.5</v>
      </c>
      <c r="V51">
        <v>0.5</v>
      </c>
      <c r="W51">
        <v>0.5</v>
      </c>
      <c r="X51">
        <v>0.5</v>
      </c>
      <c r="Y51" s="216">
        <v>0.5</v>
      </c>
      <c r="Z51">
        <v>0.1</v>
      </c>
      <c r="AA51">
        <v>0.1</v>
      </c>
      <c r="AB51">
        <v>0.1</v>
      </c>
      <c r="AC51">
        <v>0.1</v>
      </c>
      <c r="AD51">
        <v>0.1</v>
      </c>
      <c r="AE51">
        <v>0.1</v>
      </c>
      <c r="AF51" s="216">
        <v>0.1</v>
      </c>
      <c r="AG51">
        <v>0.5</v>
      </c>
      <c r="AH51">
        <v>0.5</v>
      </c>
      <c r="AI51">
        <v>0.5</v>
      </c>
      <c r="AJ51">
        <v>0.5</v>
      </c>
      <c r="AK51">
        <v>0.5</v>
      </c>
      <c r="AL51">
        <v>0.5</v>
      </c>
      <c r="AM51">
        <v>0.5</v>
      </c>
      <c r="AN51">
        <v>0.5</v>
      </c>
      <c r="AO51">
        <v>0.5</v>
      </c>
      <c r="AP51">
        <v>0.5</v>
      </c>
      <c r="AQ51" s="216">
        <v>0.5</v>
      </c>
      <c r="AR51" s="216">
        <v>0.5</v>
      </c>
      <c r="AS51">
        <v>0.8</v>
      </c>
      <c r="AT51" s="216">
        <v>0.5</v>
      </c>
      <c r="AU51" s="216">
        <v>0.5</v>
      </c>
      <c r="AV51">
        <v>0.8</v>
      </c>
      <c r="AW51">
        <v>0.5</v>
      </c>
      <c r="AX51">
        <v>0.8</v>
      </c>
      <c r="AY51">
        <v>0.8</v>
      </c>
      <c r="AZ51">
        <v>0.8</v>
      </c>
      <c r="BA51">
        <v>0.8</v>
      </c>
      <c r="BB51">
        <v>0.5</v>
      </c>
      <c r="BC51">
        <v>0.8</v>
      </c>
      <c r="BD51">
        <v>0.8</v>
      </c>
      <c r="BE51">
        <v>0.8</v>
      </c>
      <c r="BF51">
        <v>0.8</v>
      </c>
      <c r="BG51">
        <v>0.8</v>
      </c>
      <c r="BH51">
        <v>0.8</v>
      </c>
      <c r="BI51">
        <v>0.8</v>
      </c>
      <c r="BJ51">
        <v>0.8</v>
      </c>
      <c r="BK51">
        <v>0.8</v>
      </c>
      <c r="BL51">
        <v>0.8</v>
      </c>
      <c r="BM51" s="216">
        <v>0.8</v>
      </c>
      <c r="BN51" s="216">
        <v>0.8</v>
      </c>
      <c r="BO51" s="216">
        <v>0.8</v>
      </c>
      <c r="BP51" s="216">
        <v>0.8</v>
      </c>
      <c r="BQ51" s="216">
        <v>0.8</v>
      </c>
      <c r="BR51" s="216">
        <v>0.8</v>
      </c>
      <c r="BS51" s="216">
        <v>0.8</v>
      </c>
      <c r="BT51" s="216">
        <v>0.8</v>
      </c>
      <c r="BU51" s="216">
        <v>0.8</v>
      </c>
      <c r="BV51" s="216">
        <v>0.8</v>
      </c>
      <c r="BW51" s="216">
        <v>0.8</v>
      </c>
      <c r="BX51" s="216">
        <v>0.8</v>
      </c>
      <c r="BY51" s="216">
        <v>0.8</v>
      </c>
      <c r="BZ51" s="216">
        <v>0.8</v>
      </c>
      <c r="CA51" s="216">
        <v>0.8</v>
      </c>
      <c r="CB51" s="216">
        <v>0.5</v>
      </c>
      <c r="CC51" s="216">
        <v>0.5</v>
      </c>
      <c r="CD51" s="216">
        <v>0.8</v>
      </c>
      <c r="CE51" s="216">
        <v>0.8</v>
      </c>
      <c r="CF51" s="216">
        <v>0.8</v>
      </c>
      <c r="CG51" s="216">
        <v>0.8</v>
      </c>
      <c r="CH51" s="216">
        <v>0.5</v>
      </c>
      <c r="CI51">
        <v>0</v>
      </c>
      <c r="CJ51" s="216">
        <v>0</v>
      </c>
      <c r="CK51" s="216">
        <v>0</v>
      </c>
      <c r="CL51" s="216">
        <v>0</v>
      </c>
      <c r="CM51" s="216">
        <v>0</v>
      </c>
    </row>
    <row r="52" spans="1:91" customFormat="1" ht="15" customHeight="1" x14ac:dyDescent="0.5">
      <c r="A52" s="245" t="s">
        <v>219</v>
      </c>
      <c r="B52">
        <v>0</v>
      </c>
      <c r="C52">
        <v>0</v>
      </c>
      <c r="D52">
        <v>0.8</v>
      </c>
      <c r="E52">
        <v>0.8</v>
      </c>
      <c r="F52">
        <v>0.8</v>
      </c>
      <c r="G52">
        <v>0.8</v>
      </c>
      <c r="H52">
        <v>0.8</v>
      </c>
      <c r="I52">
        <v>0.8</v>
      </c>
      <c r="J52">
        <v>0.8</v>
      </c>
      <c r="K52">
        <v>0.8</v>
      </c>
      <c r="L52">
        <v>0.8</v>
      </c>
      <c r="M52">
        <v>0.8</v>
      </c>
      <c r="N52">
        <v>0.5</v>
      </c>
      <c r="O52">
        <v>0.8</v>
      </c>
      <c r="P52">
        <v>0.8</v>
      </c>
      <c r="Q52">
        <v>0.8</v>
      </c>
      <c r="R52">
        <v>0.5</v>
      </c>
      <c r="S52">
        <v>0.5</v>
      </c>
      <c r="T52">
        <v>0.5</v>
      </c>
      <c r="U52">
        <v>0.5</v>
      </c>
      <c r="V52">
        <v>0.5</v>
      </c>
      <c r="W52">
        <v>0.5</v>
      </c>
      <c r="X52">
        <v>0.5</v>
      </c>
      <c r="Y52" s="216">
        <v>0.5</v>
      </c>
      <c r="Z52">
        <v>0.1</v>
      </c>
      <c r="AA52">
        <v>0.1</v>
      </c>
      <c r="AB52">
        <v>0.1</v>
      </c>
      <c r="AC52">
        <v>0.1</v>
      </c>
      <c r="AD52">
        <v>0.1</v>
      </c>
      <c r="AE52">
        <v>0.1</v>
      </c>
      <c r="AF52" s="216">
        <v>0.1</v>
      </c>
      <c r="AG52">
        <v>0.5</v>
      </c>
      <c r="AH52">
        <v>0.5</v>
      </c>
      <c r="AI52">
        <v>0.5</v>
      </c>
      <c r="AJ52">
        <v>0.5</v>
      </c>
      <c r="AK52">
        <v>0.5</v>
      </c>
      <c r="AL52">
        <v>0.5</v>
      </c>
      <c r="AM52">
        <v>0.5</v>
      </c>
      <c r="AN52">
        <v>0.5</v>
      </c>
      <c r="AO52">
        <v>0.5</v>
      </c>
      <c r="AP52">
        <v>0.5</v>
      </c>
      <c r="AQ52" s="216">
        <v>0.5</v>
      </c>
      <c r="AR52" s="216">
        <v>0.5</v>
      </c>
      <c r="AS52">
        <v>0.8</v>
      </c>
      <c r="AT52" s="216">
        <v>0.5</v>
      </c>
      <c r="AU52" s="216">
        <v>0.5</v>
      </c>
      <c r="AV52">
        <v>0.8</v>
      </c>
      <c r="AW52">
        <v>0.5</v>
      </c>
      <c r="AX52">
        <v>0.8</v>
      </c>
      <c r="AY52">
        <v>0.8</v>
      </c>
      <c r="AZ52">
        <v>0.8</v>
      </c>
      <c r="BA52">
        <v>0.8</v>
      </c>
      <c r="BB52">
        <v>0.5</v>
      </c>
      <c r="BC52">
        <v>0.8</v>
      </c>
      <c r="BD52">
        <v>0.8</v>
      </c>
      <c r="BE52">
        <v>0.8</v>
      </c>
      <c r="BF52">
        <v>0.8</v>
      </c>
      <c r="BG52">
        <v>0.8</v>
      </c>
      <c r="BH52">
        <v>0.8</v>
      </c>
      <c r="BI52">
        <v>0.8</v>
      </c>
      <c r="BJ52">
        <v>0.8</v>
      </c>
      <c r="BK52">
        <v>0.8</v>
      </c>
      <c r="BL52">
        <v>0.8</v>
      </c>
      <c r="BM52" s="216">
        <v>0.8</v>
      </c>
      <c r="BN52" s="216">
        <v>0.8</v>
      </c>
      <c r="BO52" s="216">
        <v>0.8</v>
      </c>
      <c r="BP52" s="216">
        <v>0.8</v>
      </c>
      <c r="BQ52" s="216">
        <v>0.8</v>
      </c>
      <c r="BR52" s="216">
        <v>0.8</v>
      </c>
      <c r="BS52" s="216">
        <v>0.8</v>
      </c>
      <c r="BT52" s="216">
        <v>0.8</v>
      </c>
      <c r="BU52" s="216">
        <v>0.8</v>
      </c>
      <c r="BV52" s="216">
        <v>0.8</v>
      </c>
      <c r="BW52" s="216">
        <v>0.8</v>
      </c>
      <c r="BX52" s="216">
        <v>0.8</v>
      </c>
      <c r="BY52" s="216">
        <v>0.8</v>
      </c>
      <c r="BZ52" s="216">
        <v>0.8</v>
      </c>
      <c r="CA52" s="216">
        <v>0.8</v>
      </c>
      <c r="CB52" s="216">
        <v>0.5</v>
      </c>
      <c r="CC52" s="216">
        <v>0.5</v>
      </c>
      <c r="CD52" s="216">
        <v>0.8</v>
      </c>
      <c r="CE52" s="216">
        <v>0.8</v>
      </c>
      <c r="CF52" s="216">
        <v>0.8</v>
      </c>
      <c r="CG52" s="216">
        <v>0.8</v>
      </c>
      <c r="CH52" s="216">
        <v>0.5</v>
      </c>
      <c r="CI52">
        <v>0</v>
      </c>
      <c r="CJ52" s="216">
        <v>0</v>
      </c>
      <c r="CK52" s="216">
        <v>0</v>
      </c>
      <c r="CL52" s="216">
        <v>0</v>
      </c>
      <c r="CM52" s="216">
        <v>0</v>
      </c>
    </row>
    <row r="53" spans="1:91" customFormat="1" ht="15" customHeight="1" x14ac:dyDescent="0.5">
      <c r="A53" s="245" t="s">
        <v>220</v>
      </c>
      <c r="B53">
        <v>0</v>
      </c>
      <c r="C53">
        <v>0</v>
      </c>
      <c r="D53">
        <v>0.8</v>
      </c>
      <c r="E53">
        <v>0.8</v>
      </c>
      <c r="F53">
        <v>0.8</v>
      </c>
      <c r="G53">
        <v>0.8</v>
      </c>
      <c r="H53">
        <v>0.8</v>
      </c>
      <c r="I53">
        <v>0.8</v>
      </c>
      <c r="J53">
        <v>0.8</v>
      </c>
      <c r="K53">
        <v>0.8</v>
      </c>
      <c r="L53">
        <v>0.8</v>
      </c>
      <c r="M53">
        <v>0.8</v>
      </c>
      <c r="N53">
        <v>0.5</v>
      </c>
      <c r="O53">
        <v>0.8</v>
      </c>
      <c r="P53">
        <v>0.8</v>
      </c>
      <c r="Q53">
        <v>0.8</v>
      </c>
      <c r="R53">
        <v>0.5</v>
      </c>
      <c r="S53">
        <v>0.5</v>
      </c>
      <c r="T53">
        <v>0.5</v>
      </c>
      <c r="U53">
        <v>0.5</v>
      </c>
      <c r="V53">
        <v>0.5</v>
      </c>
      <c r="W53">
        <v>0.5</v>
      </c>
      <c r="X53">
        <v>0.5</v>
      </c>
      <c r="Y53" s="216">
        <v>0.5</v>
      </c>
      <c r="Z53">
        <v>0.1</v>
      </c>
      <c r="AA53">
        <v>0.1</v>
      </c>
      <c r="AB53">
        <v>0.1</v>
      </c>
      <c r="AC53">
        <v>0.1</v>
      </c>
      <c r="AD53">
        <v>0.1</v>
      </c>
      <c r="AE53">
        <v>0.1</v>
      </c>
      <c r="AF53" s="216">
        <v>0.1</v>
      </c>
      <c r="AG53">
        <v>0.5</v>
      </c>
      <c r="AH53">
        <v>0.5</v>
      </c>
      <c r="AI53">
        <v>0.5</v>
      </c>
      <c r="AJ53">
        <v>0.5</v>
      </c>
      <c r="AK53">
        <v>0.5</v>
      </c>
      <c r="AL53">
        <v>0.5</v>
      </c>
      <c r="AM53">
        <v>0.5</v>
      </c>
      <c r="AN53">
        <v>0.5</v>
      </c>
      <c r="AO53">
        <v>0.5</v>
      </c>
      <c r="AP53">
        <v>0.5</v>
      </c>
      <c r="AQ53" s="216">
        <v>0.5</v>
      </c>
      <c r="AR53" s="216">
        <v>0.5</v>
      </c>
      <c r="AS53">
        <v>0.8</v>
      </c>
      <c r="AT53" s="216">
        <v>0.5</v>
      </c>
      <c r="AU53" s="216">
        <v>0.5</v>
      </c>
      <c r="AV53">
        <v>0.8</v>
      </c>
      <c r="AW53">
        <v>0.5</v>
      </c>
      <c r="AX53">
        <v>0.8</v>
      </c>
      <c r="AY53">
        <v>0.8</v>
      </c>
      <c r="AZ53">
        <v>0.8</v>
      </c>
      <c r="BA53">
        <v>0.8</v>
      </c>
      <c r="BB53">
        <v>0.5</v>
      </c>
      <c r="BC53">
        <v>0.8</v>
      </c>
      <c r="BD53">
        <v>0.8</v>
      </c>
      <c r="BE53">
        <v>0.8</v>
      </c>
      <c r="BF53">
        <v>0.8</v>
      </c>
      <c r="BG53">
        <v>0.8</v>
      </c>
      <c r="BH53">
        <v>0.8</v>
      </c>
      <c r="BI53">
        <v>0.8</v>
      </c>
      <c r="BJ53">
        <v>0.8</v>
      </c>
      <c r="BK53">
        <v>0.8</v>
      </c>
      <c r="BL53">
        <v>0.8</v>
      </c>
      <c r="BM53" s="216">
        <v>0.8</v>
      </c>
      <c r="BN53" s="216">
        <v>0.8</v>
      </c>
      <c r="BO53" s="216">
        <v>0.8</v>
      </c>
      <c r="BP53" s="216">
        <v>0.8</v>
      </c>
      <c r="BQ53" s="216">
        <v>0.8</v>
      </c>
      <c r="BR53" s="216">
        <v>0.8</v>
      </c>
      <c r="BS53" s="216">
        <v>0.8</v>
      </c>
      <c r="BT53" s="216">
        <v>0.8</v>
      </c>
      <c r="BU53" s="216">
        <v>0.8</v>
      </c>
      <c r="BV53" s="216">
        <v>0.8</v>
      </c>
      <c r="BW53" s="216">
        <v>0.8</v>
      </c>
      <c r="BX53" s="216">
        <v>0.8</v>
      </c>
      <c r="BY53" s="216">
        <v>0.8</v>
      </c>
      <c r="BZ53" s="216">
        <v>0.8</v>
      </c>
      <c r="CA53" s="216">
        <v>0.8</v>
      </c>
      <c r="CB53" s="216">
        <v>0.5</v>
      </c>
      <c r="CC53" s="216">
        <v>0.5</v>
      </c>
      <c r="CD53" s="216">
        <v>0.8</v>
      </c>
      <c r="CE53" s="216">
        <v>0.8</v>
      </c>
      <c r="CF53" s="216">
        <v>0.8</v>
      </c>
      <c r="CG53" s="216">
        <v>0.8</v>
      </c>
      <c r="CH53" s="216">
        <v>0.5</v>
      </c>
      <c r="CI53">
        <v>0</v>
      </c>
      <c r="CJ53" s="216">
        <v>0</v>
      </c>
      <c r="CK53" s="216">
        <v>0</v>
      </c>
      <c r="CL53" s="216">
        <v>0</v>
      </c>
      <c r="CM53" s="216">
        <v>0</v>
      </c>
    </row>
    <row r="54" spans="1:91" customFormat="1" ht="15" customHeight="1" x14ac:dyDescent="0.5">
      <c r="A54" s="245" t="s">
        <v>221</v>
      </c>
      <c r="B54">
        <v>0</v>
      </c>
      <c r="C54">
        <v>0</v>
      </c>
      <c r="D54">
        <v>0.8</v>
      </c>
      <c r="E54">
        <v>0.8</v>
      </c>
      <c r="F54">
        <v>0.8</v>
      </c>
      <c r="G54">
        <v>0.8</v>
      </c>
      <c r="H54">
        <v>0.8</v>
      </c>
      <c r="I54">
        <v>0.8</v>
      </c>
      <c r="J54">
        <v>0.8</v>
      </c>
      <c r="K54">
        <v>0.8</v>
      </c>
      <c r="L54">
        <v>0.8</v>
      </c>
      <c r="M54">
        <v>0.8</v>
      </c>
      <c r="N54">
        <v>0.5</v>
      </c>
      <c r="O54">
        <v>0.8</v>
      </c>
      <c r="P54">
        <v>0.8</v>
      </c>
      <c r="Q54">
        <v>0.8</v>
      </c>
      <c r="R54">
        <v>0.5</v>
      </c>
      <c r="S54">
        <v>0.5</v>
      </c>
      <c r="T54">
        <v>0.5</v>
      </c>
      <c r="U54">
        <v>0.5</v>
      </c>
      <c r="V54">
        <v>0.5</v>
      </c>
      <c r="W54">
        <v>0.5</v>
      </c>
      <c r="X54">
        <v>0.5</v>
      </c>
      <c r="Y54" s="216">
        <v>0.5</v>
      </c>
      <c r="Z54">
        <v>0.1</v>
      </c>
      <c r="AA54">
        <v>0.1</v>
      </c>
      <c r="AB54">
        <v>0.1</v>
      </c>
      <c r="AC54">
        <v>0.1</v>
      </c>
      <c r="AD54">
        <v>0.1</v>
      </c>
      <c r="AE54">
        <v>0.1</v>
      </c>
      <c r="AF54" s="216">
        <v>0.1</v>
      </c>
      <c r="AG54">
        <v>0.5</v>
      </c>
      <c r="AH54">
        <v>0.5</v>
      </c>
      <c r="AI54">
        <v>0.5</v>
      </c>
      <c r="AJ54">
        <v>0.5</v>
      </c>
      <c r="AK54">
        <v>0.5</v>
      </c>
      <c r="AL54">
        <v>0.5</v>
      </c>
      <c r="AM54">
        <v>0.5</v>
      </c>
      <c r="AN54">
        <v>0.5</v>
      </c>
      <c r="AO54">
        <v>0.5</v>
      </c>
      <c r="AP54">
        <v>0.5</v>
      </c>
      <c r="AQ54" s="216">
        <v>0.5</v>
      </c>
      <c r="AR54" s="216">
        <v>0.5</v>
      </c>
      <c r="AS54">
        <v>0.8</v>
      </c>
      <c r="AT54" s="216">
        <v>0.5</v>
      </c>
      <c r="AU54" s="216">
        <v>0.5</v>
      </c>
      <c r="AV54">
        <v>0.8</v>
      </c>
      <c r="AW54">
        <v>0.5</v>
      </c>
      <c r="AX54">
        <v>0.8</v>
      </c>
      <c r="AY54">
        <v>0.8</v>
      </c>
      <c r="AZ54">
        <v>0.8</v>
      </c>
      <c r="BA54">
        <v>0.8</v>
      </c>
      <c r="BB54">
        <v>0.5</v>
      </c>
      <c r="BC54">
        <v>0.8</v>
      </c>
      <c r="BD54">
        <v>0.8</v>
      </c>
      <c r="BE54">
        <v>0.8</v>
      </c>
      <c r="BF54">
        <v>0.8</v>
      </c>
      <c r="BG54">
        <v>0.8</v>
      </c>
      <c r="BH54">
        <v>0.8</v>
      </c>
      <c r="BI54">
        <v>0.8</v>
      </c>
      <c r="BJ54">
        <v>0.8</v>
      </c>
      <c r="BK54">
        <v>0.8</v>
      </c>
      <c r="BL54">
        <v>0.8</v>
      </c>
      <c r="BM54" s="216">
        <v>0.8</v>
      </c>
      <c r="BN54" s="216">
        <v>0.8</v>
      </c>
      <c r="BO54" s="216">
        <v>0.8</v>
      </c>
      <c r="BP54" s="216">
        <v>0.8</v>
      </c>
      <c r="BQ54" s="216">
        <v>0.8</v>
      </c>
      <c r="BR54" s="216">
        <v>0.8</v>
      </c>
      <c r="BS54" s="216">
        <v>0.8</v>
      </c>
      <c r="BT54" s="216">
        <v>0.8</v>
      </c>
      <c r="BU54" s="216">
        <v>0.8</v>
      </c>
      <c r="BV54" s="216">
        <v>0.8</v>
      </c>
      <c r="BW54" s="216">
        <v>0.8</v>
      </c>
      <c r="BX54" s="216">
        <v>0.8</v>
      </c>
      <c r="BY54" s="216">
        <v>0.8</v>
      </c>
      <c r="BZ54" s="216">
        <v>0.8</v>
      </c>
      <c r="CA54" s="216">
        <v>0.8</v>
      </c>
      <c r="CB54" s="216">
        <v>0.5</v>
      </c>
      <c r="CC54" s="216">
        <v>0.5</v>
      </c>
      <c r="CD54" s="216">
        <v>0.8</v>
      </c>
      <c r="CE54" s="216">
        <v>0.8</v>
      </c>
      <c r="CF54" s="216">
        <v>0.8</v>
      </c>
      <c r="CG54" s="216">
        <v>0.8</v>
      </c>
      <c r="CH54" s="216">
        <v>0.5</v>
      </c>
      <c r="CI54">
        <v>0</v>
      </c>
      <c r="CJ54" s="216">
        <v>0</v>
      </c>
      <c r="CK54" s="216">
        <v>0</v>
      </c>
      <c r="CL54" s="216">
        <v>0</v>
      </c>
      <c r="CM54" s="216">
        <v>0</v>
      </c>
    </row>
    <row r="55" spans="1:91" customFormat="1" ht="15" customHeight="1" x14ac:dyDescent="0.5">
      <c r="A55" s="245" t="s">
        <v>222</v>
      </c>
      <c r="B55">
        <v>0</v>
      </c>
      <c r="C55">
        <v>0</v>
      </c>
      <c r="D55">
        <v>0.8</v>
      </c>
      <c r="E55">
        <v>0.8</v>
      </c>
      <c r="F55">
        <v>0.8</v>
      </c>
      <c r="G55">
        <v>0.8</v>
      </c>
      <c r="H55">
        <v>0.8</v>
      </c>
      <c r="I55">
        <v>0.8</v>
      </c>
      <c r="J55">
        <v>0.8</v>
      </c>
      <c r="K55">
        <v>0.8</v>
      </c>
      <c r="L55">
        <v>0.8</v>
      </c>
      <c r="M55">
        <v>0.8</v>
      </c>
      <c r="N55">
        <v>0.5</v>
      </c>
      <c r="O55">
        <v>0.8</v>
      </c>
      <c r="P55">
        <v>0.8</v>
      </c>
      <c r="Q55">
        <v>0.8</v>
      </c>
      <c r="R55">
        <v>0.5</v>
      </c>
      <c r="S55">
        <v>0.5</v>
      </c>
      <c r="T55">
        <v>0.5</v>
      </c>
      <c r="U55">
        <v>0.5</v>
      </c>
      <c r="V55">
        <v>0.5</v>
      </c>
      <c r="W55">
        <v>0.5</v>
      </c>
      <c r="X55">
        <v>0.5</v>
      </c>
      <c r="Y55" s="216">
        <v>0.5</v>
      </c>
      <c r="Z55">
        <v>0.1</v>
      </c>
      <c r="AA55">
        <v>0.1</v>
      </c>
      <c r="AB55">
        <v>0.1</v>
      </c>
      <c r="AC55">
        <v>0.1</v>
      </c>
      <c r="AD55">
        <v>0.1</v>
      </c>
      <c r="AE55">
        <v>0.1</v>
      </c>
      <c r="AF55" s="216">
        <v>0.1</v>
      </c>
      <c r="AG55">
        <v>0.5</v>
      </c>
      <c r="AH55">
        <v>0.5</v>
      </c>
      <c r="AI55">
        <v>0.5</v>
      </c>
      <c r="AJ55">
        <v>0.5</v>
      </c>
      <c r="AK55">
        <v>0.5</v>
      </c>
      <c r="AL55">
        <v>0.5</v>
      </c>
      <c r="AM55">
        <v>0.5</v>
      </c>
      <c r="AN55">
        <v>0.5</v>
      </c>
      <c r="AO55">
        <v>0.5</v>
      </c>
      <c r="AP55">
        <v>0.5</v>
      </c>
      <c r="AQ55" s="216">
        <v>0.5</v>
      </c>
      <c r="AR55" s="216">
        <v>0.5</v>
      </c>
      <c r="AS55">
        <v>0.8</v>
      </c>
      <c r="AT55" s="216">
        <v>0.5</v>
      </c>
      <c r="AU55" s="216">
        <v>0.5</v>
      </c>
      <c r="AV55">
        <v>0.8</v>
      </c>
      <c r="AW55">
        <v>0.5</v>
      </c>
      <c r="AX55">
        <v>0.8</v>
      </c>
      <c r="AY55">
        <v>0.8</v>
      </c>
      <c r="AZ55">
        <v>0.8</v>
      </c>
      <c r="BA55">
        <v>0.8</v>
      </c>
      <c r="BB55">
        <v>0.5</v>
      </c>
      <c r="BC55">
        <v>0.8</v>
      </c>
      <c r="BD55">
        <v>0.8</v>
      </c>
      <c r="BE55">
        <v>0.8</v>
      </c>
      <c r="BF55">
        <v>0.8</v>
      </c>
      <c r="BG55">
        <v>0.8</v>
      </c>
      <c r="BH55">
        <v>0.8</v>
      </c>
      <c r="BI55">
        <v>0.8</v>
      </c>
      <c r="BJ55">
        <v>0.8</v>
      </c>
      <c r="BK55">
        <v>0.8</v>
      </c>
      <c r="BL55">
        <v>0.8</v>
      </c>
      <c r="BM55" s="216">
        <v>0.8</v>
      </c>
      <c r="BN55" s="216">
        <v>0.8</v>
      </c>
      <c r="BO55" s="216">
        <v>0.8</v>
      </c>
      <c r="BP55" s="216">
        <v>0.8</v>
      </c>
      <c r="BQ55" s="216">
        <v>0.8</v>
      </c>
      <c r="BR55" s="216">
        <v>0.8</v>
      </c>
      <c r="BS55" s="216">
        <v>0.8</v>
      </c>
      <c r="BT55" s="216">
        <v>0.8</v>
      </c>
      <c r="BU55" s="216">
        <v>0.8</v>
      </c>
      <c r="BV55" s="216">
        <v>0.8</v>
      </c>
      <c r="BW55" s="216">
        <v>0.8</v>
      </c>
      <c r="BX55" s="216">
        <v>0.8</v>
      </c>
      <c r="BY55" s="216">
        <v>0.8</v>
      </c>
      <c r="BZ55" s="216">
        <v>0.8</v>
      </c>
      <c r="CA55" s="216">
        <v>0.8</v>
      </c>
      <c r="CB55" s="216">
        <v>0.5</v>
      </c>
      <c r="CC55" s="216">
        <v>0.5</v>
      </c>
      <c r="CD55" s="216">
        <v>0.8</v>
      </c>
      <c r="CE55" s="216">
        <v>0.8</v>
      </c>
      <c r="CF55" s="216">
        <v>0.8</v>
      </c>
      <c r="CG55" s="216">
        <v>0.8</v>
      </c>
      <c r="CH55" s="216">
        <v>0.5</v>
      </c>
      <c r="CI55">
        <v>0</v>
      </c>
      <c r="CJ55" s="216">
        <v>0</v>
      </c>
      <c r="CK55" s="216">
        <v>0</v>
      </c>
      <c r="CL55" s="216">
        <v>0</v>
      </c>
      <c r="CM55" s="216">
        <v>0</v>
      </c>
    </row>
    <row r="56" spans="1:91" customFormat="1" ht="15" customHeight="1" x14ac:dyDescent="0.5">
      <c r="A56" s="245" t="s">
        <v>223</v>
      </c>
      <c r="B56">
        <v>0</v>
      </c>
      <c r="C56">
        <v>0</v>
      </c>
      <c r="D56">
        <v>0.8</v>
      </c>
      <c r="E56">
        <v>0.8</v>
      </c>
      <c r="F56">
        <v>0.8</v>
      </c>
      <c r="G56">
        <v>0.8</v>
      </c>
      <c r="H56">
        <v>0.8</v>
      </c>
      <c r="I56">
        <v>0.8</v>
      </c>
      <c r="J56">
        <v>0.8</v>
      </c>
      <c r="K56">
        <v>0.8</v>
      </c>
      <c r="L56">
        <v>0.8</v>
      </c>
      <c r="M56">
        <v>0.8</v>
      </c>
      <c r="N56">
        <v>0.5</v>
      </c>
      <c r="O56">
        <v>0.8</v>
      </c>
      <c r="P56">
        <v>0.8</v>
      </c>
      <c r="Q56">
        <v>0.8</v>
      </c>
      <c r="R56">
        <v>0.5</v>
      </c>
      <c r="S56">
        <v>0.5</v>
      </c>
      <c r="T56">
        <v>0.5</v>
      </c>
      <c r="U56">
        <v>0.5</v>
      </c>
      <c r="V56">
        <v>0.5</v>
      </c>
      <c r="W56">
        <v>0.5</v>
      </c>
      <c r="X56">
        <v>0.5</v>
      </c>
      <c r="Y56" s="216">
        <v>0.5</v>
      </c>
      <c r="Z56">
        <v>0.1</v>
      </c>
      <c r="AA56">
        <v>0.1</v>
      </c>
      <c r="AB56">
        <v>0.1</v>
      </c>
      <c r="AC56">
        <v>0.1</v>
      </c>
      <c r="AD56">
        <v>0.1</v>
      </c>
      <c r="AE56">
        <v>0.1</v>
      </c>
      <c r="AF56" s="216">
        <v>0.1</v>
      </c>
      <c r="AG56">
        <v>0.5</v>
      </c>
      <c r="AH56">
        <v>0.5</v>
      </c>
      <c r="AI56">
        <v>0.5</v>
      </c>
      <c r="AJ56">
        <v>0.5</v>
      </c>
      <c r="AK56">
        <v>0.5</v>
      </c>
      <c r="AL56">
        <v>0.5</v>
      </c>
      <c r="AM56">
        <v>0.5</v>
      </c>
      <c r="AN56">
        <v>0.5</v>
      </c>
      <c r="AO56">
        <v>0.5</v>
      </c>
      <c r="AP56">
        <v>0.5</v>
      </c>
      <c r="AQ56" s="216">
        <v>0.5</v>
      </c>
      <c r="AR56" s="216">
        <v>0.5</v>
      </c>
      <c r="AS56">
        <v>0.8</v>
      </c>
      <c r="AT56" s="216">
        <v>0.5</v>
      </c>
      <c r="AU56" s="216">
        <v>0.5</v>
      </c>
      <c r="AV56">
        <v>0.8</v>
      </c>
      <c r="AW56">
        <v>0.5</v>
      </c>
      <c r="AX56">
        <v>0.8</v>
      </c>
      <c r="AY56">
        <v>0.8</v>
      </c>
      <c r="AZ56">
        <v>0.8</v>
      </c>
      <c r="BA56">
        <v>0.8</v>
      </c>
      <c r="BB56">
        <v>0.5</v>
      </c>
      <c r="BC56">
        <v>0.8</v>
      </c>
      <c r="BD56">
        <v>0.8</v>
      </c>
      <c r="BE56">
        <v>0.8</v>
      </c>
      <c r="BF56">
        <v>0.8</v>
      </c>
      <c r="BG56">
        <v>0.8</v>
      </c>
      <c r="BH56">
        <v>0.8</v>
      </c>
      <c r="BI56">
        <v>0.8</v>
      </c>
      <c r="BJ56">
        <v>0.8</v>
      </c>
      <c r="BK56">
        <v>0.8</v>
      </c>
      <c r="BL56">
        <v>0.8</v>
      </c>
      <c r="BM56" s="216">
        <v>0.8</v>
      </c>
      <c r="BN56" s="216">
        <v>0.8</v>
      </c>
      <c r="BO56" s="216">
        <v>0.8</v>
      </c>
      <c r="BP56" s="216">
        <v>0.8</v>
      </c>
      <c r="BQ56" s="216">
        <v>0.8</v>
      </c>
      <c r="BR56" s="216">
        <v>0.8</v>
      </c>
      <c r="BS56" s="216">
        <v>0.8</v>
      </c>
      <c r="BT56" s="216">
        <v>0.8</v>
      </c>
      <c r="BU56" s="216">
        <v>0.8</v>
      </c>
      <c r="BV56" s="216">
        <v>0.8</v>
      </c>
      <c r="BW56" s="216">
        <v>0.8</v>
      </c>
      <c r="BX56" s="216">
        <v>0.8</v>
      </c>
      <c r="BY56" s="216">
        <v>0.8</v>
      </c>
      <c r="BZ56" s="216">
        <v>0.8</v>
      </c>
      <c r="CA56" s="216">
        <v>0.8</v>
      </c>
      <c r="CB56" s="216">
        <v>0.5</v>
      </c>
      <c r="CC56" s="216">
        <v>0.5</v>
      </c>
      <c r="CD56" s="216">
        <v>0.8</v>
      </c>
      <c r="CE56" s="216">
        <v>0.8</v>
      </c>
      <c r="CF56" s="216">
        <v>0.8</v>
      </c>
      <c r="CG56" s="216">
        <v>0.8</v>
      </c>
      <c r="CH56" s="216">
        <v>0.5</v>
      </c>
      <c r="CI56">
        <v>0</v>
      </c>
      <c r="CJ56" s="216">
        <v>0</v>
      </c>
      <c r="CK56" s="216">
        <v>0</v>
      </c>
      <c r="CL56" s="216">
        <v>0</v>
      </c>
      <c r="CM56" s="216">
        <v>0</v>
      </c>
    </row>
    <row r="57" spans="1:91" customFormat="1" ht="15" customHeight="1" x14ac:dyDescent="0.5">
      <c r="A57" s="245" t="s">
        <v>224</v>
      </c>
      <c r="B57">
        <v>0</v>
      </c>
      <c r="C57">
        <v>0</v>
      </c>
      <c r="D57">
        <v>0.8</v>
      </c>
      <c r="E57">
        <v>0.8</v>
      </c>
      <c r="F57">
        <v>0.8</v>
      </c>
      <c r="G57">
        <v>0.8</v>
      </c>
      <c r="H57">
        <v>0.8</v>
      </c>
      <c r="I57">
        <v>0.8</v>
      </c>
      <c r="J57">
        <v>0.8</v>
      </c>
      <c r="K57">
        <v>0.8</v>
      </c>
      <c r="L57">
        <v>0.8</v>
      </c>
      <c r="M57">
        <v>0.8</v>
      </c>
      <c r="N57">
        <v>0.5</v>
      </c>
      <c r="O57">
        <v>0.8</v>
      </c>
      <c r="P57">
        <v>0.8</v>
      </c>
      <c r="Q57">
        <v>0.8</v>
      </c>
      <c r="R57">
        <v>0.5</v>
      </c>
      <c r="S57">
        <v>0.5</v>
      </c>
      <c r="T57">
        <v>0.5</v>
      </c>
      <c r="U57">
        <v>0.5</v>
      </c>
      <c r="V57">
        <v>0.5</v>
      </c>
      <c r="W57">
        <v>0.5</v>
      </c>
      <c r="X57">
        <v>0.5</v>
      </c>
      <c r="Y57" s="216">
        <v>0.5</v>
      </c>
      <c r="Z57">
        <v>0.1</v>
      </c>
      <c r="AA57">
        <v>0.1</v>
      </c>
      <c r="AB57">
        <v>0.1</v>
      </c>
      <c r="AC57">
        <v>0.1</v>
      </c>
      <c r="AD57">
        <v>0.1</v>
      </c>
      <c r="AE57">
        <v>0.1</v>
      </c>
      <c r="AF57" s="216">
        <v>0.1</v>
      </c>
      <c r="AG57">
        <v>0.5</v>
      </c>
      <c r="AH57">
        <v>0.5</v>
      </c>
      <c r="AI57">
        <v>0.5</v>
      </c>
      <c r="AJ57">
        <v>0.5</v>
      </c>
      <c r="AK57">
        <v>0.5</v>
      </c>
      <c r="AL57">
        <v>0.5</v>
      </c>
      <c r="AM57">
        <v>0.5</v>
      </c>
      <c r="AN57">
        <v>0.5</v>
      </c>
      <c r="AO57">
        <v>0.5</v>
      </c>
      <c r="AP57">
        <v>0.5</v>
      </c>
      <c r="AQ57" s="216">
        <v>0.5</v>
      </c>
      <c r="AR57" s="216">
        <v>0.5</v>
      </c>
      <c r="AS57">
        <v>0.8</v>
      </c>
      <c r="AT57" s="216">
        <v>0.5</v>
      </c>
      <c r="AU57" s="216">
        <v>0.5</v>
      </c>
      <c r="AV57">
        <v>0.8</v>
      </c>
      <c r="AW57">
        <v>0.5</v>
      </c>
      <c r="AX57">
        <v>0.8</v>
      </c>
      <c r="AY57">
        <v>0.8</v>
      </c>
      <c r="AZ57">
        <v>0.8</v>
      </c>
      <c r="BA57">
        <v>0.8</v>
      </c>
      <c r="BB57">
        <v>0.5</v>
      </c>
      <c r="BC57">
        <v>0.8</v>
      </c>
      <c r="BD57">
        <v>0.8</v>
      </c>
      <c r="BE57">
        <v>0.8</v>
      </c>
      <c r="BF57">
        <v>0.8</v>
      </c>
      <c r="BG57">
        <v>0.8</v>
      </c>
      <c r="BH57">
        <v>0.8</v>
      </c>
      <c r="BI57">
        <v>0.8</v>
      </c>
      <c r="BJ57">
        <v>0.8</v>
      </c>
      <c r="BK57">
        <v>0.8</v>
      </c>
      <c r="BL57">
        <v>0.8</v>
      </c>
      <c r="BM57" s="216">
        <v>0.8</v>
      </c>
      <c r="BN57" s="216">
        <v>0.8</v>
      </c>
      <c r="BO57" s="216">
        <v>0.8</v>
      </c>
      <c r="BP57" s="216">
        <v>0.8</v>
      </c>
      <c r="BQ57" s="216">
        <v>0.8</v>
      </c>
      <c r="BR57" s="216">
        <v>0.8</v>
      </c>
      <c r="BS57" s="216">
        <v>0.8</v>
      </c>
      <c r="BT57" s="216">
        <v>0.8</v>
      </c>
      <c r="BU57" s="216">
        <v>0.8</v>
      </c>
      <c r="BV57" s="216">
        <v>0.8</v>
      </c>
      <c r="BW57" s="216">
        <v>0.8</v>
      </c>
      <c r="BX57" s="216">
        <v>0.8</v>
      </c>
      <c r="BY57" s="216">
        <v>0.8</v>
      </c>
      <c r="BZ57" s="216">
        <v>0.8</v>
      </c>
      <c r="CA57" s="216">
        <v>0.8</v>
      </c>
      <c r="CB57" s="216">
        <v>0.5</v>
      </c>
      <c r="CC57" s="216">
        <v>0.5</v>
      </c>
      <c r="CD57" s="216">
        <v>0.8</v>
      </c>
      <c r="CE57" s="216">
        <v>0.8</v>
      </c>
      <c r="CF57" s="216">
        <v>0.8</v>
      </c>
      <c r="CG57" s="216">
        <v>0.8</v>
      </c>
      <c r="CH57" s="216">
        <v>0.5</v>
      </c>
      <c r="CI57">
        <v>0</v>
      </c>
      <c r="CJ57" s="216">
        <v>0</v>
      </c>
      <c r="CK57" s="216">
        <v>0</v>
      </c>
      <c r="CL57" s="216">
        <v>0</v>
      </c>
      <c r="CM57" s="216">
        <v>0</v>
      </c>
    </row>
    <row r="58" spans="1:91" customFormat="1" ht="15" customHeight="1" x14ac:dyDescent="0.5">
      <c r="A58" s="245" t="s">
        <v>225</v>
      </c>
      <c r="B58">
        <v>0</v>
      </c>
      <c r="C58">
        <v>0</v>
      </c>
      <c r="D58">
        <v>0.8</v>
      </c>
      <c r="E58">
        <v>0.8</v>
      </c>
      <c r="F58">
        <v>0.8</v>
      </c>
      <c r="G58">
        <v>0.8</v>
      </c>
      <c r="H58">
        <v>0.8</v>
      </c>
      <c r="I58">
        <v>0.8</v>
      </c>
      <c r="J58">
        <v>0.8</v>
      </c>
      <c r="K58">
        <v>0.8</v>
      </c>
      <c r="L58">
        <v>0.8</v>
      </c>
      <c r="M58">
        <v>0.8</v>
      </c>
      <c r="N58">
        <v>0.5</v>
      </c>
      <c r="O58">
        <v>0.8</v>
      </c>
      <c r="P58">
        <v>0.8</v>
      </c>
      <c r="Q58">
        <v>0.8</v>
      </c>
      <c r="R58">
        <v>0.5</v>
      </c>
      <c r="S58">
        <v>0.5</v>
      </c>
      <c r="T58">
        <v>0.5</v>
      </c>
      <c r="U58">
        <v>0.5</v>
      </c>
      <c r="V58">
        <v>0.5</v>
      </c>
      <c r="W58">
        <v>0.5</v>
      </c>
      <c r="X58">
        <v>0.5</v>
      </c>
      <c r="Y58" s="216">
        <v>0.5</v>
      </c>
      <c r="Z58">
        <v>0.1</v>
      </c>
      <c r="AA58">
        <v>0.1</v>
      </c>
      <c r="AB58">
        <v>0.1</v>
      </c>
      <c r="AC58">
        <v>0.1</v>
      </c>
      <c r="AD58">
        <v>0.1</v>
      </c>
      <c r="AE58">
        <v>0.1</v>
      </c>
      <c r="AF58" s="216">
        <v>0.1</v>
      </c>
      <c r="AG58">
        <v>0.5</v>
      </c>
      <c r="AH58">
        <v>0.5</v>
      </c>
      <c r="AI58">
        <v>0.5</v>
      </c>
      <c r="AJ58">
        <v>0.5</v>
      </c>
      <c r="AK58">
        <v>0.5</v>
      </c>
      <c r="AL58">
        <v>0.5</v>
      </c>
      <c r="AM58">
        <v>0.5</v>
      </c>
      <c r="AN58">
        <v>0.5</v>
      </c>
      <c r="AO58">
        <v>0.5</v>
      </c>
      <c r="AP58">
        <v>0.5</v>
      </c>
      <c r="AQ58" s="216">
        <v>0.5</v>
      </c>
      <c r="AR58" s="216">
        <v>0.5</v>
      </c>
      <c r="AS58">
        <v>0.8</v>
      </c>
      <c r="AT58" s="216">
        <v>0.5</v>
      </c>
      <c r="AU58" s="216">
        <v>0.5</v>
      </c>
      <c r="AV58">
        <v>0.8</v>
      </c>
      <c r="AW58">
        <v>0.5</v>
      </c>
      <c r="AX58">
        <v>0.8</v>
      </c>
      <c r="AY58">
        <v>0.8</v>
      </c>
      <c r="AZ58">
        <v>0.8</v>
      </c>
      <c r="BA58">
        <v>0.8</v>
      </c>
      <c r="BB58">
        <v>0.5</v>
      </c>
      <c r="BC58">
        <v>0.8</v>
      </c>
      <c r="BD58">
        <v>0.8</v>
      </c>
      <c r="BE58">
        <v>0.8</v>
      </c>
      <c r="BF58">
        <v>0.8</v>
      </c>
      <c r="BG58">
        <v>0.8</v>
      </c>
      <c r="BH58">
        <v>0.8</v>
      </c>
      <c r="BI58">
        <v>0.8</v>
      </c>
      <c r="BJ58">
        <v>0.8</v>
      </c>
      <c r="BK58">
        <v>0.8</v>
      </c>
      <c r="BL58">
        <v>0.8</v>
      </c>
      <c r="BM58" s="216">
        <v>0.8</v>
      </c>
      <c r="BN58" s="216">
        <v>0.8</v>
      </c>
      <c r="BO58" s="216">
        <v>0.8</v>
      </c>
      <c r="BP58" s="216">
        <v>0.8</v>
      </c>
      <c r="BQ58" s="216">
        <v>0.8</v>
      </c>
      <c r="BR58" s="216">
        <v>0.8</v>
      </c>
      <c r="BS58" s="216">
        <v>0.8</v>
      </c>
      <c r="BT58" s="216">
        <v>0.8</v>
      </c>
      <c r="BU58" s="216">
        <v>0.8</v>
      </c>
      <c r="BV58" s="216">
        <v>0.8</v>
      </c>
      <c r="BW58" s="216">
        <v>0.8</v>
      </c>
      <c r="BX58" s="216">
        <v>0.8</v>
      </c>
      <c r="BY58" s="216">
        <v>0.8</v>
      </c>
      <c r="BZ58" s="216">
        <v>0.8</v>
      </c>
      <c r="CA58" s="216">
        <v>0.8</v>
      </c>
      <c r="CB58" s="216">
        <v>0.5</v>
      </c>
      <c r="CC58" s="216">
        <v>0.5</v>
      </c>
      <c r="CD58" s="216">
        <v>0.8</v>
      </c>
      <c r="CE58" s="216">
        <v>0.8</v>
      </c>
      <c r="CF58" s="216">
        <v>0.8</v>
      </c>
      <c r="CG58" s="216">
        <v>0.8</v>
      </c>
      <c r="CH58" s="216">
        <v>0.5</v>
      </c>
      <c r="CI58">
        <v>0</v>
      </c>
      <c r="CJ58" s="216">
        <v>0</v>
      </c>
      <c r="CK58" s="216">
        <v>0</v>
      </c>
      <c r="CL58" s="216">
        <v>0</v>
      </c>
      <c r="CM58" s="216">
        <v>0</v>
      </c>
    </row>
    <row r="59" spans="1:91" customFormat="1" ht="15" customHeight="1" x14ac:dyDescent="0.5">
      <c r="A59" s="245" t="s">
        <v>226</v>
      </c>
      <c r="B59">
        <v>0</v>
      </c>
      <c r="C59">
        <v>0</v>
      </c>
      <c r="D59">
        <v>0.8</v>
      </c>
      <c r="E59">
        <v>0.8</v>
      </c>
      <c r="F59">
        <v>0.8</v>
      </c>
      <c r="G59">
        <v>0.8</v>
      </c>
      <c r="H59">
        <v>0.8</v>
      </c>
      <c r="I59">
        <v>0.8</v>
      </c>
      <c r="J59">
        <v>0.8</v>
      </c>
      <c r="K59">
        <v>0.8</v>
      </c>
      <c r="L59">
        <v>0.8</v>
      </c>
      <c r="M59">
        <v>0.8</v>
      </c>
      <c r="N59">
        <v>0.5</v>
      </c>
      <c r="O59">
        <v>0.8</v>
      </c>
      <c r="P59">
        <v>0.8</v>
      </c>
      <c r="Q59">
        <v>0.8</v>
      </c>
      <c r="R59">
        <v>0.5</v>
      </c>
      <c r="S59">
        <v>0.5</v>
      </c>
      <c r="T59">
        <v>0.5</v>
      </c>
      <c r="U59">
        <v>0.5</v>
      </c>
      <c r="V59">
        <v>0.5</v>
      </c>
      <c r="W59">
        <v>0.5</v>
      </c>
      <c r="X59">
        <v>0.5</v>
      </c>
      <c r="Y59" s="216">
        <v>0.5</v>
      </c>
      <c r="Z59">
        <v>0.1</v>
      </c>
      <c r="AA59">
        <v>0.1</v>
      </c>
      <c r="AB59">
        <v>0.1</v>
      </c>
      <c r="AC59">
        <v>0.1</v>
      </c>
      <c r="AD59">
        <v>0.1</v>
      </c>
      <c r="AE59">
        <v>0.1</v>
      </c>
      <c r="AF59" s="216">
        <v>0.1</v>
      </c>
      <c r="AG59">
        <v>0.5</v>
      </c>
      <c r="AH59">
        <v>0.5</v>
      </c>
      <c r="AI59">
        <v>0.5</v>
      </c>
      <c r="AJ59">
        <v>0.5</v>
      </c>
      <c r="AK59">
        <v>0.5</v>
      </c>
      <c r="AL59">
        <v>0.5</v>
      </c>
      <c r="AM59">
        <v>0.5</v>
      </c>
      <c r="AN59">
        <v>0.5</v>
      </c>
      <c r="AO59">
        <v>0.5</v>
      </c>
      <c r="AP59">
        <v>0.5</v>
      </c>
      <c r="AQ59" s="216">
        <v>0.5</v>
      </c>
      <c r="AR59" s="216">
        <v>0.5</v>
      </c>
      <c r="AS59">
        <v>0.8</v>
      </c>
      <c r="AT59" s="216">
        <v>0.5</v>
      </c>
      <c r="AU59" s="216">
        <v>0.5</v>
      </c>
      <c r="AV59">
        <v>0.8</v>
      </c>
      <c r="AW59">
        <v>0.5</v>
      </c>
      <c r="AX59">
        <v>0.8</v>
      </c>
      <c r="AY59">
        <v>0.8</v>
      </c>
      <c r="AZ59">
        <v>0.8</v>
      </c>
      <c r="BA59">
        <v>0.8</v>
      </c>
      <c r="BB59">
        <v>0.5</v>
      </c>
      <c r="BC59">
        <v>0.8</v>
      </c>
      <c r="BD59">
        <v>0.8</v>
      </c>
      <c r="BE59">
        <v>0.8</v>
      </c>
      <c r="BF59">
        <v>0.8</v>
      </c>
      <c r="BG59">
        <v>0.8</v>
      </c>
      <c r="BH59">
        <v>0.8</v>
      </c>
      <c r="BI59">
        <v>0.8</v>
      </c>
      <c r="BJ59">
        <v>0.8</v>
      </c>
      <c r="BK59">
        <v>0.8</v>
      </c>
      <c r="BL59">
        <v>0.8</v>
      </c>
      <c r="BM59" s="216">
        <v>0.8</v>
      </c>
      <c r="BN59" s="216">
        <v>0.8</v>
      </c>
      <c r="BO59" s="216">
        <v>0.8</v>
      </c>
      <c r="BP59" s="216">
        <v>0.8</v>
      </c>
      <c r="BQ59" s="216">
        <v>0.8</v>
      </c>
      <c r="BR59" s="216">
        <v>0.8</v>
      </c>
      <c r="BS59" s="216">
        <v>0.8</v>
      </c>
      <c r="BT59" s="216">
        <v>0.8</v>
      </c>
      <c r="BU59" s="216">
        <v>0.8</v>
      </c>
      <c r="BV59" s="216">
        <v>0.8</v>
      </c>
      <c r="BW59" s="216">
        <v>0.8</v>
      </c>
      <c r="BX59" s="216">
        <v>0.8</v>
      </c>
      <c r="BY59" s="216">
        <v>0.8</v>
      </c>
      <c r="BZ59" s="216">
        <v>0.8</v>
      </c>
      <c r="CA59" s="216">
        <v>0.8</v>
      </c>
      <c r="CB59" s="216">
        <v>0.5</v>
      </c>
      <c r="CC59" s="216">
        <v>0.5</v>
      </c>
      <c r="CD59" s="216">
        <v>0.8</v>
      </c>
      <c r="CE59" s="216">
        <v>0.8</v>
      </c>
      <c r="CF59" s="216">
        <v>0.8</v>
      </c>
      <c r="CG59" s="216">
        <v>0.8</v>
      </c>
      <c r="CH59" s="216">
        <v>0.5</v>
      </c>
      <c r="CI59">
        <v>0</v>
      </c>
      <c r="CJ59" s="216">
        <v>0</v>
      </c>
      <c r="CK59" s="216">
        <v>0</v>
      </c>
      <c r="CL59" s="216">
        <v>0</v>
      </c>
      <c r="CM59" s="216">
        <v>0</v>
      </c>
    </row>
    <row r="60" spans="1:91" customFormat="1" ht="15" customHeight="1" x14ac:dyDescent="0.5">
      <c r="A60" s="245" t="s">
        <v>227</v>
      </c>
      <c r="B60">
        <v>0</v>
      </c>
      <c r="C60">
        <v>0</v>
      </c>
      <c r="D60">
        <v>0.8</v>
      </c>
      <c r="E60">
        <v>0.8</v>
      </c>
      <c r="F60">
        <v>0.8</v>
      </c>
      <c r="G60">
        <v>0.8</v>
      </c>
      <c r="H60">
        <v>0.8</v>
      </c>
      <c r="I60">
        <v>0.8</v>
      </c>
      <c r="J60">
        <v>0.8</v>
      </c>
      <c r="K60">
        <v>0.8</v>
      </c>
      <c r="L60">
        <v>0.8</v>
      </c>
      <c r="M60">
        <v>0.8</v>
      </c>
      <c r="N60">
        <v>0.5</v>
      </c>
      <c r="O60">
        <v>0.8</v>
      </c>
      <c r="P60">
        <v>0.8</v>
      </c>
      <c r="Q60">
        <v>0.8</v>
      </c>
      <c r="R60">
        <v>0.5</v>
      </c>
      <c r="S60">
        <v>0.5</v>
      </c>
      <c r="T60">
        <v>0.5</v>
      </c>
      <c r="U60">
        <v>0.5</v>
      </c>
      <c r="V60">
        <v>0.5</v>
      </c>
      <c r="W60">
        <v>0.5</v>
      </c>
      <c r="X60">
        <v>0.5</v>
      </c>
      <c r="Y60" s="216">
        <v>0.5</v>
      </c>
      <c r="Z60">
        <v>0.1</v>
      </c>
      <c r="AA60">
        <v>0.1</v>
      </c>
      <c r="AB60">
        <v>0.1</v>
      </c>
      <c r="AC60">
        <v>0.1</v>
      </c>
      <c r="AD60">
        <v>0.1</v>
      </c>
      <c r="AE60">
        <v>0.1</v>
      </c>
      <c r="AF60" s="216">
        <v>0.1</v>
      </c>
      <c r="AG60">
        <v>0.5</v>
      </c>
      <c r="AH60">
        <v>0.5</v>
      </c>
      <c r="AI60">
        <v>0.5</v>
      </c>
      <c r="AJ60">
        <v>0.5</v>
      </c>
      <c r="AK60">
        <v>0.5</v>
      </c>
      <c r="AL60">
        <v>0.5</v>
      </c>
      <c r="AM60">
        <v>0.5</v>
      </c>
      <c r="AN60">
        <v>0.5</v>
      </c>
      <c r="AO60">
        <v>0.5</v>
      </c>
      <c r="AP60">
        <v>0.5</v>
      </c>
      <c r="AQ60" s="216">
        <v>0.5</v>
      </c>
      <c r="AR60" s="216">
        <v>0.5</v>
      </c>
      <c r="AS60">
        <v>0.8</v>
      </c>
      <c r="AT60" s="216">
        <v>0.5</v>
      </c>
      <c r="AU60" s="216">
        <v>0.5</v>
      </c>
      <c r="AV60">
        <v>0.8</v>
      </c>
      <c r="AW60">
        <v>0.5</v>
      </c>
      <c r="AX60">
        <v>0.8</v>
      </c>
      <c r="AY60">
        <v>0.8</v>
      </c>
      <c r="AZ60">
        <v>0.8</v>
      </c>
      <c r="BA60">
        <v>0.8</v>
      </c>
      <c r="BB60">
        <v>0.5</v>
      </c>
      <c r="BC60">
        <v>0.8</v>
      </c>
      <c r="BD60">
        <v>0.8</v>
      </c>
      <c r="BE60">
        <v>0.8</v>
      </c>
      <c r="BF60">
        <v>0.8</v>
      </c>
      <c r="BG60">
        <v>0.8</v>
      </c>
      <c r="BH60">
        <v>0.8</v>
      </c>
      <c r="BI60">
        <v>0.8</v>
      </c>
      <c r="BJ60">
        <v>0.8</v>
      </c>
      <c r="BK60">
        <v>0.8</v>
      </c>
      <c r="BL60">
        <v>0.8</v>
      </c>
      <c r="BM60" s="216">
        <v>0.8</v>
      </c>
      <c r="BN60" s="216">
        <v>0.8</v>
      </c>
      <c r="BO60" s="216">
        <v>0.8</v>
      </c>
      <c r="BP60" s="216">
        <v>0.8</v>
      </c>
      <c r="BQ60" s="216">
        <v>0.8</v>
      </c>
      <c r="BR60" s="216">
        <v>0.8</v>
      </c>
      <c r="BS60" s="216">
        <v>0.8</v>
      </c>
      <c r="BT60" s="216">
        <v>0.8</v>
      </c>
      <c r="BU60" s="216">
        <v>0.8</v>
      </c>
      <c r="BV60" s="216">
        <v>0.8</v>
      </c>
      <c r="BW60" s="216">
        <v>0.8</v>
      </c>
      <c r="BX60" s="216">
        <v>0.8</v>
      </c>
      <c r="BY60" s="216">
        <v>0.8</v>
      </c>
      <c r="BZ60" s="216">
        <v>0.8</v>
      </c>
      <c r="CA60" s="216">
        <v>0.8</v>
      </c>
      <c r="CB60" s="216">
        <v>0.5</v>
      </c>
      <c r="CC60" s="216">
        <v>0.5</v>
      </c>
      <c r="CD60" s="216">
        <v>0.8</v>
      </c>
      <c r="CE60" s="216">
        <v>0.8</v>
      </c>
      <c r="CF60" s="216">
        <v>0.8</v>
      </c>
      <c r="CG60" s="216">
        <v>0.8</v>
      </c>
      <c r="CH60" s="216">
        <v>0.5</v>
      </c>
      <c r="CI60">
        <v>0</v>
      </c>
      <c r="CJ60" s="216">
        <v>0</v>
      </c>
      <c r="CK60" s="216">
        <v>0</v>
      </c>
      <c r="CL60" s="216">
        <v>0</v>
      </c>
      <c r="CM60" s="216">
        <v>0</v>
      </c>
    </row>
    <row r="61" spans="1:91" customFormat="1" ht="15" customHeight="1" x14ac:dyDescent="0.5">
      <c r="A61" s="245" t="s">
        <v>228</v>
      </c>
      <c r="B61">
        <v>0</v>
      </c>
      <c r="C61">
        <v>0</v>
      </c>
      <c r="D61">
        <v>0.8</v>
      </c>
      <c r="E61">
        <v>0.8</v>
      </c>
      <c r="F61">
        <v>0.8</v>
      </c>
      <c r="G61">
        <v>0.8</v>
      </c>
      <c r="H61">
        <v>0.8</v>
      </c>
      <c r="I61">
        <v>0.8</v>
      </c>
      <c r="J61">
        <v>0.8</v>
      </c>
      <c r="K61">
        <v>0.8</v>
      </c>
      <c r="L61">
        <v>0.8</v>
      </c>
      <c r="M61">
        <v>0.8</v>
      </c>
      <c r="N61">
        <v>0.5</v>
      </c>
      <c r="O61">
        <v>0.8</v>
      </c>
      <c r="P61">
        <v>0.8</v>
      </c>
      <c r="Q61">
        <v>0.8</v>
      </c>
      <c r="R61">
        <v>0.5</v>
      </c>
      <c r="S61">
        <v>0.5</v>
      </c>
      <c r="T61">
        <v>0.5</v>
      </c>
      <c r="U61">
        <v>0.5</v>
      </c>
      <c r="V61">
        <v>0.5</v>
      </c>
      <c r="W61">
        <v>0.5</v>
      </c>
      <c r="X61">
        <v>0.5</v>
      </c>
      <c r="Y61" s="216">
        <v>0.5</v>
      </c>
      <c r="Z61">
        <v>0.1</v>
      </c>
      <c r="AA61">
        <v>0.1</v>
      </c>
      <c r="AB61">
        <v>0.1</v>
      </c>
      <c r="AC61">
        <v>0.1</v>
      </c>
      <c r="AD61">
        <v>0.1</v>
      </c>
      <c r="AE61">
        <v>0.1</v>
      </c>
      <c r="AF61" s="216">
        <v>0.1</v>
      </c>
      <c r="AG61">
        <v>0.5</v>
      </c>
      <c r="AH61">
        <v>0.5</v>
      </c>
      <c r="AI61">
        <v>0.5</v>
      </c>
      <c r="AJ61">
        <v>0.5</v>
      </c>
      <c r="AK61">
        <v>0.5</v>
      </c>
      <c r="AL61">
        <v>0.5</v>
      </c>
      <c r="AM61">
        <v>0.5</v>
      </c>
      <c r="AN61">
        <v>0.5</v>
      </c>
      <c r="AO61">
        <v>0.5</v>
      </c>
      <c r="AP61">
        <v>0.5</v>
      </c>
      <c r="AQ61" s="216">
        <v>0.5</v>
      </c>
      <c r="AR61" s="216">
        <v>0.5</v>
      </c>
      <c r="AS61">
        <v>0.8</v>
      </c>
      <c r="AT61" s="216">
        <v>0.5</v>
      </c>
      <c r="AU61" s="216">
        <v>0.5</v>
      </c>
      <c r="AV61">
        <v>0.8</v>
      </c>
      <c r="AW61">
        <v>0.5</v>
      </c>
      <c r="AX61">
        <v>0.8</v>
      </c>
      <c r="AY61">
        <v>0.8</v>
      </c>
      <c r="AZ61">
        <v>0.8</v>
      </c>
      <c r="BA61">
        <v>0.8</v>
      </c>
      <c r="BB61">
        <v>0.5</v>
      </c>
      <c r="BC61">
        <v>0.8</v>
      </c>
      <c r="BD61">
        <v>0.8</v>
      </c>
      <c r="BE61">
        <v>0.8</v>
      </c>
      <c r="BF61">
        <v>0.8</v>
      </c>
      <c r="BG61">
        <v>0.8</v>
      </c>
      <c r="BH61">
        <v>0.8</v>
      </c>
      <c r="BI61">
        <v>0.8</v>
      </c>
      <c r="BJ61">
        <v>0.8</v>
      </c>
      <c r="BK61">
        <v>0.8</v>
      </c>
      <c r="BL61">
        <v>0.8</v>
      </c>
      <c r="BM61" s="216">
        <v>0.8</v>
      </c>
      <c r="BN61" s="216">
        <v>0.8</v>
      </c>
      <c r="BO61" s="216">
        <v>0.8</v>
      </c>
      <c r="BP61" s="216">
        <v>0.8</v>
      </c>
      <c r="BQ61" s="216">
        <v>0.8</v>
      </c>
      <c r="BR61" s="216">
        <v>0.8</v>
      </c>
      <c r="BS61" s="216">
        <v>0.8</v>
      </c>
      <c r="BT61" s="216">
        <v>0.8</v>
      </c>
      <c r="BU61" s="216">
        <v>0.8</v>
      </c>
      <c r="BV61" s="216">
        <v>0.8</v>
      </c>
      <c r="BW61" s="216">
        <v>0.8</v>
      </c>
      <c r="BX61" s="216">
        <v>0.8</v>
      </c>
      <c r="BY61" s="216">
        <v>0.8</v>
      </c>
      <c r="BZ61" s="216">
        <v>0.8</v>
      </c>
      <c r="CA61" s="216">
        <v>0.8</v>
      </c>
      <c r="CB61" s="216">
        <v>0.5</v>
      </c>
      <c r="CC61" s="216">
        <v>0.5</v>
      </c>
      <c r="CD61" s="216">
        <v>0.8</v>
      </c>
      <c r="CE61" s="216">
        <v>0.8</v>
      </c>
      <c r="CF61" s="216">
        <v>0.8</v>
      </c>
      <c r="CG61" s="216">
        <v>0.8</v>
      </c>
      <c r="CH61" s="216">
        <v>0.5</v>
      </c>
      <c r="CI61">
        <v>0</v>
      </c>
      <c r="CJ61" s="216">
        <v>0</v>
      </c>
      <c r="CK61" s="216">
        <v>0</v>
      </c>
      <c r="CL61" s="216">
        <v>0</v>
      </c>
      <c r="CM61" s="216">
        <v>0</v>
      </c>
    </row>
    <row r="62" spans="1:91" customFormat="1" ht="15" customHeight="1" x14ac:dyDescent="0.5">
      <c r="A62" s="245" t="s">
        <v>229</v>
      </c>
      <c r="B62">
        <v>0</v>
      </c>
      <c r="C62">
        <v>0</v>
      </c>
      <c r="D62">
        <v>0.8</v>
      </c>
      <c r="E62">
        <v>0.8</v>
      </c>
      <c r="F62">
        <v>0.8</v>
      </c>
      <c r="G62">
        <v>0.8</v>
      </c>
      <c r="H62">
        <v>0.8</v>
      </c>
      <c r="I62">
        <v>0.8</v>
      </c>
      <c r="J62">
        <v>0.8</v>
      </c>
      <c r="K62">
        <v>0.8</v>
      </c>
      <c r="L62">
        <v>0.8</v>
      </c>
      <c r="M62">
        <v>0.8</v>
      </c>
      <c r="N62">
        <v>0.5</v>
      </c>
      <c r="O62">
        <v>0.8</v>
      </c>
      <c r="P62">
        <v>0.8</v>
      </c>
      <c r="Q62">
        <v>0.8</v>
      </c>
      <c r="R62">
        <v>0.5</v>
      </c>
      <c r="S62">
        <v>0.5</v>
      </c>
      <c r="T62">
        <v>0.5</v>
      </c>
      <c r="U62">
        <v>0.5</v>
      </c>
      <c r="V62">
        <v>0.5</v>
      </c>
      <c r="W62">
        <v>0.5</v>
      </c>
      <c r="X62">
        <v>0.5</v>
      </c>
      <c r="Y62" s="216">
        <v>0.5</v>
      </c>
      <c r="Z62">
        <v>0.1</v>
      </c>
      <c r="AA62">
        <v>0.1</v>
      </c>
      <c r="AB62">
        <v>0.1</v>
      </c>
      <c r="AC62">
        <v>0.1</v>
      </c>
      <c r="AD62">
        <v>0.1</v>
      </c>
      <c r="AE62">
        <v>0.1</v>
      </c>
      <c r="AF62" s="216">
        <v>0.1</v>
      </c>
      <c r="AG62">
        <v>0.5</v>
      </c>
      <c r="AH62">
        <v>0.5</v>
      </c>
      <c r="AI62">
        <v>0.5</v>
      </c>
      <c r="AJ62">
        <v>0.5</v>
      </c>
      <c r="AK62">
        <v>0.5</v>
      </c>
      <c r="AL62">
        <v>0.5</v>
      </c>
      <c r="AM62">
        <v>0.5</v>
      </c>
      <c r="AN62">
        <v>0.5</v>
      </c>
      <c r="AO62">
        <v>0.5</v>
      </c>
      <c r="AP62">
        <v>0.5</v>
      </c>
      <c r="AQ62" s="216">
        <v>0.5</v>
      </c>
      <c r="AR62" s="216">
        <v>0.5</v>
      </c>
      <c r="AS62">
        <v>0.8</v>
      </c>
      <c r="AT62" s="216">
        <v>0.5</v>
      </c>
      <c r="AU62" s="216">
        <v>0.5</v>
      </c>
      <c r="AV62">
        <v>0.8</v>
      </c>
      <c r="AW62">
        <v>0.5</v>
      </c>
      <c r="AX62">
        <v>0.8</v>
      </c>
      <c r="AY62">
        <v>0.8</v>
      </c>
      <c r="AZ62">
        <v>0.8</v>
      </c>
      <c r="BA62">
        <v>0.8</v>
      </c>
      <c r="BB62">
        <v>0.5</v>
      </c>
      <c r="BC62">
        <v>0.8</v>
      </c>
      <c r="BD62">
        <v>0.8</v>
      </c>
      <c r="BE62">
        <v>0.8</v>
      </c>
      <c r="BF62">
        <v>0.8</v>
      </c>
      <c r="BG62">
        <v>0.8</v>
      </c>
      <c r="BH62">
        <v>0.8</v>
      </c>
      <c r="BI62">
        <v>0.8</v>
      </c>
      <c r="BJ62">
        <v>0.8</v>
      </c>
      <c r="BK62">
        <v>0.8</v>
      </c>
      <c r="BL62">
        <v>0.8</v>
      </c>
      <c r="BM62" s="216">
        <v>0.8</v>
      </c>
      <c r="BN62" s="216">
        <v>0.8</v>
      </c>
      <c r="BO62" s="216">
        <v>0.8</v>
      </c>
      <c r="BP62" s="216">
        <v>0.8</v>
      </c>
      <c r="BQ62" s="216">
        <v>0.8</v>
      </c>
      <c r="BR62" s="216">
        <v>0.8</v>
      </c>
      <c r="BS62" s="216">
        <v>0.8</v>
      </c>
      <c r="BT62" s="216">
        <v>0.8</v>
      </c>
      <c r="BU62" s="216">
        <v>0.8</v>
      </c>
      <c r="BV62" s="216">
        <v>0.8</v>
      </c>
      <c r="BW62" s="216">
        <v>0.8</v>
      </c>
      <c r="BX62" s="216">
        <v>0.8</v>
      </c>
      <c r="BY62" s="216">
        <v>0.8</v>
      </c>
      <c r="BZ62" s="216">
        <v>0.8</v>
      </c>
      <c r="CA62" s="216">
        <v>0.8</v>
      </c>
      <c r="CB62" s="216">
        <v>0.5</v>
      </c>
      <c r="CC62" s="216">
        <v>0.5</v>
      </c>
      <c r="CD62" s="216">
        <v>0.8</v>
      </c>
      <c r="CE62" s="216">
        <v>0.8</v>
      </c>
      <c r="CF62" s="216">
        <v>0.8</v>
      </c>
      <c r="CG62" s="216">
        <v>0.8</v>
      </c>
      <c r="CH62" s="216">
        <v>0.5</v>
      </c>
      <c r="CI62">
        <v>0</v>
      </c>
      <c r="CJ62" s="216">
        <v>0</v>
      </c>
      <c r="CK62" s="216">
        <v>0</v>
      </c>
      <c r="CL62" s="216">
        <v>0</v>
      </c>
      <c r="CM62" s="216">
        <v>0</v>
      </c>
    </row>
    <row r="63" spans="1:91" customFormat="1" ht="15" customHeight="1" x14ac:dyDescent="0.5">
      <c r="A63" s="245" t="s">
        <v>230</v>
      </c>
      <c r="B63">
        <v>0</v>
      </c>
      <c r="C63">
        <v>0</v>
      </c>
      <c r="D63">
        <v>0.8</v>
      </c>
      <c r="E63">
        <v>0.8</v>
      </c>
      <c r="F63">
        <v>0.8</v>
      </c>
      <c r="G63">
        <v>0.8</v>
      </c>
      <c r="H63">
        <v>0.8</v>
      </c>
      <c r="I63">
        <v>0.8</v>
      </c>
      <c r="J63">
        <v>0.8</v>
      </c>
      <c r="K63">
        <v>0.8</v>
      </c>
      <c r="L63">
        <v>0.8</v>
      </c>
      <c r="M63">
        <v>0.8</v>
      </c>
      <c r="N63">
        <v>0.5</v>
      </c>
      <c r="O63">
        <v>0.8</v>
      </c>
      <c r="P63">
        <v>0.8</v>
      </c>
      <c r="Q63">
        <v>0.8</v>
      </c>
      <c r="R63">
        <v>0.5</v>
      </c>
      <c r="S63">
        <v>0.5</v>
      </c>
      <c r="T63">
        <v>0.5</v>
      </c>
      <c r="U63">
        <v>0.5</v>
      </c>
      <c r="V63">
        <v>0.5</v>
      </c>
      <c r="W63">
        <v>0.5</v>
      </c>
      <c r="X63">
        <v>0.5</v>
      </c>
      <c r="Y63" s="216">
        <v>0.5</v>
      </c>
      <c r="Z63">
        <v>0.1</v>
      </c>
      <c r="AA63">
        <v>0.1</v>
      </c>
      <c r="AB63">
        <v>0.1</v>
      </c>
      <c r="AC63">
        <v>0.1</v>
      </c>
      <c r="AD63">
        <v>0.1</v>
      </c>
      <c r="AE63">
        <v>0.1</v>
      </c>
      <c r="AF63" s="216">
        <v>0.1</v>
      </c>
      <c r="AG63">
        <v>0.5</v>
      </c>
      <c r="AH63">
        <v>0.5</v>
      </c>
      <c r="AI63">
        <v>0.5</v>
      </c>
      <c r="AJ63">
        <v>0.5</v>
      </c>
      <c r="AK63">
        <v>0.5</v>
      </c>
      <c r="AL63">
        <v>0.5</v>
      </c>
      <c r="AM63">
        <v>0.5</v>
      </c>
      <c r="AN63">
        <v>0.5</v>
      </c>
      <c r="AO63">
        <v>0.5</v>
      </c>
      <c r="AP63">
        <v>0.5</v>
      </c>
      <c r="AQ63" s="216">
        <v>0.5</v>
      </c>
      <c r="AR63" s="216">
        <v>0.5</v>
      </c>
      <c r="AS63">
        <v>0.8</v>
      </c>
      <c r="AT63" s="216">
        <v>0.5</v>
      </c>
      <c r="AU63" s="216">
        <v>0.5</v>
      </c>
      <c r="AV63">
        <v>0.8</v>
      </c>
      <c r="AW63">
        <v>0.5</v>
      </c>
      <c r="AX63">
        <v>0.8</v>
      </c>
      <c r="AY63">
        <v>0.8</v>
      </c>
      <c r="AZ63">
        <v>0.8</v>
      </c>
      <c r="BA63">
        <v>0.8</v>
      </c>
      <c r="BB63">
        <v>0.5</v>
      </c>
      <c r="BC63">
        <v>0.8</v>
      </c>
      <c r="BD63">
        <v>0.8</v>
      </c>
      <c r="BE63">
        <v>0.8</v>
      </c>
      <c r="BF63">
        <v>0.8</v>
      </c>
      <c r="BG63">
        <v>0.8</v>
      </c>
      <c r="BH63">
        <v>0.8</v>
      </c>
      <c r="BI63">
        <v>0.8</v>
      </c>
      <c r="BJ63">
        <v>0.8</v>
      </c>
      <c r="BK63">
        <v>0.8</v>
      </c>
      <c r="BL63">
        <v>0.8</v>
      </c>
      <c r="BM63" s="216">
        <v>0.8</v>
      </c>
      <c r="BN63" s="216">
        <v>0.8</v>
      </c>
      <c r="BO63" s="216">
        <v>0.8</v>
      </c>
      <c r="BP63" s="216">
        <v>0.8</v>
      </c>
      <c r="BQ63" s="216">
        <v>0.8</v>
      </c>
      <c r="BR63" s="216">
        <v>0.8</v>
      </c>
      <c r="BS63" s="216">
        <v>0.8</v>
      </c>
      <c r="BT63" s="216">
        <v>0.8</v>
      </c>
      <c r="BU63" s="216">
        <v>0.8</v>
      </c>
      <c r="BV63" s="216">
        <v>0.8</v>
      </c>
      <c r="BW63" s="216">
        <v>0.8</v>
      </c>
      <c r="BX63" s="216">
        <v>0.8</v>
      </c>
      <c r="BY63" s="216">
        <v>0.8</v>
      </c>
      <c r="BZ63" s="216">
        <v>0.8</v>
      </c>
      <c r="CA63" s="216">
        <v>0.8</v>
      </c>
      <c r="CB63" s="216">
        <v>0.5</v>
      </c>
      <c r="CC63" s="216">
        <v>0.5</v>
      </c>
      <c r="CD63" s="216">
        <v>0.8</v>
      </c>
      <c r="CE63" s="216">
        <v>0.8</v>
      </c>
      <c r="CF63" s="216">
        <v>0.8</v>
      </c>
      <c r="CG63" s="216">
        <v>0.8</v>
      </c>
      <c r="CH63" s="216">
        <v>0.5</v>
      </c>
      <c r="CI63">
        <v>0</v>
      </c>
      <c r="CJ63" s="216">
        <v>0</v>
      </c>
      <c r="CK63" s="216">
        <v>0</v>
      </c>
      <c r="CL63" s="216">
        <v>0</v>
      </c>
      <c r="CM63" s="216">
        <v>0</v>
      </c>
    </row>
    <row r="64" spans="1:91" customFormat="1" ht="15" customHeight="1" x14ac:dyDescent="0.5">
      <c r="A64" s="245" t="s">
        <v>231</v>
      </c>
      <c r="B64">
        <v>0</v>
      </c>
      <c r="C64">
        <v>0</v>
      </c>
      <c r="D64">
        <v>0.8</v>
      </c>
      <c r="E64">
        <v>0.8</v>
      </c>
      <c r="F64">
        <v>0.8</v>
      </c>
      <c r="G64">
        <v>0.8</v>
      </c>
      <c r="H64">
        <v>0.8</v>
      </c>
      <c r="I64">
        <v>0.8</v>
      </c>
      <c r="J64">
        <v>0.8</v>
      </c>
      <c r="K64">
        <v>0.8</v>
      </c>
      <c r="L64">
        <v>0.8</v>
      </c>
      <c r="M64">
        <v>0.8</v>
      </c>
      <c r="N64">
        <v>0.5</v>
      </c>
      <c r="O64">
        <v>0.8</v>
      </c>
      <c r="P64">
        <v>0.8</v>
      </c>
      <c r="Q64">
        <v>0.8</v>
      </c>
      <c r="R64">
        <v>0.5</v>
      </c>
      <c r="S64">
        <v>0.5</v>
      </c>
      <c r="T64">
        <v>0.5</v>
      </c>
      <c r="U64">
        <v>0.5</v>
      </c>
      <c r="V64">
        <v>0.5</v>
      </c>
      <c r="W64">
        <v>0.5</v>
      </c>
      <c r="X64">
        <v>0.5</v>
      </c>
      <c r="Y64" s="216">
        <v>0.5</v>
      </c>
      <c r="Z64">
        <v>0.1</v>
      </c>
      <c r="AA64">
        <v>0.1</v>
      </c>
      <c r="AB64">
        <v>0.1</v>
      </c>
      <c r="AC64">
        <v>0.1</v>
      </c>
      <c r="AD64">
        <v>0.1</v>
      </c>
      <c r="AE64">
        <v>0.1</v>
      </c>
      <c r="AF64" s="216">
        <v>0.1</v>
      </c>
      <c r="AG64">
        <v>0.5</v>
      </c>
      <c r="AH64">
        <v>0.5</v>
      </c>
      <c r="AI64">
        <v>0.5</v>
      </c>
      <c r="AJ64">
        <v>0.5</v>
      </c>
      <c r="AK64">
        <v>0.5</v>
      </c>
      <c r="AL64">
        <v>0.5</v>
      </c>
      <c r="AM64">
        <v>0.5</v>
      </c>
      <c r="AN64">
        <v>0.5</v>
      </c>
      <c r="AO64">
        <v>0.5</v>
      </c>
      <c r="AP64">
        <v>0.5</v>
      </c>
      <c r="AQ64" s="216">
        <v>0.5</v>
      </c>
      <c r="AR64" s="216">
        <v>0.5</v>
      </c>
      <c r="AS64">
        <v>0.8</v>
      </c>
      <c r="AT64" s="216">
        <v>0.5</v>
      </c>
      <c r="AU64" s="216">
        <v>0.5</v>
      </c>
      <c r="AV64">
        <v>0.8</v>
      </c>
      <c r="AW64">
        <v>0.5</v>
      </c>
      <c r="AX64">
        <v>0.8</v>
      </c>
      <c r="AY64">
        <v>0.8</v>
      </c>
      <c r="AZ64">
        <v>0.8</v>
      </c>
      <c r="BA64">
        <v>0.8</v>
      </c>
      <c r="BB64">
        <v>0.5</v>
      </c>
      <c r="BC64">
        <v>0.8</v>
      </c>
      <c r="BD64">
        <v>0.8</v>
      </c>
      <c r="BE64">
        <v>0.8</v>
      </c>
      <c r="BF64">
        <v>0.8</v>
      </c>
      <c r="BG64">
        <v>0.8</v>
      </c>
      <c r="BH64">
        <v>0.8</v>
      </c>
      <c r="BI64">
        <v>0.8</v>
      </c>
      <c r="BJ64">
        <v>0.8</v>
      </c>
      <c r="BK64">
        <v>0.8</v>
      </c>
      <c r="BL64">
        <v>0.8</v>
      </c>
      <c r="BM64" s="216">
        <v>0.8</v>
      </c>
      <c r="BN64" s="216">
        <v>0.8</v>
      </c>
      <c r="BO64" s="216">
        <v>0.8</v>
      </c>
      <c r="BP64" s="216">
        <v>0.8</v>
      </c>
      <c r="BQ64" s="216">
        <v>0.8</v>
      </c>
      <c r="BR64" s="216">
        <v>0.8</v>
      </c>
      <c r="BS64" s="216">
        <v>0.8</v>
      </c>
      <c r="BT64" s="216">
        <v>0.8</v>
      </c>
      <c r="BU64" s="216">
        <v>0.8</v>
      </c>
      <c r="BV64" s="216">
        <v>0.8</v>
      </c>
      <c r="BW64" s="216">
        <v>0.8</v>
      </c>
      <c r="BX64" s="216">
        <v>0.8</v>
      </c>
      <c r="BY64" s="216">
        <v>0.8</v>
      </c>
      <c r="BZ64" s="216">
        <v>0.8</v>
      </c>
      <c r="CA64" s="216">
        <v>0.8</v>
      </c>
      <c r="CB64" s="216">
        <v>0.5</v>
      </c>
      <c r="CC64" s="216">
        <v>0.5</v>
      </c>
      <c r="CD64" s="216">
        <v>0.8</v>
      </c>
      <c r="CE64" s="216">
        <v>0.8</v>
      </c>
      <c r="CF64" s="216">
        <v>0.8</v>
      </c>
      <c r="CG64" s="216">
        <v>0.8</v>
      </c>
      <c r="CH64" s="216">
        <v>0.5</v>
      </c>
      <c r="CI64">
        <v>0</v>
      </c>
      <c r="CJ64" s="216">
        <v>0</v>
      </c>
      <c r="CK64" s="216">
        <v>0</v>
      </c>
      <c r="CL64" s="216">
        <v>0</v>
      </c>
      <c r="CM64" s="216">
        <v>0</v>
      </c>
    </row>
    <row r="65" spans="1:91" customFormat="1" ht="15" customHeight="1" x14ac:dyDescent="0.5">
      <c r="A65" s="245" t="s">
        <v>232</v>
      </c>
      <c r="B65">
        <v>0</v>
      </c>
      <c r="C65">
        <v>0</v>
      </c>
      <c r="D65">
        <v>0.8</v>
      </c>
      <c r="E65">
        <v>0.8</v>
      </c>
      <c r="F65">
        <v>0.8</v>
      </c>
      <c r="G65">
        <v>0.8</v>
      </c>
      <c r="H65">
        <v>0.8</v>
      </c>
      <c r="I65">
        <v>0.8</v>
      </c>
      <c r="J65">
        <v>0.8</v>
      </c>
      <c r="K65">
        <v>0.8</v>
      </c>
      <c r="L65">
        <v>0.8</v>
      </c>
      <c r="M65">
        <v>0.8</v>
      </c>
      <c r="N65">
        <v>0.5</v>
      </c>
      <c r="O65">
        <v>0.8</v>
      </c>
      <c r="P65">
        <v>0.8</v>
      </c>
      <c r="Q65">
        <v>0.8</v>
      </c>
      <c r="R65">
        <v>0.5</v>
      </c>
      <c r="S65">
        <v>0.5</v>
      </c>
      <c r="T65">
        <v>0.5</v>
      </c>
      <c r="U65">
        <v>0.5</v>
      </c>
      <c r="V65">
        <v>0.5</v>
      </c>
      <c r="W65">
        <v>0.5</v>
      </c>
      <c r="X65">
        <v>0.5</v>
      </c>
      <c r="Y65" s="216">
        <v>0.5</v>
      </c>
      <c r="Z65">
        <v>0.1</v>
      </c>
      <c r="AA65">
        <v>0.1</v>
      </c>
      <c r="AB65">
        <v>0.1</v>
      </c>
      <c r="AC65">
        <v>0.1</v>
      </c>
      <c r="AD65">
        <v>0.1</v>
      </c>
      <c r="AE65">
        <v>0.1</v>
      </c>
      <c r="AF65" s="216">
        <v>0.1</v>
      </c>
      <c r="AG65">
        <v>0.5</v>
      </c>
      <c r="AH65">
        <v>0.5</v>
      </c>
      <c r="AI65">
        <v>0.5</v>
      </c>
      <c r="AJ65">
        <v>0.5</v>
      </c>
      <c r="AK65">
        <v>0.5</v>
      </c>
      <c r="AL65">
        <v>0.5</v>
      </c>
      <c r="AM65">
        <v>0.5</v>
      </c>
      <c r="AN65">
        <v>0.5</v>
      </c>
      <c r="AO65">
        <v>0.5</v>
      </c>
      <c r="AP65">
        <v>0.5</v>
      </c>
      <c r="AQ65" s="216">
        <v>0.5</v>
      </c>
      <c r="AR65" s="216">
        <v>0.5</v>
      </c>
      <c r="AS65">
        <v>0.8</v>
      </c>
      <c r="AT65" s="216">
        <v>0.5</v>
      </c>
      <c r="AU65" s="216">
        <v>0.5</v>
      </c>
      <c r="AV65">
        <v>0.8</v>
      </c>
      <c r="AW65">
        <v>0.5</v>
      </c>
      <c r="AX65">
        <v>0.8</v>
      </c>
      <c r="AY65">
        <v>0.8</v>
      </c>
      <c r="AZ65">
        <v>0.8</v>
      </c>
      <c r="BA65">
        <v>0.8</v>
      </c>
      <c r="BB65">
        <v>0.5</v>
      </c>
      <c r="BC65">
        <v>0.8</v>
      </c>
      <c r="BD65">
        <v>0.8</v>
      </c>
      <c r="BE65">
        <v>0.8</v>
      </c>
      <c r="BF65">
        <v>0.8</v>
      </c>
      <c r="BG65">
        <v>0.8</v>
      </c>
      <c r="BH65">
        <v>0.8</v>
      </c>
      <c r="BI65">
        <v>0.8</v>
      </c>
      <c r="BJ65">
        <v>0.8</v>
      </c>
      <c r="BK65">
        <v>0.8</v>
      </c>
      <c r="BL65">
        <v>0.8</v>
      </c>
      <c r="BM65" s="216">
        <v>0.8</v>
      </c>
      <c r="BN65" s="216">
        <v>0.8</v>
      </c>
      <c r="BO65" s="216">
        <v>0.8</v>
      </c>
      <c r="BP65" s="216">
        <v>0.8</v>
      </c>
      <c r="BQ65" s="216">
        <v>0.8</v>
      </c>
      <c r="BR65" s="216">
        <v>0.8</v>
      </c>
      <c r="BS65" s="216">
        <v>0.8</v>
      </c>
      <c r="BT65" s="216">
        <v>0.8</v>
      </c>
      <c r="BU65" s="216">
        <v>0.8</v>
      </c>
      <c r="BV65" s="216">
        <v>0.8</v>
      </c>
      <c r="BW65" s="216">
        <v>0.8</v>
      </c>
      <c r="BX65" s="216">
        <v>0.8</v>
      </c>
      <c r="BY65" s="216">
        <v>0.8</v>
      </c>
      <c r="BZ65" s="216">
        <v>0.8</v>
      </c>
      <c r="CA65" s="216">
        <v>0.8</v>
      </c>
      <c r="CB65" s="216">
        <v>0.5</v>
      </c>
      <c r="CC65" s="216">
        <v>0.5</v>
      </c>
      <c r="CD65" s="216">
        <v>0.8</v>
      </c>
      <c r="CE65" s="216">
        <v>0.8</v>
      </c>
      <c r="CF65" s="216">
        <v>0.8</v>
      </c>
      <c r="CG65" s="216">
        <v>0.8</v>
      </c>
      <c r="CH65" s="216">
        <v>0.5</v>
      </c>
      <c r="CI65">
        <v>0</v>
      </c>
      <c r="CJ65" s="216">
        <v>0</v>
      </c>
      <c r="CK65" s="216">
        <v>0</v>
      </c>
      <c r="CL65" s="216">
        <v>0</v>
      </c>
      <c r="CM65" s="216">
        <v>0</v>
      </c>
    </row>
    <row r="66" spans="1:91" customFormat="1" ht="15" customHeight="1" x14ac:dyDescent="0.5">
      <c r="A66" s="245" t="s">
        <v>233</v>
      </c>
      <c r="B66">
        <v>0</v>
      </c>
      <c r="C66">
        <v>0</v>
      </c>
      <c r="D66">
        <v>0.8</v>
      </c>
      <c r="E66">
        <v>0.8</v>
      </c>
      <c r="F66">
        <v>0.8</v>
      </c>
      <c r="G66">
        <v>0.8</v>
      </c>
      <c r="H66">
        <v>0.8</v>
      </c>
      <c r="I66">
        <v>0.8</v>
      </c>
      <c r="J66">
        <v>0.8</v>
      </c>
      <c r="K66">
        <v>0.8</v>
      </c>
      <c r="L66">
        <v>0.8</v>
      </c>
      <c r="M66">
        <v>0.8</v>
      </c>
      <c r="N66">
        <v>0.5</v>
      </c>
      <c r="O66">
        <v>0.8</v>
      </c>
      <c r="P66">
        <v>0.8</v>
      </c>
      <c r="Q66">
        <v>0.8</v>
      </c>
      <c r="R66">
        <v>0.5</v>
      </c>
      <c r="S66">
        <v>0.5</v>
      </c>
      <c r="T66">
        <v>0.5</v>
      </c>
      <c r="U66">
        <v>0.5</v>
      </c>
      <c r="V66">
        <v>0.5</v>
      </c>
      <c r="W66">
        <v>0.5</v>
      </c>
      <c r="X66">
        <v>0.5</v>
      </c>
      <c r="Y66" s="216">
        <v>0.5</v>
      </c>
      <c r="Z66">
        <v>0.1</v>
      </c>
      <c r="AA66">
        <v>0.1</v>
      </c>
      <c r="AB66">
        <v>0.1</v>
      </c>
      <c r="AC66">
        <v>0.1</v>
      </c>
      <c r="AD66">
        <v>0.1</v>
      </c>
      <c r="AE66">
        <v>0.1</v>
      </c>
      <c r="AF66" s="216">
        <v>0.1</v>
      </c>
      <c r="AG66">
        <v>0.5</v>
      </c>
      <c r="AH66">
        <v>0.5</v>
      </c>
      <c r="AI66">
        <v>0.5</v>
      </c>
      <c r="AJ66">
        <v>0.5</v>
      </c>
      <c r="AK66">
        <v>0.5</v>
      </c>
      <c r="AL66">
        <v>0.5</v>
      </c>
      <c r="AM66">
        <v>0.5</v>
      </c>
      <c r="AN66">
        <v>0.5</v>
      </c>
      <c r="AO66">
        <v>0.5</v>
      </c>
      <c r="AP66">
        <v>0.5</v>
      </c>
      <c r="AQ66" s="216">
        <v>0.5</v>
      </c>
      <c r="AR66" s="216">
        <v>0.5</v>
      </c>
      <c r="AS66">
        <v>0.8</v>
      </c>
      <c r="AT66" s="216">
        <v>0.5</v>
      </c>
      <c r="AU66" s="216">
        <v>0.5</v>
      </c>
      <c r="AV66">
        <v>0.8</v>
      </c>
      <c r="AW66">
        <v>0.5</v>
      </c>
      <c r="AX66">
        <v>0.8</v>
      </c>
      <c r="AY66">
        <v>0.8</v>
      </c>
      <c r="AZ66">
        <v>0.8</v>
      </c>
      <c r="BA66">
        <v>0.8</v>
      </c>
      <c r="BB66">
        <v>0.5</v>
      </c>
      <c r="BC66">
        <v>0.8</v>
      </c>
      <c r="BD66">
        <v>0.8</v>
      </c>
      <c r="BE66">
        <v>0.8</v>
      </c>
      <c r="BF66">
        <v>0.8</v>
      </c>
      <c r="BG66">
        <v>0.8</v>
      </c>
      <c r="BH66">
        <v>0.8</v>
      </c>
      <c r="BI66">
        <v>0.8</v>
      </c>
      <c r="BJ66">
        <v>0.8</v>
      </c>
      <c r="BK66">
        <v>0.8</v>
      </c>
      <c r="BL66">
        <v>0.8</v>
      </c>
      <c r="BM66" s="216">
        <v>0.8</v>
      </c>
      <c r="BN66" s="216">
        <v>0.8</v>
      </c>
      <c r="BO66" s="216">
        <v>0.8</v>
      </c>
      <c r="BP66" s="216">
        <v>0.8</v>
      </c>
      <c r="BQ66" s="216">
        <v>0.8</v>
      </c>
      <c r="BR66" s="216">
        <v>0.8</v>
      </c>
      <c r="BS66" s="216">
        <v>0.8</v>
      </c>
      <c r="BT66" s="216">
        <v>0.8</v>
      </c>
      <c r="BU66" s="216">
        <v>0.8</v>
      </c>
      <c r="BV66" s="216">
        <v>0.8</v>
      </c>
      <c r="BW66" s="216">
        <v>0.8</v>
      </c>
      <c r="BX66" s="216">
        <v>0.8</v>
      </c>
      <c r="BY66" s="216">
        <v>0.8</v>
      </c>
      <c r="BZ66" s="216">
        <v>0.8</v>
      </c>
      <c r="CA66" s="216">
        <v>0.8</v>
      </c>
      <c r="CB66" s="216">
        <v>0.5</v>
      </c>
      <c r="CC66" s="216">
        <v>0.5</v>
      </c>
      <c r="CD66" s="216">
        <v>0.8</v>
      </c>
      <c r="CE66" s="216">
        <v>0.8</v>
      </c>
      <c r="CF66" s="216">
        <v>0.8</v>
      </c>
      <c r="CG66" s="216">
        <v>0.8</v>
      </c>
      <c r="CH66" s="216">
        <v>0.5</v>
      </c>
      <c r="CI66">
        <v>0</v>
      </c>
      <c r="CJ66" s="216">
        <v>0</v>
      </c>
      <c r="CK66" s="216">
        <v>0</v>
      </c>
      <c r="CL66" s="216">
        <v>0</v>
      </c>
      <c r="CM66" s="216">
        <v>0</v>
      </c>
    </row>
    <row r="67" spans="1:91" customFormat="1" ht="15" customHeight="1" x14ac:dyDescent="0.5">
      <c r="A67" s="245" t="s">
        <v>234</v>
      </c>
      <c r="B67">
        <v>0</v>
      </c>
      <c r="C67">
        <v>0</v>
      </c>
      <c r="D67">
        <v>0.8</v>
      </c>
      <c r="E67">
        <v>0.8</v>
      </c>
      <c r="F67">
        <v>0.8</v>
      </c>
      <c r="G67">
        <v>0.8</v>
      </c>
      <c r="H67">
        <v>0.8</v>
      </c>
      <c r="I67">
        <v>0.8</v>
      </c>
      <c r="J67">
        <v>0.8</v>
      </c>
      <c r="K67">
        <v>0.8</v>
      </c>
      <c r="L67">
        <v>0.8</v>
      </c>
      <c r="M67">
        <v>0.8</v>
      </c>
      <c r="N67">
        <v>0.5</v>
      </c>
      <c r="O67">
        <v>0.8</v>
      </c>
      <c r="P67">
        <v>0.8</v>
      </c>
      <c r="Q67">
        <v>0.8</v>
      </c>
      <c r="R67">
        <v>0.5</v>
      </c>
      <c r="S67">
        <v>0.5</v>
      </c>
      <c r="T67">
        <v>0.5</v>
      </c>
      <c r="U67">
        <v>0.5</v>
      </c>
      <c r="V67">
        <v>0.5</v>
      </c>
      <c r="W67">
        <v>0.5</v>
      </c>
      <c r="X67">
        <v>0.5</v>
      </c>
      <c r="Y67" s="216">
        <v>0.5</v>
      </c>
      <c r="Z67">
        <v>0.1</v>
      </c>
      <c r="AA67">
        <v>0.1</v>
      </c>
      <c r="AB67">
        <v>0.1</v>
      </c>
      <c r="AC67">
        <v>0.1</v>
      </c>
      <c r="AD67">
        <v>0.1</v>
      </c>
      <c r="AE67">
        <v>0.1</v>
      </c>
      <c r="AF67" s="216">
        <v>0.1</v>
      </c>
      <c r="AG67">
        <v>0.5</v>
      </c>
      <c r="AH67">
        <v>0.5</v>
      </c>
      <c r="AI67">
        <v>0.5</v>
      </c>
      <c r="AJ67">
        <v>0.5</v>
      </c>
      <c r="AK67">
        <v>0.5</v>
      </c>
      <c r="AL67">
        <v>0.5</v>
      </c>
      <c r="AM67">
        <v>0.5</v>
      </c>
      <c r="AN67">
        <v>0.5</v>
      </c>
      <c r="AO67">
        <v>0.5</v>
      </c>
      <c r="AP67">
        <v>0.5</v>
      </c>
      <c r="AQ67" s="216">
        <v>0.5</v>
      </c>
      <c r="AR67" s="216">
        <v>0.5</v>
      </c>
      <c r="AS67">
        <v>0.8</v>
      </c>
      <c r="AT67" s="216">
        <v>0.5</v>
      </c>
      <c r="AU67" s="216">
        <v>0.5</v>
      </c>
      <c r="AV67">
        <v>0.8</v>
      </c>
      <c r="AW67">
        <v>0.5</v>
      </c>
      <c r="AX67">
        <v>0.8</v>
      </c>
      <c r="AY67">
        <v>0.8</v>
      </c>
      <c r="AZ67">
        <v>0.8</v>
      </c>
      <c r="BA67">
        <v>0.8</v>
      </c>
      <c r="BB67">
        <v>0.5</v>
      </c>
      <c r="BC67">
        <v>0.8</v>
      </c>
      <c r="BD67">
        <v>0.8</v>
      </c>
      <c r="BE67">
        <v>0.8</v>
      </c>
      <c r="BF67">
        <v>0.8</v>
      </c>
      <c r="BG67">
        <v>0.8</v>
      </c>
      <c r="BH67">
        <v>0.8</v>
      </c>
      <c r="BI67">
        <v>0.8</v>
      </c>
      <c r="BJ67">
        <v>0.8</v>
      </c>
      <c r="BK67">
        <v>0.8</v>
      </c>
      <c r="BL67">
        <v>0.8</v>
      </c>
      <c r="BM67" s="216">
        <v>0.8</v>
      </c>
      <c r="BN67" s="216">
        <v>0.8</v>
      </c>
      <c r="BO67" s="216">
        <v>0.8</v>
      </c>
      <c r="BP67" s="216">
        <v>0.8</v>
      </c>
      <c r="BQ67" s="216">
        <v>0.8</v>
      </c>
      <c r="BR67" s="216">
        <v>0.8</v>
      </c>
      <c r="BS67" s="216">
        <v>0.8</v>
      </c>
      <c r="BT67" s="216">
        <v>0.8</v>
      </c>
      <c r="BU67" s="216">
        <v>0.8</v>
      </c>
      <c r="BV67" s="216">
        <v>0.8</v>
      </c>
      <c r="BW67" s="216">
        <v>0.8</v>
      </c>
      <c r="BX67" s="216">
        <v>0.8</v>
      </c>
      <c r="BY67" s="216">
        <v>0.8</v>
      </c>
      <c r="BZ67" s="216">
        <v>0.8</v>
      </c>
      <c r="CA67" s="216">
        <v>0.8</v>
      </c>
      <c r="CB67" s="216">
        <v>0.5</v>
      </c>
      <c r="CC67" s="216">
        <v>0.5</v>
      </c>
      <c r="CD67" s="216">
        <v>0.8</v>
      </c>
      <c r="CE67" s="216">
        <v>0.8</v>
      </c>
      <c r="CF67" s="216">
        <v>0.8</v>
      </c>
      <c r="CG67" s="216">
        <v>0.8</v>
      </c>
      <c r="CH67" s="216">
        <v>0.5</v>
      </c>
      <c r="CI67">
        <v>0</v>
      </c>
      <c r="CJ67" s="216">
        <v>0</v>
      </c>
      <c r="CK67" s="216">
        <v>0</v>
      </c>
      <c r="CL67" s="216">
        <v>0</v>
      </c>
      <c r="CM67" s="216">
        <v>0</v>
      </c>
    </row>
    <row r="68" spans="1:91" customFormat="1" ht="15" customHeight="1" x14ac:dyDescent="0.5">
      <c r="A68" s="245" t="s">
        <v>235</v>
      </c>
      <c r="B68">
        <v>0</v>
      </c>
      <c r="C68">
        <v>0</v>
      </c>
      <c r="D68">
        <v>0.8</v>
      </c>
      <c r="E68">
        <v>0.8</v>
      </c>
      <c r="F68">
        <v>0.8</v>
      </c>
      <c r="G68">
        <v>0.8</v>
      </c>
      <c r="H68">
        <v>0.8</v>
      </c>
      <c r="I68">
        <v>0.8</v>
      </c>
      <c r="J68">
        <v>0.8</v>
      </c>
      <c r="K68">
        <v>0.8</v>
      </c>
      <c r="L68">
        <v>0.8</v>
      </c>
      <c r="M68">
        <v>0.8</v>
      </c>
      <c r="N68">
        <v>0.5</v>
      </c>
      <c r="O68">
        <v>0.8</v>
      </c>
      <c r="P68">
        <v>0.8</v>
      </c>
      <c r="Q68">
        <v>0.8</v>
      </c>
      <c r="R68">
        <v>0.5</v>
      </c>
      <c r="S68">
        <v>0.5</v>
      </c>
      <c r="T68">
        <v>0.5</v>
      </c>
      <c r="U68">
        <v>0.5</v>
      </c>
      <c r="V68">
        <v>0.5</v>
      </c>
      <c r="W68">
        <v>0.5</v>
      </c>
      <c r="X68">
        <v>0.5</v>
      </c>
      <c r="Y68" s="216">
        <v>0.5</v>
      </c>
      <c r="Z68">
        <v>0.1</v>
      </c>
      <c r="AA68">
        <v>0.1</v>
      </c>
      <c r="AB68">
        <v>0.1</v>
      </c>
      <c r="AC68">
        <v>0.1</v>
      </c>
      <c r="AD68">
        <v>0.1</v>
      </c>
      <c r="AE68">
        <v>0.1</v>
      </c>
      <c r="AF68" s="216">
        <v>0.1</v>
      </c>
      <c r="AG68">
        <v>0.5</v>
      </c>
      <c r="AH68">
        <v>0.5</v>
      </c>
      <c r="AI68">
        <v>0.5</v>
      </c>
      <c r="AJ68">
        <v>0.5</v>
      </c>
      <c r="AK68">
        <v>0.5</v>
      </c>
      <c r="AL68">
        <v>0.5</v>
      </c>
      <c r="AM68">
        <v>0.5</v>
      </c>
      <c r="AN68">
        <v>0.5</v>
      </c>
      <c r="AO68">
        <v>0.5</v>
      </c>
      <c r="AP68">
        <v>0.5</v>
      </c>
      <c r="AQ68" s="216">
        <v>0.5</v>
      </c>
      <c r="AR68" s="216">
        <v>0.5</v>
      </c>
      <c r="AS68">
        <v>0.8</v>
      </c>
      <c r="AT68" s="216">
        <v>0.5</v>
      </c>
      <c r="AU68" s="216">
        <v>0.5</v>
      </c>
      <c r="AV68">
        <v>0.8</v>
      </c>
      <c r="AW68">
        <v>0.5</v>
      </c>
      <c r="AX68">
        <v>0.8</v>
      </c>
      <c r="AY68">
        <v>0.8</v>
      </c>
      <c r="AZ68">
        <v>0.8</v>
      </c>
      <c r="BA68">
        <v>0.8</v>
      </c>
      <c r="BB68">
        <v>0.5</v>
      </c>
      <c r="BC68">
        <v>0.8</v>
      </c>
      <c r="BD68">
        <v>0.8</v>
      </c>
      <c r="BE68">
        <v>0.8</v>
      </c>
      <c r="BF68">
        <v>0.8</v>
      </c>
      <c r="BG68">
        <v>0.8</v>
      </c>
      <c r="BH68">
        <v>0.8</v>
      </c>
      <c r="BI68">
        <v>0.8</v>
      </c>
      <c r="BJ68">
        <v>0.8</v>
      </c>
      <c r="BK68">
        <v>0.8</v>
      </c>
      <c r="BL68">
        <v>0.8</v>
      </c>
      <c r="BM68" s="216">
        <v>0.8</v>
      </c>
      <c r="BN68" s="216">
        <v>0.8</v>
      </c>
      <c r="BO68" s="216">
        <v>0.8</v>
      </c>
      <c r="BP68" s="216">
        <v>0.8</v>
      </c>
      <c r="BQ68" s="216">
        <v>0.8</v>
      </c>
      <c r="BR68" s="216">
        <v>0.8</v>
      </c>
      <c r="BS68" s="216">
        <v>0.8</v>
      </c>
      <c r="BT68" s="216">
        <v>0.8</v>
      </c>
      <c r="BU68" s="216">
        <v>0.8</v>
      </c>
      <c r="BV68" s="216">
        <v>0.8</v>
      </c>
      <c r="BW68" s="216">
        <v>0.8</v>
      </c>
      <c r="BX68" s="216">
        <v>0.8</v>
      </c>
      <c r="BY68" s="216">
        <v>0.8</v>
      </c>
      <c r="BZ68" s="216">
        <v>0.8</v>
      </c>
      <c r="CA68" s="216">
        <v>0.8</v>
      </c>
      <c r="CB68" s="216">
        <v>0.5</v>
      </c>
      <c r="CC68" s="216">
        <v>0.5</v>
      </c>
      <c r="CD68" s="216">
        <v>0.8</v>
      </c>
      <c r="CE68" s="216">
        <v>0.8</v>
      </c>
      <c r="CF68" s="216">
        <v>0.8</v>
      </c>
      <c r="CG68" s="216">
        <v>0.8</v>
      </c>
      <c r="CH68" s="216">
        <v>0.5</v>
      </c>
      <c r="CI68">
        <v>0</v>
      </c>
      <c r="CJ68" s="216">
        <v>0</v>
      </c>
      <c r="CK68" s="216">
        <v>0</v>
      </c>
      <c r="CL68" s="216">
        <v>0</v>
      </c>
      <c r="CM68" s="216">
        <v>0</v>
      </c>
    </row>
    <row r="69" spans="1:91" customFormat="1" ht="15" customHeight="1" x14ac:dyDescent="0.5">
      <c r="A69" s="245" t="s">
        <v>236</v>
      </c>
      <c r="B69">
        <v>0</v>
      </c>
      <c r="C69">
        <v>0</v>
      </c>
      <c r="D69">
        <v>0.8</v>
      </c>
      <c r="E69">
        <v>0.8</v>
      </c>
      <c r="F69">
        <v>0.8</v>
      </c>
      <c r="G69">
        <v>0.8</v>
      </c>
      <c r="H69">
        <v>0.8</v>
      </c>
      <c r="I69">
        <v>0.8</v>
      </c>
      <c r="J69">
        <v>0.8</v>
      </c>
      <c r="K69">
        <v>0.8</v>
      </c>
      <c r="L69">
        <v>0.8</v>
      </c>
      <c r="M69">
        <v>0.8</v>
      </c>
      <c r="N69">
        <v>0.5</v>
      </c>
      <c r="O69">
        <v>0.8</v>
      </c>
      <c r="P69">
        <v>0.8</v>
      </c>
      <c r="Q69">
        <v>0.8</v>
      </c>
      <c r="R69">
        <v>0.5</v>
      </c>
      <c r="S69">
        <v>0.5</v>
      </c>
      <c r="T69">
        <v>0.5</v>
      </c>
      <c r="U69">
        <v>0.5</v>
      </c>
      <c r="V69">
        <v>0.5</v>
      </c>
      <c r="W69">
        <v>0.5</v>
      </c>
      <c r="X69">
        <v>0.5</v>
      </c>
      <c r="Y69" s="216">
        <v>0.5</v>
      </c>
      <c r="Z69">
        <v>0.1</v>
      </c>
      <c r="AA69">
        <v>0.1</v>
      </c>
      <c r="AB69">
        <v>0.1</v>
      </c>
      <c r="AC69">
        <v>0.1</v>
      </c>
      <c r="AD69">
        <v>0.1</v>
      </c>
      <c r="AE69">
        <v>0.1</v>
      </c>
      <c r="AF69" s="216">
        <v>0.1</v>
      </c>
      <c r="AG69">
        <v>0.5</v>
      </c>
      <c r="AH69">
        <v>0.5</v>
      </c>
      <c r="AI69">
        <v>0.5</v>
      </c>
      <c r="AJ69">
        <v>0.5</v>
      </c>
      <c r="AK69">
        <v>0.5</v>
      </c>
      <c r="AL69">
        <v>0.5</v>
      </c>
      <c r="AM69">
        <v>0.5</v>
      </c>
      <c r="AN69">
        <v>0.5</v>
      </c>
      <c r="AO69">
        <v>0.5</v>
      </c>
      <c r="AP69">
        <v>0.5</v>
      </c>
      <c r="AQ69" s="216">
        <v>0.5</v>
      </c>
      <c r="AR69" s="216">
        <v>0.5</v>
      </c>
      <c r="AS69">
        <v>0.8</v>
      </c>
      <c r="AT69" s="216">
        <v>0.5</v>
      </c>
      <c r="AU69" s="216">
        <v>0.5</v>
      </c>
      <c r="AV69">
        <v>0.8</v>
      </c>
      <c r="AW69">
        <v>0.5</v>
      </c>
      <c r="AX69">
        <v>0.8</v>
      </c>
      <c r="AY69">
        <v>0.8</v>
      </c>
      <c r="AZ69">
        <v>0.8</v>
      </c>
      <c r="BA69">
        <v>0.8</v>
      </c>
      <c r="BB69">
        <v>0.5</v>
      </c>
      <c r="BC69">
        <v>0.8</v>
      </c>
      <c r="BD69">
        <v>0.8</v>
      </c>
      <c r="BE69">
        <v>0.8</v>
      </c>
      <c r="BF69">
        <v>0.8</v>
      </c>
      <c r="BG69">
        <v>0.8</v>
      </c>
      <c r="BH69">
        <v>0.8</v>
      </c>
      <c r="BI69">
        <v>0.8</v>
      </c>
      <c r="BJ69">
        <v>0.8</v>
      </c>
      <c r="BK69">
        <v>0.8</v>
      </c>
      <c r="BL69">
        <v>0.8</v>
      </c>
      <c r="BM69" s="216">
        <v>0.8</v>
      </c>
      <c r="BN69" s="216">
        <v>0.8</v>
      </c>
      <c r="BO69" s="216">
        <v>0.8</v>
      </c>
      <c r="BP69" s="216">
        <v>0.8</v>
      </c>
      <c r="BQ69" s="216">
        <v>0.8</v>
      </c>
      <c r="BR69" s="216">
        <v>0.8</v>
      </c>
      <c r="BS69" s="216">
        <v>0.8</v>
      </c>
      <c r="BT69" s="216">
        <v>0.8</v>
      </c>
      <c r="BU69" s="216">
        <v>0.8</v>
      </c>
      <c r="BV69" s="216">
        <v>0.8</v>
      </c>
      <c r="BW69" s="216">
        <v>0.8</v>
      </c>
      <c r="BX69" s="216">
        <v>0.8</v>
      </c>
      <c r="BY69" s="216">
        <v>0.8</v>
      </c>
      <c r="BZ69" s="216">
        <v>0.8</v>
      </c>
      <c r="CA69" s="216">
        <v>0.8</v>
      </c>
      <c r="CB69" s="216">
        <v>0.5</v>
      </c>
      <c r="CC69" s="216">
        <v>0.5</v>
      </c>
      <c r="CD69" s="216">
        <v>0.8</v>
      </c>
      <c r="CE69" s="216">
        <v>0.8</v>
      </c>
      <c r="CF69" s="216">
        <v>0.8</v>
      </c>
      <c r="CG69" s="216">
        <v>0.8</v>
      </c>
      <c r="CH69" s="216">
        <v>0.5</v>
      </c>
      <c r="CI69">
        <v>0</v>
      </c>
      <c r="CJ69" s="216">
        <v>0</v>
      </c>
      <c r="CK69" s="216">
        <v>0</v>
      </c>
      <c r="CL69" s="216">
        <v>0</v>
      </c>
      <c r="CM69" s="216">
        <v>0</v>
      </c>
    </row>
    <row r="70" spans="1:91" customFormat="1" ht="15" customHeight="1" x14ac:dyDescent="0.5">
      <c r="A70" s="245" t="s">
        <v>237</v>
      </c>
      <c r="B70">
        <v>0</v>
      </c>
      <c r="C70">
        <v>0</v>
      </c>
      <c r="D70">
        <v>0.8</v>
      </c>
      <c r="E70">
        <v>0.8</v>
      </c>
      <c r="F70">
        <v>0.8</v>
      </c>
      <c r="G70">
        <v>0.8</v>
      </c>
      <c r="H70">
        <v>0.8</v>
      </c>
      <c r="I70">
        <v>0.8</v>
      </c>
      <c r="J70">
        <v>0.8</v>
      </c>
      <c r="K70">
        <v>0.8</v>
      </c>
      <c r="L70">
        <v>0.8</v>
      </c>
      <c r="M70">
        <v>0.8</v>
      </c>
      <c r="N70">
        <v>0.5</v>
      </c>
      <c r="O70">
        <v>0.8</v>
      </c>
      <c r="P70">
        <v>0.8</v>
      </c>
      <c r="Q70">
        <v>0.8</v>
      </c>
      <c r="R70">
        <v>0.5</v>
      </c>
      <c r="S70">
        <v>0.5</v>
      </c>
      <c r="T70">
        <v>0.5</v>
      </c>
      <c r="U70">
        <v>0.5</v>
      </c>
      <c r="V70">
        <v>0.5</v>
      </c>
      <c r="W70">
        <v>0.5</v>
      </c>
      <c r="X70">
        <v>0.5</v>
      </c>
      <c r="Y70" s="216">
        <v>0.5</v>
      </c>
      <c r="Z70">
        <v>0.1</v>
      </c>
      <c r="AA70">
        <v>0.1</v>
      </c>
      <c r="AB70">
        <v>0.1</v>
      </c>
      <c r="AC70">
        <v>0.1</v>
      </c>
      <c r="AD70">
        <v>0.1</v>
      </c>
      <c r="AE70">
        <v>0.1</v>
      </c>
      <c r="AF70" s="216">
        <v>0.1</v>
      </c>
      <c r="AG70">
        <v>0.5</v>
      </c>
      <c r="AH70">
        <v>0.5</v>
      </c>
      <c r="AI70">
        <v>0.5</v>
      </c>
      <c r="AJ70">
        <v>0.5</v>
      </c>
      <c r="AK70">
        <v>0.5</v>
      </c>
      <c r="AL70">
        <v>0.5</v>
      </c>
      <c r="AM70">
        <v>0.5</v>
      </c>
      <c r="AN70">
        <v>0.5</v>
      </c>
      <c r="AO70">
        <v>0.5</v>
      </c>
      <c r="AP70">
        <v>0.5</v>
      </c>
      <c r="AQ70" s="216">
        <v>0.5</v>
      </c>
      <c r="AR70" s="216">
        <v>0.5</v>
      </c>
      <c r="AS70">
        <v>0.8</v>
      </c>
      <c r="AT70" s="216">
        <v>0.5</v>
      </c>
      <c r="AU70" s="216">
        <v>0.5</v>
      </c>
      <c r="AV70">
        <v>0.8</v>
      </c>
      <c r="AW70">
        <v>0.5</v>
      </c>
      <c r="AX70">
        <v>0.8</v>
      </c>
      <c r="AY70">
        <v>0.8</v>
      </c>
      <c r="AZ70">
        <v>0.8</v>
      </c>
      <c r="BA70">
        <v>0.8</v>
      </c>
      <c r="BB70">
        <v>0.5</v>
      </c>
      <c r="BC70">
        <v>0.8</v>
      </c>
      <c r="BD70">
        <v>0.8</v>
      </c>
      <c r="BE70">
        <v>0.8</v>
      </c>
      <c r="BF70">
        <v>0.8</v>
      </c>
      <c r="BG70">
        <v>0.8</v>
      </c>
      <c r="BH70">
        <v>0.8</v>
      </c>
      <c r="BI70">
        <v>0.8</v>
      </c>
      <c r="BJ70">
        <v>0.8</v>
      </c>
      <c r="BK70">
        <v>0.8</v>
      </c>
      <c r="BL70">
        <v>0.8</v>
      </c>
      <c r="BM70" s="216">
        <v>0.8</v>
      </c>
      <c r="BN70" s="216">
        <v>0.8</v>
      </c>
      <c r="BO70" s="216">
        <v>0.8</v>
      </c>
      <c r="BP70" s="216">
        <v>0.8</v>
      </c>
      <c r="BQ70" s="216">
        <v>0.8</v>
      </c>
      <c r="BR70" s="216">
        <v>0.8</v>
      </c>
      <c r="BS70" s="216">
        <v>0.8</v>
      </c>
      <c r="BT70" s="216">
        <v>0.8</v>
      </c>
      <c r="BU70" s="216">
        <v>0.8</v>
      </c>
      <c r="BV70" s="216">
        <v>0.8</v>
      </c>
      <c r="BW70" s="216">
        <v>0.8</v>
      </c>
      <c r="BX70" s="216">
        <v>0.8</v>
      </c>
      <c r="BY70" s="216">
        <v>0.8</v>
      </c>
      <c r="BZ70" s="216">
        <v>0.8</v>
      </c>
      <c r="CA70" s="216">
        <v>0.8</v>
      </c>
      <c r="CB70" s="216">
        <v>0.5</v>
      </c>
      <c r="CC70" s="216">
        <v>0.5</v>
      </c>
      <c r="CD70" s="216">
        <v>0.8</v>
      </c>
      <c r="CE70" s="216">
        <v>0.8</v>
      </c>
      <c r="CF70" s="216">
        <v>0.8</v>
      </c>
      <c r="CG70" s="216">
        <v>0.8</v>
      </c>
      <c r="CH70" s="216">
        <v>0.5</v>
      </c>
      <c r="CI70">
        <v>0</v>
      </c>
      <c r="CJ70" s="216">
        <v>0</v>
      </c>
      <c r="CK70" s="216">
        <v>0</v>
      </c>
      <c r="CL70" s="216">
        <v>0</v>
      </c>
      <c r="CM70" s="216">
        <v>0</v>
      </c>
    </row>
    <row r="71" spans="1:91" customFormat="1" ht="15" customHeight="1" x14ac:dyDescent="0.5">
      <c r="A71" s="245" t="s">
        <v>238</v>
      </c>
      <c r="B71">
        <v>0</v>
      </c>
      <c r="C71">
        <v>0</v>
      </c>
      <c r="D71">
        <v>0.8</v>
      </c>
      <c r="E71">
        <v>0.8</v>
      </c>
      <c r="F71">
        <v>0.8</v>
      </c>
      <c r="G71">
        <v>0.8</v>
      </c>
      <c r="H71">
        <v>0.8</v>
      </c>
      <c r="I71">
        <v>0.8</v>
      </c>
      <c r="J71">
        <v>0.8</v>
      </c>
      <c r="K71">
        <v>0.8</v>
      </c>
      <c r="L71">
        <v>0.8</v>
      </c>
      <c r="M71">
        <v>0.8</v>
      </c>
      <c r="N71">
        <v>0.5</v>
      </c>
      <c r="O71">
        <v>0.8</v>
      </c>
      <c r="P71">
        <v>0.8</v>
      </c>
      <c r="Q71">
        <v>0.8</v>
      </c>
      <c r="R71">
        <v>0.5</v>
      </c>
      <c r="S71">
        <v>0.5</v>
      </c>
      <c r="T71">
        <v>0.5</v>
      </c>
      <c r="U71">
        <v>0.5</v>
      </c>
      <c r="V71">
        <v>0.5</v>
      </c>
      <c r="W71">
        <v>0.5</v>
      </c>
      <c r="X71">
        <v>0.5</v>
      </c>
      <c r="Y71" s="216">
        <v>0.5</v>
      </c>
      <c r="Z71">
        <v>0.1</v>
      </c>
      <c r="AA71">
        <v>0.1</v>
      </c>
      <c r="AB71">
        <v>0.1</v>
      </c>
      <c r="AC71">
        <v>0.1</v>
      </c>
      <c r="AD71">
        <v>0.1</v>
      </c>
      <c r="AE71">
        <v>0.1</v>
      </c>
      <c r="AF71" s="216">
        <v>0.1</v>
      </c>
      <c r="AG71">
        <v>0.5</v>
      </c>
      <c r="AH71">
        <v>0.5</v>
      </c>
      <c r="AI71">
        <v>0.5</v>
      </c>
      <c r="AJ71">
        <v>0.5</v>
      </c>
      <c r="AK71">
        <v>0.5</v>
      </c>
      <c r="AL71">
        <v>0.5</v>
      </c>
      <c r="AM71">
        <v>0.5</v>
      </c>
      <c r="AN71">
        <v>0.5</v>
      </c>
      <c r="AO71">
        <v>0.5</v>
      </c>
      <c r="AP71">
        <v>0.5</v>
      </c>
      <c r="AQ71" s="216">
        <v>0.5</v>
      </c>
      <c r="AR71" s="216">
        <v>0.5</v>
      </c>
      <c r="AS71">
        <v>0.8</v>
      </c>
      <c r="AT71" s="216">
        <v>0.5</v>
      </c>
      <c r="AU71" s="216">
        <v>0.5</v>
      </c>
      <c r="AV71">
        <v>0.8</v>
      </c>
      <c r="AW71">
        <v>0.5</v>
      </c>
      <c r="AX71">
        <v>0.8</v>
      </c>
      <c r="AY71">
        <v>0.8</v>
      </c>
      <c r="AZ71">
        <v>0.8</v>
      </c>
      <c r="BA71">
        <v>0.8</v>
      </c>
      <c r="BB71">
        <v>0.5</v>
      </c>
      <c r="BC71">
        <v>0.8</v>
      </c>
      <c r="BD71">
        <v>0.8</v>
      </c>
      <c r="BE71">
        <v>0.8</v>
      </c>
      <c r="BF71">
        <v>0.8</v>
      </c>
      <c r="BG71">
        <v>0.8</v>
      </c>
      <c r="BH71">
        <v>0.8</v>
      </c>
      <c r="BI71">
        <v>0.8</v>
      </c>
      <c r="BJ71">
        <v>0.8</v>
      </c>
      <c r="BK71">
        <v>0.8</v>
      </c>
      <c r="BL71">
        <v>0.8</v>
      </c>
      <c r="BM71" s="216">
        <v>0.8</v>
      </c>
      <c r="BN71" s="216">
        <v>0.8</v>
      </c>
      <c r="BO71" s="216">
        <v>0.8</v>
      </c>
      <c r="BP71" s="216">
        <v>0.8</v>
      </c>
      <c r="BQ71" s="216">
        <v>0.8</v>
      </c>
      <c r="BR71" s="216">
        <v>0.8</v>
      </c>
      <c r="BS71" s="216">
        <v>0.8</v>
      </c>
      <c r="BT71" s="216">
        <v>0.8</v>
      </c>
      <c r="BU71" s="216">
        <v>0.8</v>
      </c>
      <c r="BV71" s="216">
        <v>0.8</v>
      </c>
      <c r="BW71" s="216">
        <v>0.8</v>
      </c>
      <c r="BX71" s="216">
        <v>0.8</v>
      </c>
      <c r="BY71" s="216">
        <v>0.8</v>
      </c>
      <c r="BZ71" s="216">
        <v>0.8</v>
      </c>
      <c r="CA71" s="216">
        <v>0.8</v>
      </c>
      <c r="CB71" s="216">
        <v>0.5</v>
      </c>
      <c r="CC71" s="216">
        <v>0.5</v>
      </c>
      <c r="CD71" s="216">
        <v>0.8</v>
      </c>
      <c r="CE71" s="216">
        <v>0.8</v>
      </c>
      <c r="CF71" s="216">
        <v>0.8</v>
      </c>
      <c r="CG71" s="216">
        <v>0.8</v>
      </c>
      <c r="CH71" s="216">
        <v>0.5</v>
      </c>
      <c r="CI71">
        <v>0</v>
      </c>
      <c r="CJ71" s="216">
        <v>0</v>
      </c>
      <c r="CK71" s="216">
        <v>0</v>
      </c>
      <c r="CL71" s="216">
        <v>0</v>
      </c>
      <c r="CM71" s="216">
        <v>0</v>
      </c>
    </row>
    <row r="72" spans="1:91" customFormat="1" ht="15" customHeight="1" x14ac:dyDescent="0.5">
      <c r="A72" s="245" t="s">
        <v>239</v>
      </c>
      <c r="B72">
        <v>0</v>
      </c>
      <c r="C72">
        <v>0</v>
      </c>
      <c r="D72">
        <v>0.8</v>
      </c>
      <c r="E72">
        <v>0.8</v>
      </c>
      <c r="F72">
        <v>0.8</v>
      </c>
      <c r="G72">
        <v>0.8</v>
      </c>
      <c r="H72">
        <v>0.8</v>
      </c>
      <c r="I72">
        <v>0.8</v>
      </c>
      <c r="J72">
        <v>0.8</v>
      </c>
      <c r="K72">
        <v>0.8</v>
      </c>
      <c r="L72">
        <v>0.8</v>
      </c>
      <c r="M72">
        <v>0.8</v>
      </c>
      <c r="N72">
        <v>0.5</v>
      </c>
      <c r="O72">
        <v>0.8</v>
      </c>
      <c r="P72">
        <v>0.8</v>
      </c>
      <c r="Q72">
        <v>0.8</v>
      </c>
      <c r="R72">
        <v>0.5</v>
      </c>
      <c r="S72">
        <v>0.5</v>
      </c>
      <c r="T72">
        <v>0.5</v>
      </c>
      <c r="U72">
        <v>0.5</v>
      </c>
      <c r="V72">
        <v>0.5</v>
      </c>
      <c r="W72">
        <v>0.5</v>
      </c>
      <c r="X72">
        <v>0.5</v>
      </c>
      <c r="Y72" s="216">
        <v>0.5</v>
      </c>
      <c r="Z72">
        <v>0.1</v>
      </c>
      <c r="AA72">
        <v>0.1</v>
      </c>
      <c r="AB72">
        <v>0.1</v>
      </c>
      <c r="AC72">
        <v>0.1</v>
      </c>
      <c r="AD72">
        <v>0.1</v>
      </c>
      <c r="AE72">
        <v>0.1</v>
      </c>
      <c r="AF72" s="216">
        <v>0.1</v>
      </c>
      <c r="AG72">
        <v>0.5</v>
      </c>
      <c r="AH72">
        <v>0.5</v>
      </c>
      <c r="AI72">
        <v>0.5</v>
      </c>
      <c r="AJ72">
        <v>0.5</v>
      </c>
      <c r="AK72">
        <v>0.5</v>
      </c>
      <c r="AL72">
        <v>0.5</v>
      </c>
      <c r="AM72">
        <v>0.5</v>
      </c>
      <c r="AN72">
        <v>0.5</v>
      </c>
      <c r="AO72">
        <v>0.5</v>
      </c>
      <c r="AP72">
        <v>0.5</v>
      </c>
      <c r="AQ72" s="216">
        <v>0.5</v>
      </c>
      <c r="AR72" s="216">
        <v>0.5</v>
      </c>
      <c r="AS72">
        <v>0.8</v>
      </c>
      <c r="AT72" s="216">
        <v>0.5</v>
      </c>
      <c r="AU72" s="216">
        <v>0.5</v>
      </c>
      <c r="AV72">
        <v>0.8</v>
      </c>
      <c r="AW72">
        <v>0.5</v>
      </c>
      <c r="AX72">
        <v>0.8</v>
      </c>
      <c r="AY72">
        <v>0.8</v>
      </c>
      <c r="AZ72">
        <v>0.8</v>
      </c>
      <c r="BA72">
        <v>0.8</v>
      </c>
      <c r="BB72">
        <v>0.5</v>
      </c>
      <c r="BC72">
        <v>0.8</v>
      </c>
      <c r="BD72">
        <v>0.8</v>
      </c>
      <c r="BE72">
        <v>0.8</v>
      </c>
      <c r="BF72">
        <v>0.8</v>
      </c>
      <c r="BG72">
        <v>0.8</v>
      </c>
      <c r="BH72">
        <v>0.8</v>
      </c>
      <c r="BI72">
        <v>0.8</v>
      </c>
      <c r="BJ72">
        <v>0.8</v>
      </c>
      <c r="BK72">
        <v>0.8</v>
      </c>
      <c r="BL72">
        <v>0.8</v>
      </c>
      <c r="BM72" s="216">
        <v>0.8</v>
      </c>
      <c r="BN72" s="216">
        <v>0.8</v>
      </c>
      <c r="BO72" s="216">
        <v>0.8</v>
      </c>
      <c r="BP72" s="216">
        <v>0.8</v>
      </c>
      <c r="BQ72" s="216">
        <v>0.8</v>
      </c>
      <c r="BR72" s="216">
        <v>0.8</v>
      </c>
      <c r="BS72" s="216">
        <v>0.8</v>
      </c>
      <c r="BT72" s="216">
        <v>0.8</v>
      </c>
      <c r="BU72" s="216">
        <v>0.8</v>
      </c>
      <c r="BV72" s="216">
        <v>0.8</v>
      </c>
      <c r="BW72" s="216">
        <v>0.8</v>
      </c>
      <c r="BX72" s="216">
        <v>0.8</v>
      </c>
      <c r="BY72" s="216">
        <v>0.8</v>
      </c>
      <c r="BZ72" s="216">
        <v>0.8</v>
      </c>
      <c r="CA72" s="216">
        <v>0.8</v>
      </c>
      <c r="CB72" s="216">
        <v>0.5</v>
      </c>
      <c r="CC72" s="216">
        <v>0.5</v>
      </c>
      <c r="CD72" s="216">
        <v>0.8</v>
      </c>
      <c r="CE72" s="216">
        <v>0.8</v>
      </c>
      <c r="CF72" s="216">
        <v>0.8</v>
      </c>
      <c r="CG72" s="216">
        <v>0.8</v>
      </c>
      <c r="CH72" s="216">
        <v>0.5</v>
      </c>
      <c r="CI72">
        <v>0</v>
      </c>
      <c r="CJ72" s="216">
        <v>0</v>
      </c>
      <c r="CK72" s="216">
        <v>0</v>
      </c>
      <c r="CL72" s="216">
        <v>0</v>
      </c>
      <c r="CM72" s="216">
        <v>0</v>
      </c>
    </row>
    <row r="73" spans="1:91" customFormat="1" ht="15" customHeight="1" x14ac:dyDescent="0.5">
      <c r="A73" s="245" t="s">
        <v>240</v>
      </c>
      <c r="B73">
        <v>0</v>
      </c>
      <c r="C73">
        <v>0</v>
      </c>
      <c r="D73">
        <v>0.8</v>
      </c>
      <c r="E73">
        <v>0.8</v>
      </c>
      <c r="F73">
        <v>0.8</v>
      </c>
      <c r="G73">
        <v>0.8</v>
      </c>
      <c r="H73">
        <v>0.8</v>
      </c>
      <c r="I73">
        <v>0.8</v>
      </c>
      <c r="J73">
        <v>0.8</v>
      </c>
      <c r="K73">
        <v>0.8</v>
      </c>
      <c r="L73">
        <v>0.8</v>
      </c>
      <c r="M73">
        <v>0.8</v>
      </c>
      <c r="N73">
        <v>0.5</v>
      </c>
      <c r="O73">
        <v>0.8</v>
      </c>
      <c r="P73">
        <v>0.8</v>
      </c>
      <c r="Q73">
        <v>0.8</v>
      </c>
      <c r="R73">
        <v>0.5</v>
      </c>
      <c r="S73">
        <v>0.5</v>
      </c>
      <c r="T73">
        <v>0.5</v>
      </c>
      <c r="U73">
        <v>0.5</v>
      </c>
      <c r="V73">
        <v>0.5</v>
      </c>
      <c r="W73">
        <v>0.5</v>
      </c>
      <c r="X73">
        <v>0.5</v>
      </c>
      <c r="Y73" s="216">
        <v>0.5</v>
      </c>
      <c r="Z73">
        <v>0.1</v>
      </c>
      <c r="AA73">
        <v>0.1</v>
      </c>
      <c r="AB73">
        <v>0.1</v>
      </c>
      <c r="AC73">
        <v>0.1</v>
      </c>
      <c r="AD73">
        <v>0.1</v>
      </c>
      <c r="AE73">
        <v>0.1</v>
      </c>
      <c r="AF73" s="216">
        <v>0.1</v>
      </c>
      <c r="AG73">
        <v>0.5</v>
      </c>
      <c r="AH73">
        <v>0.5</v>
      </c>
      <c r="AI73">
        <v>0.5</v>
      </c>
      <c r="AJ73">
        <v>0.5</v>
      </c>
      <c r="AK73">
        <v>0.5</v>
      </c>
      <c r="AL73">
        <v>0.5</v>
      </c>
      <c r="AM73">
        <v>0.5</v>
      </c>
      <c r="AN73">
        <v>0.5</v>
      </c>
      <c r="AO73">
        <v>0.5</v>
      </c>
      <c r="AP73">
        <v>0.5</v>
      </c>
      <c r="AQ73" s="216">
        <v>0.5</v>
      </c>
      <c r="AR73" s="216">
        <v>0.5</v>
      </c>
      <c r="AS73">
        <v>0.8</v>
      </c>
      <c r="AT73" s="216">
        <v>0.5</v>
      </c>
      <c r="AU73" s="216">
        <v>0.5</v>
      </c>
      <c r="AV73">
        <v>0.8</v>
      </c>
      <c r="AW73">
        <v>0.5</v>
      </c>
      <c r="AX73">
        <v>0.8</v>
      </c>
      <c r="AY73">
        <v>0.8</v>
      </c>
      <c r="AZ73">
        <v>0.8</v>
      </c>
      <c r="BA73">
        <v>0.8</v>
      </c>
      <c r="BB73">
        <v>0.5</v>
      </c>
      <c r="BC73">
        <v>0.8</v>
      </c>
      <c r="BD73">
        <v>0.8</v>
      </c>
      <c r="BE73">
        <v>0.8</v>
      </c>
      <c r="BF73">
        <v>0.8</v>
      </c>
      <c r="BG73">
        <v>0.8</v>
      </c>
      <c r="BH73">
        <v>0.8</v>
      </c>
      <c r="BI73">
        <v>0.8</v>
      </c>
      <c r="BJ73">
        <v>0.8</v>
      </c>
      <c r="BK73">
        <v>0.8</v>
      </c>
      <c r="BL73">
        <v>0.8</v>
      </c>
      <c r="BM73" s="216">
        <v>0.8</v>
      </c>
      <c r="BN73" s="216">
        <v>0.8</v>
      </c>
      <c r="BO73" s="216">
        <v>0.8</v>
      </c>
      <c r="BP73" s="216">
        <v>0.8</v>
      </c>
      <c r="BQ73" s="216">
        <v>0.8</v>
      </c>
      <c r="BR73" s="216">
        <v>0.8</v>
      </c>
      <c r="BS73" s="216">
        <v>0.8</v>
      </c>
      <c r="BT73" s="216">
        <v>0.8</v>
      </c>
      <c r="BU73" s="216">
        <v>0.8</v>
      </c>
      <c r="BV73" s="216">
        <v>0.8</v>
      </c>
      <c r="BW73" s="216">
        <v>0.8</v>
      </c>
      <c r="BX73" s="216">
        <v>0.8</v>
      </c>
      <c r="BY73" s="216">
        <v>0.8</v>
      </c>
      <c r="BZ73" s="216">
        <v>0.8</v>
      </c>
      <c r="CA73" s="216">
        <v>0.8</v>
      </c>
      <c r="CB73" s="216">
        <v>0.5</v>
      </c>
      <c r="CC73" s="216">
        <v>0.5</v>
      </c>
      <c r="CD73" s="216">
        <v>0.8</v>
      </c>
      <c r="CE73" s="216">
        <v>0.8</v>
      </c>
      <c r="CF73" s="216">
        <v>0.8</v>
      </c>
      <c r="CG73" s="216">
        <v>0.8</v>
      </c>
      <c r="CH73" s="216">
        <v>0.5</v>
      </c>
      <c r="CI73">
        <v>0</v>
      </c>
      <c r="CJ73" s="216">
        <v>0</v>
      </c>
      <c r="CK73" s="216">
        <v>0</v>
      </c>
      <c r="CL73" s="216">
        <v>0</v>
      </c>
      <c r="CM73" s="216">
        <v>0</v>
      </c>
    </row>
    <row r="74" spans="1:91" customFormat="1" ht="15" customHeight="1" x14ac:dyDescent="0.5">
      <c r="A74" s="245" t="s">
        <v>241</v>
      </c>
      <c r="B74">
        <v>0</v>
      </c>
      <c r="C74">
        <v>0</v>
      </c>
      <c r="D74">
        <v>0.8</v>
      </c>
      <c r="E74">
        <v>0.8</v>
      </c>
      <c r="F74">
        <v>0.8</v>
      </c>
      <c r="G74">
        <v>0.8</v>
      </c>
      <c r="H74">
        <v>0.8</v>
      </c>
      <c r="I74">
        <v>0.8</v>
      </c>
      <c r="J74">
        <v>0.8</v>
      </c>
      <c r="K74">
        <v>0.8</v>
      </c>
      <c r="L74">
        <v>0.8</v>
      </c>
      <c r="M74">
        <v>0.8</v>
      </c>
      <c r="N74">
        <v>0.5</v>
      </c>
      <c r="O74">
        <v>0.8</v>
      </c>
      <c r="P74">
        <v>0.8</v>
      </c>
      <c r="Q74">
        <v>0.8</v>
      </c>
      <c r="R74">
        <v>0.5</v>
      </c>
      <c r="S74">
        <v>0.5</v>
      </c>
      <c r="T74">
        <v>0.5</v>
      </c>
      <c r="U74">
        <v>0.5</v>
      </c>
      <c r="V74">
        <v>0.5</v>
      </c>
      <c r="W74">
        <v>0.5</v>
      </c>
      <c r="X74">
        <v>0.5</v>
      </c>
      <c r="Y74" s="216">
        <v>0.5</v>
      </c>
      <c r="Z74">
        <v>0.1</v>
      </c>
      <c r="AA74">
        <v>0.1</v>
      </c>
      <c r="AB74">
        <v>0.1</v>
      </c>
      <c r="AC74">
        <v>0.1</v>
      </c>
      <c r="AD74">
        <v>0.1</v>
      </c>
      <c r="AE74">
        <v>0.1</v>
      </c>
      <c r="AF74" s="216">
        <v>0.1</v>
      </c>
      <c r="AG74">
        <v>0.5</v>
      </c>
      <c r="AH74">
        <v>0.5</v>
      </c>
      <c r="AI74">
        <v>0.5</v>
      </c>
      <c r="AJ74">
        <v>0.5</v>
      </c>
      <c r="AK74">
        <v>0.5</v>
      </c>
      <c r="AL74">
        <v>0.5</v>
      </c>
      <c r="AM74">
        <v>0.5</v>
      </c>
      <c r="AN74">
        <v>0.5</v>
      </c>
      <c r="AO74">
        <v>0.5</v>
      </c>
      <c r="AP74">
        <v>0.5</v>
      </c>
      <c r="AQ74" s="216">
        <v>0.5</v>
      </c>
      <c r="AR74" s="216">
        <v>0.5</v>
      </c>
      <c r="AS74">
        <v>0.8</v>
      </c>
      <c r="AT74" s="216">
        <v>0.5</v>
      </c>
      <c r="AU74" s="216">
        <v>0.5</v>
      </c>
      <c r="AV74">
        <v>0.8</v>
      </c>
      <c r="AW74">
        <v>0.5</v>
      </c>
      <c r="AX74">
        <v>0.8</v>
      </c>
      <c r="AY74">
        <v>0.8</v>
      </c>
      <c r="AZ74">
        <v>0.8</v>
      </c>
      <c r="BA74">
        <v>0.8</v>
      </c>
      <c r="BB74">
        <v>0.5</v>
      </c>
      <c r="BC74">
        <v>0.8</v>
      </c>
      <c r="BD74">
        <v>0.8</v>
      </c>
      <c r="BE74">
        <v>0.8</v>
      </c>
      <c r="BF74">
        <v>0.8</v>
      </c>
      <c r="BG74">
        <v>0.8</v>
      </c>
      <c r="BH74">
        <v>0.8</v>
      </c>
      <c r="BI74">
        <v>0.8</v>
      </c>
      <c r="BJ74">
        <v>0.8</v>
      </c>
      <c r="BK74">
        <v>0.8</v>
      </c>
      <c r="BL74">
        <v>0.8</v>
      </c>
      <c r="BM74" s="216">
        <v>0.8</v>
      </c>
      <c r="BN74" s="216">
        <v>0.8</v>
      </c>
      <c r="BO74" s="216">
        <v>0.8</v>
      </c>
      <c r="BP74" s="216">
        <v>0.8</v>
      </c>
      <c r="BQ74" s="216">
        <v>0.8</v>
      </c>
      <c r="BR74" s="216">
        <v>0.8</v>
      </c>
      <c r="BS74" s="216">
        <v>0.8</v>
      </c>
      <c r="BT74" s="216">
        <v>0.8</v>
      </c>
      <c r="BU74" s="216">
        <v>0.8</v>
      </c>
      <c r="BV74" s="216">
        <v>0.8</v>
      </c>
      <c r="BW74" s="216">
        <v>0.8</v>
      </c>
      <c r="BX74" s="216">
        <v>0.8</v>
      </c>
      <c r="BY74" s="216">
        <v>0.8</v>
      </c>
      <c r="BZ74" s="216">
        <v>0.8</v>
      </c>
      <c r="CA74" s="216">
        <v>0.8</v>
      </c>
      <c r="CB74" s="216">
        <v>0.5</v>
      </c>
      <c r="CC74" s="216">
        <v>0.5</v>
      </c>
      <c r="CD74" s="216">
        <v>0.8</v>
      </c>
      <c r="CE74" s="216">
        <v>0.8</v>
      </c>
      <c r="CF74" s="216">
        <v>0.8</v>
      </c>
      <c r="CG74" s="216">
        <v>0.8</v>
      </c>
      <c r="CH74" s="216">
        <v>0.5</v>
      </c>
      <c r="CI74">
        <v>0</v>
      </c>
      <c r="CJ74" s="216">
        <v>0</v>
      </c>
      <c r="CK74" s="216">
        <v>0</v>
      </c>
      <c r="CL74" s="216">
        <v>0</v>
      </c>
      <c r="CM74" s="216">
        <v>0</v>
      </c>
    </row>
    <row r="75" spans="1:91" customFormat="1" ht="15" customHeight="1" x14ac:dyDescent="0.5">
      <c r="A75" s="245" t="s">
        <v>242</v>
      </c>
      <c r="B75">
        <v>0</v>
      </c>
      <c r="C75">
        <v>0</v>
      </c>
      <c r="D75">
        <v>0.8</v>
      </c>
      <c r="E75">
        <v>0.8</v>
      </c>
      <c r="F75">
        <v>0.8</v>
      </c>
      <c r="G75">
        <v>0.8</v>
      </c>
      <c r="H75">
        <v>0.8</v>
      </c>
      <c r="I75">
        <v>0.8</v>
      </c>
      <c r="J75">
        <v>0.8</v>
      </c>
      <c r="K75">
        <v>0.8</v>
      </c>
      <c r="L75">
        <v>0.8</v>
      </c>
      <c r="M75">
        <v>0.8</v>
      </c>
      <c r="N75">
        <v>0.5</v>
      </c>
      <c r="O75">
        <v>0.8</v>
      </c>
      <c r="P75">
        <v>0.8</v>
      </c>
      <c r="Q75">
        <v>0.8</v>
      </c>
      <c r="R75">
        <v>0.5</v>
      </c>
      <c r="S75">
        <v>0.5</v>
      </c>
      <c r="T75">
        <v>0.5</v>
      </c>
      <c r="U75">
        <v>0.5</v>
      </c>
      <c r="V75">
        <v>0.5</v>
      </c>
      <c r="W75">
        <v>0.5</v>
      </c>
      <c r="X75">
        <v>0.5</v>
      </c>
      <c r="Y75" s="216">
        <v>0.5</v>
      </c>
      <c r="Z75">
        <v>0.1</v>
      </c>
      <c r="AA75">
        <v>0.1</v>
      </c>
      <c r="AB75">
        <v>0.1</v>
      </c>
      <c r="AC75">
        <v>0.1</v>
      </c>
      <c r="AD75">
        <v>0.1</v>
      </c>
      <c r="AE75">
        <v>0.1</v>
      </c>
      <c r="AF75" s="216">
        <v>0.1</v>
      </c>
      <c r="AG75">
        <v>0.5</v>
      </c>
      <c r="AH75">
        <v>0.5</v>
      </c>
      <c r="AI75">
        <v>0.5</v>
      </c>
      <c r="AJ75">
        <v>0.5</v>
      </c>
      <c r="AK75">
        <v>0.5</v>
      </c>
      <c r="AL75">
        <v>0.5</v>
      </c>
      <c r="AM75">
        <v>0.5</v>
      </c>
      <c r="AN75">
        <v>0.5</v>
      </c>
      <c r="AO75">
        <v>0.5</v>
      </c>
      <c r="AP75">
        <v>0.5</v>
      </c>
      <c r="AQ75" s="216">
        <v>0.5</v>
      </c>
      <c r="AR75" s="216">
        <v>0.5</v>
      </c>
      <c r="AS75">
        <v>0.8</v>
      </c>
      <c r="AT75" s="216">
        <v>0.5</v>
      </c>
      <c r="AU75" s="216">
        <v>0.5</v>
      </c>
      <c r="AV75">
        <v>0.8</v>
      </c>
      <c r="AW75">
        <v>0.5</v>
      </c>
      <c r="AX75">
        <v>0.8</v>
      </c>
      <c r="AY75">
        <v>0.8</v>
      </c>
      <c r="AZ75">
        <v>0.8</v>
      </c>
      <c r="BA75">
        <v>0.8</v>
      </c>
      <c r="BB75">
        <v>0.5</v>
      </c>
      <c r="BC75">
        <v>0.8</v>
      </c>
      <c r="BD75">
        <v>0.8</v>
      </c>
      <c r="BE75">
        <v>0.8</v>
      </c>
      <c r="BF75">
        <v>0.8</v>
      </c>
      <c r="BG75">
        <v>0.8</v>
      </c>
      <c r="BH75">
        <v>0.8</v>
      </c>
      <c r="BI75">
        <v>0.8</v>
      </c>
      <c r="BJ75">
        <v>0.8</v>
      </c>
      <c r="BK75">
        <v>0.8</v>
      </c>
      <c r="BL75">
        <v>0.8</v>
      </c>
      <c r="BM75" s="216">
        <v>0.8</v>
      </c>
      <c r="BN75" s="216">
        <v>0.8</v>
      </c>
      <c r="BO75" s="216">
        <v>0.8</v>
      </c>
      <c r="BP75" s="216">
        <v>0.8</v>
      </c>
      <c r="BQ75" s="216">
        <v>0.8</v>
      </c>
      <c r="BR75" s="216">
        <v>0.8</v>
      </c>
      <c r="BS75" s="216">
        <v>0.8</v>
      </c>
      <c r="BT75" s="216">
        <v>0.8</v>
      </c>
      <c r="BU75" s="216">
        <v>0.8</v>
      </c>
      <c r="BV75" s="216">
        <v>0.8</v>
      </c>
      <c r="BW75" s="216">
        <v>0.8</v>
      </c>
      <c r="BX75" s="216">
        <v>0.8</v>
      </c>
      <c r="BY75" s="216">
        <v>0.8</v>
      </c>
      <c r="BZ75" s="216">
        <v>0.8</v>
      </c>
      <c r="CA75" s="216">
        <v>0.8</v>
      </c>
      <c r="CB75" s="216">
        <v>0.5</v>
      </c>
      <c r="CC75" s="216">
        <v>0.5</v>
      </c>
      <c r="CD75" s="216">
        <v>0.8</v>
      </c>
      <c r="CE75" s="216">
        <v>0.8</v>
      </c>
      <c r="CF75" s="216">
        <v>0.8</v>
      </c>
      <c r="CG75" s="216">
        <v>0.8</v>
      </c>
      <c r="CH75" s="216">
        <v>0.5</v>
      </c>
      <c r="CI75">
        <v>0</v>
      </c>
      <c r="CJ75" s="216">
        <v>0</v>
      </c>
      <c r="CK75" s="216">
        <v>0</v>
      </c>
      <c r="CL75" s="216">
        <v>0</v>
      </c>
      <c r="CM75" s="216">
        <v>0</v>
      </c>
    </row>
    <row r="76" spans="1:91" customFormat="1" ht="15" customHeight="1" x14ac:dyDescent="0.5">
      <c r="A76" s="245" t="s">
        <v>243</v>
      </c>
      <c r="B76">
        <v>0</v>
      </c>
      <c r="C76">
        <v>0</v>
      </c>
      <c r="D76">
        <v>0.8</v>
      </c>
      <c r="E76">
        <v>0.8</v>
      </c>
      <c r="F76">
        <v>0.8</v>
      </c>
      <c r="G76">
        <v>0.8</v>
      </c>
      <c r="H76">
        <v>0.8</v>
      </c>
      <c r="I76">
        <v>0.8</v>
      </c>
      <c r="J76">
        <v>0.8</v>
      </c>
      <c r="K76">
        <v>0.8</v>
      </c>
      <c r="L76">
        <v>0.8</v>
      </c>
      <c r="M76">
        <v>0.8</v>
      </c>
      <c r="N76">
        <v>0.5</v>
      </c>
      <c r="O76">
        <v>0.8</v>
      </c>
      <c r="P76">
        <v>0.8</v>
      </c>
      <c r="Q76">
        <v>0.8</v>
      </c>
      <c r="R76">
        <v>0.5</v>
      </c>
      <c r="S76">
        <v>0.5</v>
      </c>
      <c r="T76">
        <v>0.5</v>
      </c>
      <c r="U76">
        <v>0.5</v>
      </c>
      <c r="V76">
        <v>0.5</v>
      </c>
      <c r="W76">
        <v>0.5</v>
      </c>
      <c r="X76">
        <v>0.5</v>
      </c>
      <c r="Y76" s="216">
        <v>0.5</v>
      </c>
      <c r="Z76">
        <v>0.1</v>
      </c>
      <c r="AA76">
        <v>0.1</v>
      </c>
      <c r="AB76">
        <v>0.1</v>
      </c>
      <c r="AC76">
        <v>0.1</v>
      </c>
      <c r="AD76">
        <v>0.1</v>
      </c>
      <c r="AE76">
        <v>0.1</v>
      </c>
      <c r="AF76" s="216">
        <v>0.1</v>
      </c>
      <c r="AG76">
        <v>0.5</v>
      </c>
      <c r="AH76">
        <v>0.5</v>
      </c>
      <c r="AI76">
        <v>0.5</v>
      </c>
      <c r="AJ76">
        <v>0.5</v>
      </c>
      <c r="AK76">
        <v>0.5</v>
      </c>
      <c r="AL76">
        <v>0.5</v>
      </c>
      <c r="AM76">
        <v>0.5</v>
      </c>
      <c r="AN76">
        <v>0.5</v>
      </c>
      <c r="AO76">
        <v>0.5</v>
      </c>
      <c r="AP76">
        <v>0.5</v>
      </c>
      <c r="AQ76" s="216">
        <v>0.5</v>
      </c>
      <c r="AR76" s="216">
        <v>0.5</v>
      </c>
      <c r="AS76">
        <v>0.8</v>
      </c>
      <c r="AT76" s="216">
        <v>0.5</v>
      </c>
      <c r="AU76" s="216">
        <v>0.5</v>
      </c>
      <c r="AV76">
        <v>0.8</v>
      </c>
      <c r="AW76">
        <v>0.5</v>
      </c>
      <c r="AX76">
        <v>0.8</v>
      </c>
      <c r="AY76">
        <v>0.8</v>
      </c>
      <c r="AZ76">
        <v>0.8</v>
      </c>
      <c r="BA76">
        <v>0.8</v>
      </c>
      <c r="BB76">
        <v>0.5</v>
      </c>
      <c r="BC76">
        <v>0.8</v>
      </c>
      <c r="BD76">
        <v>0.8</v>
      </c>
      <c r="BE76">
        <v>0.8</v>
      </c>
      <c r="BF76">
        <v>0.8</v>
      </c>
      <c r="BG76">
        <v>0.8</v>
      </c>
      <c r="BH76">
        <v>0.8</v>
      </c>
      <c r="BI76">
        <v>0.8</v>
      </c>
      <c r="BJ76">
        <v>0.8</v>
      </c>
      <c r="BK76">
        <v>0.8</v>
      </c>
      <c r="BL76">
        <v>0.8</v>
      </c>
      <c r="BM76" s="216">
        <v>0.8</v>
      </c>
      <c r="BN76" s="216">
        <v>0.8</v>
      </c>
      <c r="BO76" s="216">
        <v>0.8</v>
      </c>
      <c r="BP76" s="216">
        <v>0.8</v>
      </c>
      <c r="BQ76" s="216">
        <v>0.8</v>
      </c>
      <c r="BR76" s="216">
        <v>0.8</v>
      </c>
      <c r="BS76" s="216">
        <v>0.8</v>
      </c>
      <c r="BT76" s="216">
        <v>0.8</v>
      </c>
      <c r="BU76" s="216">
        <v>0.8</v>
      </c>
      <c r="BV76" s="216">
        <v>0.8</v>
      </c>
      <c r="BW76" s="216">
        <v>0.8</v>
      </c>
      <c r="BX76" s="216">
        <v>0.8</v>
      </c>
      <c r="BY76" s="216">
        <v>0.8</v>
      </c>
      <c r="BZ76" s="216">
        <v>0.8</v>
      </c>
      <c r="CA76" s="216">
        <v>0.8</v>
      </c>
      <c r="CB76" s="216">
        <v>0.5</v>
      </c>
      <c r="CC76" s="216">
        <v>0.5</v>
      </c>
      <c r="CD76" s="216">
        <v>0.8</v>
      </c>
      <c r="CE76" s="216">
        <v>0.8</v>
      </c>
      <c r="CF76" s="216">
        <v>0.8</v>
      </c>
      <c r="CG76" s="216">
        <v>0.8</v>
      </c>
      <c r="CH76" s="216">
        <v>0.5</v>
      </c>
      <c r="CI76">
        <v>0</v>
      </c>
      <c r="CJ76" s="216">
        <v>0</v>
      </c>
      <c r="CK76" s="216">
        <v>0</v>
      </c>
      <c r="CL76" s="216">
        <v>0</v>
      </c>
      <c r="CM76" s="216">
        <v>0</v>
      </c>
    </row>
    <row r="77" spans="1:91" customFormat="1" ht="15" customHeight="1" x14ac:dyDescent="0.5">
      <c r="A77" s="245" t="s">
        <v>244</v>
      </c>
      <c r="B77">
        <v>0</v>
      </c>
      <c r="C77">
        <v>0</v>
      </c>
      <c r="D77">
        <v>0.8</v>
      </c>
      <c r="E77">
        <v>0.8</v>
      </c>
      <c r="F77">
        <v>0.8</v>
      </c>
      <c r="G77">
        <v>0.8</v>
      </c>
      <c r="H77">
        <v>0.8</v>
      </c>
      <c r="I77">
        <v>0.8</v>
      </c>
      <c r="J77">
        <v>0.8</v>
      </c>
      <c r="K77">
        <v>0.8</v>
      </c>
      <c r="L77">
        <v>0.8</v>
      </c>
      <c r="M77">
        <v>0.8</v>
      </c>
      <c r="N77">
        <v>0.5</v>
      </c>
      <c r="O77">
        <v>0.8</v>
      </c>
      <c r="P77">
        <v>0.8</v>
      </c>
      <c r="Q77">
        <v>0.8</v>
      </c>
      <c r="R77">
        <v>0.5</v>
      </c>
      <c r="S77">
        <v>0.5</v>
      </c>
      <c r="T77">
        <v>0.5</v>
      </c>
      <c r="U77">
        <v>0.5</v>
      </c>
      <c r="V77">
        <v>0.5</v>
      </c>
      <c r="W77">
        <v>0.5</v>
      </c>
      <c r="X77">
        <v>0.5</v>
      </c>
      <c r="Y77" s="216">
        <v>0.5</v>
      </c>
      <c r="Z77">
        <v>0.1</v>
      </c>
      <c r="AA77">
        <v>0.1</v>
      </c>
      <c r="AB77">
        <v>0.1</v>
      </c>
      <c r="AC77">
        <v>0.1</v>
      </c>
      <c r="AD77">
        <v>0.1</v>
      </c>
      <c r="AE77">
        <v>0.1</v>
      </c>
      <c r="AF77" s="216">
        <v>0.1</v>
      </c>
      <c r="AG77">
        <v>0.5</v>
      </c>
      <c r="AH77">
        <v>0.5</v>
      </c>
      <c r="AI77">
        <v>0.5</v>
      </c>
      <c r="AJ77">
        <v>0.5</v>
      </c>
      <c r="AK77">
        <v>0.5</v>
      </c>
      <c r="AL77">
        <v>0.5</v>
      </c>
      <c r="AM77">
        <v>0.5</v>
      </c>
      <c r="AN77">
        <v>0.5</v>
      </c>
      <c r="AO77">
        <v>0.5</v>
      </c>
      <c r="AP77">
        <v>0.5</v>
      </c>
      <c r="AQ77" s="216">
        <v>0.5</v>
      </c>
      <c r="AR77" s="216">
        <v>0.5</v>
      </c>
      <c r="AS77">
        <v>0.8</v>
      </c>
      <c r="AT77" s="216">
        <v>0.5</v>
      </c>
      <c r="AU77" s="216">
        <v>0.5</v>
      </c>
      <c r="AV77">
        <v>0.8</v>
      </c>
      <c r="AW77">
        <v>0.5</v>
      </c>
      <c r="AX77">
        <v>0.8</v>
      </c>
      <c r="AY77">
        <v>0.8</v>
      </c>
      <c r="AZ77">
        <v>0.8</v>
      </c>
      <c r="BA77">
        <v>0.8</v>
      </c>
      <c r="BB77">
        <v>0.5</v>
      </c>
      <c r="BC77">
        <v>0.8</v>
      </c>
      <c r="BD77">
        <v>0.8</v>
      </c>
      <c r="BE77">
        <v>0.8</v>
      </c>
      <c r="BF77">
        <v>0.8</v>
      </c>
      <c r="BG77">
        <v>0.8</v>
      </c>
      <c r="BH77">
        <v>0.8</v>
      </c>
      <c r="BI77">
        <v>0.8</v>
      </c>
      <c r="BJ77">
        <v>0.8</v>
      </c>
      <c r="BK77">
        <v>0.8</v>
      </c>
      <c r="BL77">
        <v>0.8</v>
      </c>
      <c r="BM77" s="216">
        <v>0.8</v>
      </c>
      <c r="BN77" s="216">
        <v>0.8</v>
      </c>
      <c r="BO77" s="216">
        <v>0.8</v>
      </c>
      <c r="BP77" s="216">
        <v>0.8</v>
      </c>
      <c r="BQ77" s="216">
        <v>0.8</v>
      </c>
      <c r="BR77" s="216">
        <v>0.8</v>
      </c>
      <c r="BS77" s="216">
        <v>0.8</v>
      </c>
      <c r="BT77" s="216">
        <v>0.8</v>
      </c>
      <c r="BU77" s="216">
        <v>0.8</v>
      </c>
      <c r="BV77" s="216">
        <v>0.8</v>
      </c>
      <c r="BW77" s="216">
        <v>0.8</v>
      </c>
      <c r="BX77" s="216">
        <v>0.8</v>
      </c>
      <c r="BY77" s="216">
        <v>0.8</v>
      </c>
      <c r="BZ77" s="216">
        <v>0.8</v>
      </c>
      <c r="CA77" s="216">
        <v>0.8</v>
      </c>
      <c r="CB77" s="216">
        <v>0.5</v>
      </c>
      <c r="CC77" s="216">
        <v>0.5</v>
      </c>
      <c r="CD77" s="216">
        <v>0.8</v>
      </c>
      <c r="CE77" s="216">
        <v>0.8</v>
      </c>
      <c r="CF77" s="216">
        <v>0.8</v>
      </c>
      <c r="CG77" s="216">
        <v>0.8</v>
      </c>
      <c r="CH77" s="216">
        <v>0.5</v>
      </c>
      <c r="CI77">
        <v>0</v>
      </c>
      <c r="CJ77" s="216">
        <v>0</v>
      </c>
      <c r="CK77" s="216">
        <v>0</v>
      </c>
      <c r="CL77" s="216">
        <v>0</v>
      </c>
      <c r="CM77" s="216">
        <v>0</v>
      </c>
    </row>
    <row r="78" spans="1:91" customFormat="1" ht="15" customHeight="1" x14ac:dyDescent="0.5">
      <c r="A78" s="245" t="s">
        <v>245</v>
      </c>
      <c r="B78">
        <v>0</v>
      </c>
      <c r="C78">
        <v>0</v>
      </c>
      <c r="D78">
        <v>0.8</v>
      </c>
      <c r="E78">
        <v>0.8</v>
      </c>
      <c r="F78">
        <v>0.8</v>
      </c>
      <c r="G78">
        <v>0.8</v>
      </c>
      <c r="H78">
        <v>0.8</v>
      </c>
      <c r="I78">
        <v>0.8</v>
      </c>
      <c r="J78">
        <v>0.8</v>
      </c>
      <c r="K78">
        <v>0.8</v>
      </c>
      <c r="L78">
        <v>0.8</v>
      </c>
      <c r="M78">
        <v>0.8</v>
      </c>
      <c r="N78">
        <v>0.5</v>
      </c>
      <c r="O78">
        <v>0.8</v>
      </c>
      <c r="P78">
        <v>0.8</v>
      </c>
      <c r="Q78">
        <v>0.8</v>
      </c>
      <c r="R78">
        <v>0.5</v>
      </c>
      <c r="S78">
        <v>0.5</v>
      </c>
      <c r="T78">
        <v>0.5</v>
      </c>
      <c r="U78">
        <v>0.5</v>
      </c>
      <c r="V78">
        <v>0.5</v>
      </c>
      <c r="W78">
        <v>0.5</v>
      </c>
      <c r="X78">
        <v>0.5</v>
      </c>
      <c r="Y78" s="216">
        <v>0.5</v>
      </c>
      <c r="Z78">
        <v>0.1</v>
      </c>
      <c r="AA78">
        <v>0.1</v>
      </c>
      <c r="AB78">
        <v>0.1</v>
      </c>
      <c r="AC78">
        <v>0.1</v>
      </c>
      <c r="AD78">
        <v>0.1</v>
      </c>
      <c r="AE78">
        <v>0.1</v>
      </c>
      <c r="AF78" s="216">
        <v>0.1</v>
      </c>
      <c r="AG78">
        <v>0.5</v>
      </c>
      <c r="AH78">
        <v>0.5</v>
      </c>
      <c r="AI78">
        <v>0.5</v>
      </c>
      <c r="AJ78">
        <v>0.5</v>
      </c>
      <c r="AK78">
        <v>0.5</v>
      </c>
      <c r="AL78">
        <v>0.5</v>
      </c>
      <c r="AM78">
        <v>0.5</v>
      </c>
      <c r="AN78">
        <v>0.5</v>
      </c>
      <c r="AO78">
        <v>0.5</v>
      </c>
      <c r="AP78">
        <v>0.5</v>
      </c>
      <c r="AQ78" s="216">
        <v>0.5</v>
      </c>
      <c r="AR78" s="216">
        <v>0.5</v>
      </c>
      <c r="AS78">
        <v>0.8</v>
      </c>
      <c r="AT78" s="216">
        <v>0.5</v>
      </c>
      <c r="AU78" s="216">
        <v>0.5</v>
      </c>
      <c r="AV78">
        <v>0.8</v>
      </c>
      <c r="AW78">
        <v>0.5</v>
      </c>
      <c r="AX78">
        <v>0.8</v>
      </c>
      <c r="AY78">
        <v>0.8</v>
      </c>
      <c r="AZ78">
        <v>0.8</v>
      </c>
      <c r="BA78">
        <v>0.8</v>
      </c>
      <c r="BB78">
        <v>0.5</v>
      </c>
      <c r="BC78">
        <v>0.8</v>
      </c>
      <c r="BD78">
        <v>0.8</v>
      </c>
      <c r="BE78">
        <v>0.8</v>
      </c>
      <c r="BF78">
        <v>0.8</v>
      </c>
      <c r="BG78">
        <v>0.8</v>
      </c>
      <c r="BH78">
        <v>0.8</v>
      </c>
      <c r="BI78">
        <v>0.8</v>
      </c>
      <c r="BJ78">
        <v>0.8</v>
      </c>
      <c r="BK78">
        <v>0.8</v>
      </c>
      <c r="BL78">
        <v>0.8</v>
      </c>
      <c r="BM78" s="216">
        <v>0.8</v>
      </c>
      <c r="BN78" s="216">
        <v>0.8</v>
      </c>
      <c r="BO78" s="216">
        <v>0.8</v>
      </c>
      <c r="BP78" s="216">
        <v>0.8</v>
      </c>
      <c r="BQ78" s="216">
        <v>0.8</v>
      </c>
      <c r="BR78" s="216">
        <v>0.8</v>
      </c>
      <c r="BS78" s="216">
        <v>0.8</v>
      </c>
      <c r="BT78" s="216">
        <v>0.8</v>
      </c>
      <c r="BU78" s="216">
        <v>0.8</v>
      </c>
      <c r="BV78" s="216">
        <v>0.8</v>
      </c>
      <c r="BW78" s="216">
        <v>0.8</v>
      </c>
      <c r="BX78" s="216">
        <v>0.8</v>
      </c>
      <c r="BY78" s="216">
        <v>0.8</v>
      </c>
      <c r="BZ78" s="216">
        <v>0.8</v>
      </c>
      <c r="CA78" s="216">
        <v>0.8</v>
      </c>
      <c r="CB78" s="216">
        <v>0.5</v>
      </c>
      <c r="CC78" s="216">
        <v>0.5</v>
      </c>
      <c r="CD78" s="216">
        <v>0.8</v>
      </c>
      <c r="CE78" s="216">
        <v>0.8</v>
      </c>
      <c r="CF78" s="216">
        <v>0.8</v>
      </c>
      <c r="CG78" s="216">
        <v>0.8</v>
      </c>
      <c r="CH78" s="216">
        <v>0.5</v>
      </c>
      <c r="CI78">
        <v>0</v>
      </c>
      <c r="CJ78" s="216">
        <v>0</v>
      </c>
      <c r="CK78" s="216">
        <v>0</v>
      </c>
      <c r="CL78" s="216">
        <v>0</v>
      </c>
      <c r="CM78" s="216">
        <v>0</v>
      </c>
    </row>
    <row r="79" spans="1:91" customFormat="1" ht="15" customHeight="1" x14ac:dyDescent="0.5">
      <c r="A79" s="245" t="s">
        <v>246</v>
      </c>
      <c r="B79">
        <v>0</v>
      </c>
      <c r="C79">
        <v>0</v>
      </c>
      <c r="D79">
        <v>0.8</v>
      </c>
      <c r="E79">
        <v>0.8</v>
      </c>
      <c r="F79">
        <v>0.8</v>
      </c>
      <c r="G79">
        <v>0.8</v>
      </c>
      <c r="H79">
        <v>0.8</v>
      </c>
      <c r="I79">
        <v>0.8</v>
      </c>
      <c r="J79">
        <v>0.8</v>
      </c>
      <c r="K79">
        <v>0.8</v>
      </c>
      <c r="L79">
        <v>0.8</v>
      </c>
      <c r="M79">
        <v>0.8</v>
      </c>
      <c r="N79">
        <v>0.5</v>
      </c>
      <c r="O79">
        <v>0.8</v>
      </c>
      <c r="P79">
        <v>0.8</v>
      </c>
      <c r="Q79">
        <v>0.8</v>
      </c>
      <c r="R79">
        <v>0.5</v>
      </c>
      <c r="S79">
        <v>0.5</v>
      </c>
      <c r="T79">
        <v>0.5</v>
      </c>
      <c r="U79">
        <v>0.5</v>
      </c>
      <c r="V79">
        <v>0.5</v>
      </c>
      <c r="W79">
        <v>0.5</v>
      </c>
      <c r="X79">
        <v>0.5</v>
      </c>
      <c r="Y79" s="216">
        <v>0.5</v>
      </c>
      <c r="Z79">
        <v>0.1</v>
      </c>
      <c r="AA79">
        <v>0.1</v>
      </c>
      <c r="AB79">
        <v>0.1</v>
      </c>
      <c r="AC79">
        <v>0.1</v>
      </c>
      <c r="AD79">
        <v>0.1</v>
      </c>
      <c r="AE79">
        <v>0.1</v>
      </c>
      <c r="AF79" s="216">
        <v>0.1</v>
      </c>
      <c r="AG79">
        <v>0.5</v>
      </c>
      <c r="AH79">
        <v>0.5</v>
      </c>
      <c r="AI79">
        <v>0.5</v>
      </c>
      <c r="AJ79">
        <v>0.5</v>
      </c>
      <c r="AK79">
        <v>0.5</v>
      </c>
      <c r="AL79">
        <v>0.5</v>
      </c>
      <c r="AM79">
        <v>0.5</v>
      </c>
      <c r="AN79">
        <v>0.5</v>
      </c>
      <c r="AO79">
        <v>0.5</v>
      </c>
      <c r="AP79">
        <v>0.5</v>
      </c>
      <c r="AQ79" s="216">
        <v>0.5</v>
      </c>
      <c r="AR79" s="216">
        <v>0.5</v>
      </c>
      <c r="AS79">
        <v>0.8</v>
      </c>
      <c r="AT79" s="216">
        <v>0.5</v>
      </c>
      <c r="AU79" s="216">
        <v>0.5</v>
      </c>
      <c r="AV79">
        <v>0.8</v>
      </c>
      <c r="AW79">
        <v>0.5</v>
      </c>
      <c r="AX79">
        <v>0.8</v>
      </c>
      <c r="AY79">
        <v>0.8</v>
      </c>
      <c r="AZ79">
        <v>0.8</v>
      </c>
      <c r="BA79">
        <v>0.8</v>
      </c>
      <c r="BB79">
        <v>0.5</v>
      </c>
      <c r="BC79">
        <v>0.8</v>
      </c>
      <c r="BD79">
        <v>0.8</v>
      </c>
      <c r="BE79">
        <v>0.8</v>
      </c>
      <c r="BF79">
        <v>0.8</v>
      </c>
      <c r="BG79">
        <v>0.8</v>
      </c>
      <c r="BH79">
        <v>0.8</v>
      </c>
      <c r="BI79">
        <v>0.8</v>
      </c>
      <c r="BJ79">
        <v>0.8</v>
      </c>
      <c r="BK79">
        <v>0.8</v>
      </c>
      <c r="BL79">
        <v>0.8</v>
      </c>
      <c r="BM79" s="216">
        <v>0.8</v>
      </c>
      <c r="BN79" s="216">
        <v>0.8</v>
      </c>
      <c r="BO79" s="216">
        <v>0.8</v>
      </c>
      <c r="BP79" s="216">
        <v>0.8</v>
      </c>
      <c r="BQ79" s="216">
        <v>0.8</v>
      </c>
      <c r="BR79" s="216">
        <v>0.8</v>
      </c>
      <c r="BS79" s="216">
        <v>0.8</v>
      </c>
      <c r="BT79" s="216">
        <v>0.8</v>
      </c>
      <c r="BU79" s="216">
        <v>0.8</v>
      </c>
      <c r="BV79" s="216">
        <v>0.8</v>
      </c>
      <c r="BW79" s="216">
        <v>0.8</v>
      </c>
      <c r="BX79" s="216">
        <v>0.8</v>
      </c>
      <c r="BY79" s="216">
        <v>0.8</v>
      </c>
      <c r="BZ79" s="216">
        <v>0.8</v>
      </c>
      <c r="CA79" s="216">
        <v>0.8</v>
      </c>
      <c r="CB79" s="216">
        <v>0.5</v>
      </c>
      <c r="CC79" s="216">
        <v>0.5</v>
      </c>
      <c r="CD79" s="216">
        <v>0.8</v>
      </c>
      <c r="CE79" s="216">
        <v>0.8</v>
      </c>
      <c r="CF79" s="216">
        <v>0.8</v>
      </c>
      <c r="CG79" s="216">
        <v>0.8</v>
      </c>
      <c r="CH79" s="216">
        <v>0.5</v>
      </c>
      <c r="CI79">
        <v>0</v>
      </c>
      <c r="CJ79" s="216">
        <v>0</v>
      </c>
      <c r="CK79" s="216">
        <v>0</v>
      </c>
      <c r="CL79" s="216">
        <v>0</v>
      </c>
      <c r="CM79" s="216">
        <v>0</v>
      </c>
    </row>
    <row r="80" spans="1:91" customFormat="1" ht="15" customHeight="1" x14ac:dyDescent="0.5">
      <c r="A80" s="245" t="s">
        <v>247</v>
      </c>
      <c r="B80">
        <v>0</v>
      </c>
      <c r="C80">
        <v>0</v>
      </c>
      <c r="D80">
        <v>0.8</v>
      </c>
      <c r="E80">
        <v>0.8</v>
      </c>
      <c r="F80">
        <v>0.8</v>
      </c>
      <c r="G80">
        <v>0.8</v>
      </c>
      <c r="H80">
        <v>0.8</v>
      </c>
      <c r="I80">
        <v>0.8</v>
      </c>
      <c r="J80">
        <v>0.8</v>
      </c>
      <c r="K80">
        <v>0.8</v>
      </c>
      <c r="L80">
        <v>0.8</v>
      </c>
      <c r="M80">
        <v>0.8</v>
      </c>
      <c r="N80">
        <v>0.5</v>
      </c>
      <c r="O80">
        <v>0.8</v>
      </c>
      <c r="P80">
        <v>0.8</v>
      </c>
      <c r="Q80">
        <v>0.8</v>
      </c>
      <c r="R80">
        <v>0.5</v>
      </c>
      <c r="S80">
        <v>0.5</v>
      </c>
      <c r="T80">
        <v>0.5</v>
      </c>
      <c r="U80">
        <v>0.5</v>
      </c>
      <c r="V80">
        <v>0.5</v>
      </c>
      <c r="W80">
        <v>0.5</v>
      </c>
      <c r="X80">
        <v>0.5</v>
      </c>
      <c r="Y80" s="216">
        <v>0.5</v>
      </c>
      <c r="Z80">
        <v>0.1</v>
      </c>
      <c r="AA80">
        <v>0.1</v>
      </c>
      <c r="AB80">
        <v>0.1</v>
      </c>
      <c r="AC80">
        <v>0.1</v>
      </c>
      <c r="AD80">
        <v>0.1</v>
      </c>
      <c r="AE80">
        <v>0.1</v>
      </c>
      <c r="AF80" s="216">
        <v>0.1</v>
      </c>
      <c r="AG80">
        <v>0.5</v>
      </c>
      <c r="AH80">
        <v>0.5</v>
      </c>
      <c r="AI80">
        <v>0.5</v>
      </c>
      <c r="AJ80">
        <v>0.5</v>
      </c>
      <c r="AK80">
        <v>0.5</v>
      </c>
      <c r="AL80">
        <v>0.5</v>
      </c>
      <c r="AM80">
        <v>0.5</v>
      </c>
      <c r="AN80">
        <v>0.5</v>
      </c>
      <c r="AO80">
        <v>0.5</v>
      </c>
      <c r="AP80">
        <v>0.5</v>
      </c>
      <c r="AQ80" s="216">
        <v>0.5</v>
      </c>
      <c r="AR80" s="216">
        <v>0.5</v>
      </c>
      <c r="AS80">
        <v>0.8</v>
      </c>
      <c r="AT80" s="216">
        <v>0.5</v>
      </c>
      <c r="AU80" s="216">
        <v>0.5</v>
      </c>
      <c r="AV80">
        <v>0.8</v>
      </c>
      <c r="AW80">
        <v>0.5</v>
      </c>
      <c r="AX80">
        <v>0.8</v>
      </c>
      <c r="AY80">
        <v>0.8</v>
      </c>
      <c r="AZ80">
        <v>0.8</v>
      </c>
      <c r="BA80">
        <v>0.8</v>
      </c>
      <c r="BB80">
        <v>0.5</v>
      </c>
      <c r="BC80">
        <v>0.8</v>
      </c>
      <c r="BD80">
        <v>0.8</v>
      </c>
      <c r="BE80">
        <v>0.8</v>
      </c>
      <c r="BF80">
        <v>0.8</v>
      </c>
      <c r="BG80">
        <v>0.8</v>
      </c>
      <c r="BH80">
        <v>0.8</v>
      </c>
      <c r="BI80">
        <v>0.8</v>
      </c>
      <c r="BJ80">
        <v>0.8</v>
      </c>
      <c r="BK80">
        <v>0.8</v>
      </c>
      <c r="BL80">
        <v>0.8</v>
      </c>
      <c r="BM80" s="216">
        <v>0.8</v>
      </c>
      <c r="BN80" s="216">
        <v>0.8</v>
      </c>
      <c r="BO80" s="216">
        <v>0.8</v>
      </c>
      <c r="BP80" s="216">
        <v>0.8</v>
      </c>
      <c r="BQ80" s="216">
        <v>0.8</v>
      </c>
      <c r="BR80" s="216">
        <v>0.8</v>
      </c>
      <c r="BS80" s="216">
        <v>0.8</v>
      </c>
      <c r="BT80" s="216">
        <v>0.8</v>
      </c>
      <c r="BU80" s="216">
        <v>0.8</v>
      </c>
      <c r="BV80" s="216">
        <v>0.8</v>
      </c>
      <c r="BW80" s="216">
        <v>0.8</v>
      </c>
      <c r="BX80" s="216">
        <v>0.8</v>
      </c>
      <c r="BY80" s="216">
        <v>0.8</v>
      </c>
      <c r="BZ80" s="216">
        <v>0.8</v>
      </c>
      <c r="CA80" s="216">
        <v>0.8</v>
      </c>
      <c r="CB80" s="216">
        <v>0.5</v>
      </c>
      <c r="CC80" s="216">
        <v>0.5</v>
      </c>
      <c r="CD80" s="216">
        <v>0.8</v>
      </c>
      <c r="CE80" s="216">
        <v>0.8</v>
      </c>
      <c r="CF80" s="216">
        <v>0.8</v>
      </c>
      <c r="CG80" s="216">
        <v>0.8</v>
      </c>
      <c r="CH80" s="216">
        <v>0.5</v>
      </c>
      <c r="CI80">
        <v>0</v>
      </c>
      <c r="CJ80" s="216">
        <v>0</v>
      </c>
      <c r="CK80" s="216">
        <v>0</v>
      </c>
      <c r="CL80" s="216">
        <v>0</v>
      </c>
      <c r="CM80" s="216">
        <v>0</v>
      </c>
    </row>
    <row r="81" spans="1:91" customFormat="1" ht="15" customHeight="1" x14ac:dyDescent="0.5">
      <c r="A81" s="246" t="s">
        <v>280</v>
      </c>
      <c r="B81">
        <v>0</v>
      </c>
      <c r="C81">
        <v>0</v>
      </c>
      <c r="D81">
        <v>0.8</v>
      </c>
      <c r="E81">
        <v>0.8</v>
      </c>
      <c r="F81">
        <v>0.8</v>
      </c>
      <c r="G81">
        <v>0.8</v>
      </c>
      <c r="H81">
        <v>0.8</v>
      </c>
      <c r="I81">
        <v>0.8</v>
      </c>
      <c r="J81">
        <v>0.8</v>
      </c>
      <c r="K81">
        <v>0.8</v>
      </c>
      <c r="L81">
        <v>0.8</v>
      </c>
      <c r="M81">
        <v>0.8</v>
      </c>
      <c r="N81">
        <v>0.5</v>
      </c>
      <c r="O81">
        <v>0.8</v>
      </c>
      <c r="P81">
        <v>0.8</v>
      </c>
      <c r="Q81">
        <v>0.8</v>
      </c>
      <c r="R81">
        <v>0.5</v>
      </c>
      <c r="S81">
        <v>0.5</v>
      </c>
      <c r="T81">
        <v>0.5</v>
      </c>
      <c r="U81">
        <v>0.5</v>
      </c>
      <c r="V81">
        <v>0.5</v>
      </c>
      <c r="W81">
        <v>0.5</v>
      </c>
      <c r="X81">
        <v>0.5</v>
      </c>
      <c r="Y81" s="216">
        <v>0.5</v>
      </c>
      <c r="Z81">
        <v>0.1</v>
      </c>
      <c r="AA81">
        <v>0.1</v>
      </c>
      <c r="AB81">
        <v>0.1</v>
      </c>
      <c r="AC81">
        <v>0.1</v>
      </c>
      <c r="AD81">
        <v>0.1</v>
      </c>
      <c r="AE81">
        <v>0.1</v>
      </c>
      <c r="AF81" s="216">
        <v>0.1</v>
      </c>
      <c r="AG81">
        <v>0.5</v>
      </c>
      <c r="AH81">
        <v>0.5</v>
      </c>
      <c r="AI81">
        <v>0.5</v>
      </c>
      <c r="AJ81">
        <v>0.5</v>
      </c>
      <c r="AK81">
        <v>0.5</v>
      </c>
      <c r="AL81">
        <v>0.5</v>
      </c>
      <c r="AM81">
        <v>0.5</v>
      </c>
      <c r="AN81">
        <v>0.5</v>
      </c>
      <c r="AO81">
        <v>0.5</v>
      </c>
      <c r="AP81">
        <v>0.5</v>
      </c>
      <c r="AQ81" s="216">
        <v>0.5</v>
      </c>
      <c r="AR81" s="216">
        <v>0.5</v>
      </c>
      <c r="AS81">
        <v>0.8</v>
      </c>
      <c r="AT81" s="216">
        <v>0.5</v>
      </c>
      <c r="AU81" s="216">
        <v>0.5</v>
      </c>
      <c r="AV81">
        <v>0.8</v>
      </c>
      <c r="AW81">
        <v>0.5</v>
      </c>
      <c r="AX81">
        <v>0.8</v>
      </c>
      <c r="AY81">
        <v>0.8</v>
      </c>
      <c r="AZ81">
        <v>0.8</v>
      </c>
      <c r="BA81">
        <v>0.8</v>
      </c>
      <c r="BB81">
        <v>0.5</v>
      </c>
      <c r="BC81">
        <v>0.8</v>
      </c>
      <c r="BD81">
        <v>0.8</v>
      </c>
      <c r="BE81">
        <v>0.8</v>
      </c>
      <c r="BF81">
        <v>0.8</v>
      </c>
      <c r="BG81">
        <v>0.8</v>
      </c>
      <c r="BH81">
        <v>0.8</v>
      </c>
      <c r="BI81">
        <v>0.8</v>
      </c>
      <c r="BJ81">
        <v>0.8</v>
      </c>
      <c r="BK81">
        <v>0.8</v>
      </c>
      <c r="BL81">
        <v>0.8</v>
      </c>
      <c r="BM81" s="216">
        <v>0.8</v>
      </c>
      <c r="BN81" s="216">
        <v>0.8</v>
      </c>
      <c r="BO81" s="216">
        <v>0.8</v>
      </c>
      <c r="BP81" s="216">
        <v>0.8</v>
      </c>
      <c r="BQ81" s="216">
        <v>0.8</v>
      </c>
      <c r="BR81" s="216">
        <v>0.8</v>
      </c>
      <c r="BS81" s="216">
        <v>0.8</v>
      </c>
      <c r="BT81" s="216">
        <v>0.8</v>
      </c>
      <c r="BU81" s="216">
        <v>0.8</v>
      </c>
      <c r="BV81" s="216">
        <v>0.8</v>
      </c>
      <c r="BW81" s="216">
        <v>0.8</v>
      </c>
      <c r="BX81" s="216">
        <v>0.8</v>
      </c>
      <c r="BY81" s="216">
        <v>0.8</v>
      </c>
      <c r="BZ81" s="216">
        <v>0.8</v>
      </c>
      <c r="CA81" s="216">
        <v>0.8</v>
      </c>
      <c r="CB81" s="216">
        <v>0.5</v>
      </c>
      <c r="CC81" s="216">
        <v>0.5</v>
      </c>
      <c r="CD81" s="216">
        <v>0.8</v>
      </c>
      <c r="CE81" s="216">
        <v>0.8</v>
      </c>
      <c r="CF81" s="216">
        <v>0.8</v>
      </c>
      <c r="CG81" s="216">
        <v>0.8</v>
      </c>
      <c r="CH81" s="216">
        <v>0.5</v>
      </c>
      <c r="CI81">
        <v>0</v>
      </c>
      <c r="CJ81" s="216">
        <v>0</v>
      </c>
      <c r="CK81" s="216">
        <v>0</v>
      </c>
      <c r="CL81" s="216">
        <v>0</v>
      </c>
      <c r="CM81" s="216">
        <v>0</v>
      </c>
    </row>
    <row r="82" spans="1:91" customFormat="1" ht="15" customHeight="1" x14ac:dyDescent="0.5">
      <c r="A82" s="246" t="s">
        <v>281</v>
      </c>
      <c r="B82">
        <v>0</v>
      </c>
      <c r="C82">
        <v>0</v>
      </c>
      <c r="D82">
        <v>0.8</v>
      </c>
      <c r="E82">
        <v>0.8</v>
      </c>
      <c r="F82">
        <v>0.8</v>
      </c>
      <c r="G82">
        <v>0.8</v>
      </c>
      <c r="H82">
        <v>0.8</v>
      </c>
      <c r="I82">
        <v>0.8</v>
      </c>
      <c r="J82">
        <v>0.8</v>
      </c>
      <c r="K82">
        <v>0.8</v>
      </c>
      <c r="L82">
        <v>0.8</v>
      </c>
      <c r="M82">
        <v>0.8</v>
      </c>
      <c r="N82">
        <v>0.5</v>
      </c>
      <c r="O82">
        <v>0.8</v>
      </c>
      <c r="P82">
        <v>0.8</v>
      </c>
      <c r="Q82">
        <v>0.8</v>
      </c>
      <c r="R82">
        <v>0.5</v>
      </c>
      <c r="S82">
        <v>0.5</v>
      </c>
      <c r="T82">
        <v>0.5</v>
      </c>
      <c r="U82">
        <v>0.5</v>
      </c>
      <c r="V82">
        <v>0.5</v>
      </c>
      <c r="W82">
        <v>0.5</v>
      </c>
      <c r="X82">
        <v>0.5</v>
      </c>
      <c r="Y82" s="216">
        <v>0.5</v>
      </c>
      <c r="Z82">
        <v>0.1</v>
      </c>
      <c r="AA82">
        <v>0.1</v>
      </c>
      <c r="AB82">
        <v>0.1</v>
      </c>
      <c r="AC82">
        <v>0.1</v>
      </c>
      <c r="AD82">
        <v>0.1</v>
      </c>
      <c r="AE82">
        <v>0.1</v>
      </c>
      <c r="AF82" s="216">
        <v>0.1</v>
      </c>
      <c r="AG82">
        <v>0.5</v>
      </c>
      <c r="AH82">
        <v>0.5</v>
      </c>
      <c r="AI82">
        <v>0.5</v>
      </c>
      <c r="AJ82">
        <v>0.5</v>
      </c>
      <c r="AK82">
        <v>0.5</v>
      </c>
      <c r="AL82">
        <v>0.5</v>
      </c>
      <c r="AM82">
        <v>0.5</v>
      </c>
      <c r="AN82">
        <v>0.5</v>
      </c>
      <c r="AO82">
        <v>0.5</v>
      </c>
      <c r="AP82">
        <v>0.5</v>
      </c>
      <c r="AQ82" s="216">
        <v>0.5</v>
      </c>
      <c r="AR82" s="216">
        <v>0.5</v>
      </c>
      <c r="AS82">
        <v>0.8</v>
      </c>
      <c r="AT82" s="216">
        <v>0.5</v>
      </c>
      <c r="AU82" s="216">
        <v>0.5</v>
      </c>
      <c r="AV82">
        <v>0.8</v>
      </c>
      <c r="AW82">
        <v>0.5</v>
      </c>
      <c r="AX82">
        <v>0.8</v>
      </c>
      <c r="AY82">
        <v>0.8</v>
      </c>
      <c r="AZ82">
        <v>0.8</v>
      </c>
      <c r="BA82">
        <v>0.8</v>
      </c>
      <c r="BB82">
        <v>0.5</v>
      </c>
      <c r="BC82">
        <v>0.8</v>
      </c>
      <c r="BD82">
        <v>0.8</v>
      </c>
      <c r="BE82">
        <v>0.8</v>
      </c>
      <c r="BF82">
        <v>0.8</v>
      </c>
      <c r="BG82">
        <v>0.8</v>
      </c>
      <c r="BH82">
        <v>0.8</v>
      </c>
      <c r="BI82">
        <v>0.8</v>
      </c>
      <c r="BJ82">
        <v>0.8</v>
      </c>
      <c r="BK82">
        <v>0.8</v>
      </c>
      <c r="BL82">
        <v>0.8</v>
      </c>
      <c r="BM82" s="216">
        <v>0.8</v>
      </c>
      <c r="BN82" s="216">
        <v>0.8</v>
      </c>
      <c r="BO82" s="216">
        <v>0.8</v>
      </c>
      <c r="BP82" s="216">
        <v>0.8</v>
      </c>
      <c r="BQ82" s="216">
        <v>0.8</v>
      </c>
      <c r="BR82" s="216">
        <v>0.8</v>
      </c>
      <c r="BS82" s="216">
        <v>0.8</v>
      </c>
      <c r="BT82" s="216">
        <v>0.8</v>
      </c>
      <c r="BU82" s="216">
        <v>0.8</v>
      </c>
      <c r="BV82" s="216">
        <v>0.8</v>
      </c>
      <c r="BW82" s="216">
        <v>0.8</v>
      </c>
      <c r="BX82" s="216">
        <v>0.8</v>
      </c>
      <c r="BY82" s="216">
        <v>0.8</v>
      </c>
      <c r="BZ82" s="216">
        <v>0.8</v>
      </c>
      <c r="CA82" s="216">
        <v>0.8</v>
      </c>
      <c r="CB82" s="216">
        <v>0.5</v>
      </c>
      <c r="CC82" s="216">
        <v>0.5</v>
      </c>
      <c r="CD82" s="216">
        <v>0.8</v>
      </c>
      <c r="CE82" s="216">
        <v>0.8</v>
      </c>
      <c r="CF82" s="216">
        <v>0.8</v>
      </c>
      <c r="CG82" s="216">
        <v>0.8</v>
      </c>
      <c r="CH82" s="216">
        <v>0.5</v>
      </c>
      <c r="CI82">
        <v>0</v>
      </c>
      <c r="CJ82" s="216">
        <v>0</v>
      </c>
      <c r="CK82" s="216">
        <v>0</v>
      </c>
      <c r="CL82" s="216">
        <v>0</v>
      </c>
      <c r="CM82" s="216">
        <v>0</v>
      </c>
    </row>
    <row r="83" spans="1:91" customFormat="1" ht="15" customHeight="1" x14ac:dyDescent="0.5">
      <c r="A83" s="245" t="s">
        <v>248</v>
      </c>
      <c r="B83">
        <v>0</v>
      </c>
      <c r="C83">
        <v>0</v>
      </c>
      <c r="D83">
        <v>0.8</v>
      </c>
      <c r="E83">
        <v>0.8</v>
      </c>
      <c r="F83">
        <v>0.8</v>
      </c>
      <c r="G83">
        <v>0.8</v>
      </c>
      <c r="H83">
        <v>0.8</v>
      </c>
      <c r="I83">
        <v>0.8</v>
      </c>
      <c r="J83">
        <v>0.8</v>
      </c>
      <c r="K83">
        <v>0.8</v>
      </c>
      <c r="L83">
        <v>0.8</v>
      </c>
      <c r="M83">
        <v>0.8</v>
      </c>
      <c r="N83">
        <v>0.5</v>
      </c>
      <c r="O83">
        <v>0.8</v>
      </c>
      <c r="P83">
        <v>0.8</v>
      </c>
      <c r="Q83">
        <v>0.8</v>
      </c>
      <c r="R83">
        <v>0.5</v>
      </c>
      <c r="S83">
        <v>0.5</v>
      </c>
      <c r="T83">
        <v>0.5</v>
      </c>
      <c r="U83">
        <v>0.5</v>
      </c>
      <c r="V83">
        <v>0.5</v>
      </c>
      <c r="W83">
        <v>0.5</v>
      </c>
      <c r="X83">
        <v>0.5</v>
      </c>
      <c r="Y83" s="216">
        <v>0.5</v>
      </c>
      <c r="Z83">
        <v>0.1</v>
      </c>
      <c r="AA83">
        <v>0.1</v>
      </c>
      <c r="AB83">
        <v>0.1</v>
      </c>
      <c r="AC83">
        <v>0.1</v>
      </c>
      <c r="AD83">
        <v>0.1</v>
      </c>
      <c r="AE83">
        <v>0.1</v>
      </c>
      <c r="AF83" s="216">
        <v>0.1</v>
      </c>
      <c r="AG83">
        <v>0.5</v>
      </c>
      <c r="AH83">
        <v>0.5</v>
      </c>
      <c r="AI83">
        <v>0.5</v>
      </c>
      <c r="AJ83">
        <v>0.5</v>
      </c>
      <c r="AK83">
        <v>0.5</v>
      </c>
      <c r="AL83">
        <v>0.5</v>
      </c>
      <c r="AM83">
        <v>0.5</v>
      </c>
      <c r="AN83">
        <v>0.5</v>
      </c>
      <c r="AO83">
        <v>0.5</v>
      </c>
      <c r="AP83">
        <v>0.5</v>
      </c>
      <c r="AQ83" s="216">
        <v>0.5</v>
      </c>
      <c r="AR83" s="216">
        <v>0.5</v>
      </c>
      <c r="AS83">
        <v>0.8</v>
      </c>
      <c r="AT83" s="216">
        <v>0.5</v>
      </c>
      <c r="AU83" s="216">
        <v>0.5</v>
      </c>
      <c r="AV83">
        <v>0.8</v>
      </c>
      <c r="AW83">
        <v>0.5</v>
      </c>
      <c r="AX83">
        <v>0.8</v>
      </c>
      <c r="AY83">
        <v>0.8</v>
      </c>
      <c r="AZ83">
        <v>0.8</v>
      </c>
      <c r="BA83">
        <v>0.8</v>
      </c>
      <c r="BB83">
        <v>0.5</v>
      </c>
      <c r="BC83">
        <v>0.8</v>
      </c>
      <c r="BD83">
        <v>0.8</v>
      </c>
      <c r="BE83">
        <v>0.8</v>
      </c>
      <c r="BF83">
        <v>0.8</v>
      </c>
      <c r="BG83">
        <v>0.8</v>
      </c>
      <c r="BH83">
        <v>0.8</v>
      </c>
      <c r="BI83">
        <v>0.8</v>
      </c>
      <c r="BJ83">
        <v>0.8</v>
      </c>
      <c r="BK83">
        <v>0.8</v>
      </c>
      <c r="BL83">
        <v>0.8</v>
      </c>
      <c r="BM83" s="216">
        <v>0.8</v>
      </c>
      <c r="BN83" s="216">
        <v>0.8</v>
      </c>
      <c r="BO83" s="216">
        <v>0.8</v>
      </c>
      <c r="BP83" s="216">
        <v>0.8</v>
      </c>
      <c r="BQ83" s="216">
        <v>0.8</v>
      </c>
      <c r="BR83" s="216">
        <v>0.8</v>
      </c>
      <c r="BS83" s="216">
        <v>0.8</v>
      </c>
      <c r="BT83" s="216">
        <v>0.8</v>
      </c>
      <c r="BU83" s="216">
        <v>0.8</v>
      </c>
      <c r="BV83" s="216">
        <v>0.8</v>
      </c>
      <c r="BW83" s="216">
        <v>0.8</v>
      </c>
      <c r="BX83" s="216">
        <v>0.8</v>
      </c>
      <c r="BY83" s="216">
        <v>0.8</v>
      </c>
      <c r="BZ83" s="216">
        <v>0.8</v>
      </c>
      <c r="CA83" s="216">
        <v>0.8</v>
      </c>
      <c r="CB83" s="216">
        <v>0.5</v>
      </c>
      <c r="CC83" s="216">
        <v>0.5</v>
      </c>
      <c r="CD83" s="216">
        <v>0.8</v>
      </c>
      <c r="CE83" s="216">
        <v>0.8</v>
      </c>
      <c r="CF83" s="216">
        <v>0.8</v>
      </c>
      <c r="CG83" s="216">
        <v>0.8</v>
      </c>
      <c r="CH83" s="216">
        <v>0.5</v>
      </c>
      <c r="CI83">
        <v>0</v>
      </c>
      <c r="CJ83" s="216">
        <v>0</v>
      </c>
      <c r="CK83" s="216">
        <v>0</v>
      </c>
      <c r="CL83" s="216">
        <v>0</v>
      </c>
      <c r="CM83" s="216">
        <v>0</v>
      </c>
    </row>
    <row r="84" spans="1:91" customFormat="1" ht="15" customHeight="1" x14ac:dyDescent="0.5">
      <c r="A84" s="245" t="s">
        <v>249</v>
      </c>
      <c r="B84">
        <v>0</v>
      </c>
      <c r="C84">
        <v>0</v>
      </c>
      <c r="D84">
        <v>0.8</v>
      </c>
      <c r="E84">
        <v>0.8</v>
      </c>
      <c r="F84">
        <v>0.8</v>
      </c>
      <c r="G84">
        <v>0.8</v>
      </c>
      <c r="H84">
        <v>0.8</v>
      </c>
      <c r="I84">
        <v>0.8</v>
      </c>
      <c r="J84">
        <v>0.8</v>
      </c>
      <c r="K84">
        <v>0.8</v>
      </c>
      <c r="L84">
        <v>0.8</v>
      </c>
      <c r="M84">
        <v>0.8</v>
      </c>
      <c r="N84">
        <v>0.5</v>
      </c>
      <c r="O84">
        <v>0.8</v>
      </c>
      <c r="P84">
        <v>0.8</v>
      </c>
      <c r="Q84">
        <v>0.8</v>
      </c>
      <c r="R84">
        <v>0.5</v>
      </c>
      <c r="S84">
        <v>0.5</v>
      </c>
      <c r="T84">
        <v>0.5</v>
      </c>
      <c r="U84">
        <v>0.5</v>
      </c>
      <c r="V84">
        <v>0.5</v>
      </c>
      <c r="W84">
        <v>0.5</v>
      </c>
      <c r="X84">
        <v>0.5</v>
      </c>
      <c r="Y84" s="216">
        <v>0.5</v>
      </c>
      <c r="Z84">
        <v>0.1</v>
      </c>
      <c r="AA84">
        <v>0.1</v>
      </c>
      <c r="AB84">
        <v>0.1</v>
      </c>
      <c r="AC84">
        <v>0.1</v>
      </c>
      <c r="AD84">
        <v>0.1</v>
      </c>
      <c r="AE84">
        <v>0.1</v>
      </c>
      <c r="AF84" s="216">
        <v>0.1</v>
      </c>
      <c r="AG84">
        <v>0.5</v>
      </c>
      <c r="AH84">
        <v>0.5</v>
      </c>
      <c r="AI84">
        <v>0.5</v>
      </c>
      <c r="AJ84">
        <v>0.5</v>
      </c>
      <c r="AK84">
        <v>0.5</v>
      </c>
      <c r="AL84">
        <v>0.5</v>
      </c>
      <c r="AM84">
        <v>0.5</v>
      </c>
      <c r="AN84">
        <v>0.5</v>
      </c>
      <c r="AO84">
        <v>0.5</v>
      </c>
      <c r="AP84">
        <v>0.5</v>
      </c>
      <c r="AQ84" s="216">
        <v>0.5</v>
      </c>
      <c r="AR84" s="216">
        <v>0.5</v>
      </c>
      <c r="AS84">
        <v>0.8</v>
      </c>
      <c r="AT84" s="216">
        <v>0.5</v>
      </c>
      <c r="AU84" s="216">
        <v>0.5</v>
      </c>
      <c r="AV84">
        <v>0.8</v>
      </c>
      <c r="AW84">
        <v>0.5</v>
      </c>
      <c r="AX84">
        <v>0.8</v>
      </c>
      <c r="AY84">
        <v>0.8</v>
      </c>
      <c r="AZ84">
        <v>0.8</v>
      </c>
      <c r="BA84">
        <v>0.8</v>
      </c>
      <c r="BB84">
        <v>0.5</v>
      </c>
      <c r="BC84">
        <v>0.8</v>
      </c>
      <c r="BD84">
        <v>0.8</v>
      </c>
      <c r="BE84">
        <v>0.8</v>
      </c>
      <c r="BF84">
        <v>0.8</v>
      </c>
      <c r="BG84">
        <v>0.8</v>
      </c>
      <c r="BH84">
        <v>0.8</v>
      </c>
      <c r="BI84">
        <v>0.8</v>
      </c>
      <c r="BJ84">
        <v>0.8</v>
      </c>
      <c r="BK84">
        <v>0.8</v>
      </c>
      <c r="BL84">
        <v>0.8</v>
      </c>
      <c r="BM84" s="216">
        <v>0.8</v>
      </c>
      <c r="BN84" s="216">
        <v>0.8</v>
      </c>
      <c r="BO84" s="216">
        <v>0.8</v>
      </c>
      <c r="BP84" s="216">
        <v>0.8</v>
      </c>
      <c r="BQ84" s="216">
        <v>0.8</v>
      </c>
      <c r="BR84" s="216">
        <v>0.8</v>
      </c>
      <c r="BS84" s="216">
        <v>0.8</v>
      </c>
      <c r="BT84" s="216">
        <v>0.8</v>
      </c>
      <c r="BU84" s="216">
        <v>0.8</v>
      </c>
      <c r="BV84" s="216">
        <v>0.8</v>
      </c>
      <c r="BW84" s="216">
        <v>0.8</v>
      </c>
      <c r="BX84" s="216">
        <v>0.8</v>
      </c>
      <c r="BY84" s="216">
        <v>0.8</v>
      </c>
      <c r="BZ84" s="216">
        <v>0.8</v>
      </c>
      <c r="CA84" s="216">
        <v>0.8</v>
      </c>
      <c r="CB84" s="216">
        <v>0.5</v>
      </c>
      <c r="CC84" s="216">
        <v>0.5</v>
      </c>
      <c r="CD84" s="216">
        <v>0.8</v>
      </c>
      <c r="CE84" s="216">
        <v>0.8</v>
      </c>
      <c r="CF84" s="216">
        <v>0.8</v>
      </c>
      <c r="CG84" s="216">
        <v>0.8</v>
      </c>
      <c r="CH84" s="216">
        <v>0.5</v>
      </c>
      <c r="CI84">
        <v>0</v>
      </c>
      <c r="CJ84" s="216">
        <v>0</v>
      </c>
      <c r="CK84" s="216">
        <v>0</v>
      </c>
      <c r="CL84" s="216">
        <v>0</v>
      </c>
      <c r="CM84" s="216">
        <v>0</v>
      </c>
    </row>
    <row r="85" spans="1:91" customFormat="1" ht="15" customHeight="1" x14ac:dyDescent="0.5">
      <c r="A85" s="246" t="s">
        <v>282</v>
      </c>
      <c r="B85">
        <v>0</v>
      </c>
      <c r="C85">
        <v>0</v>
      </c>
      <c r="D85">
        <v>0.8</v>
      </c>
      <c r="E85">
        <v>0.8</v>
      </c>
      <c r="F85">
        <v>0.8</v>
      </c>
      <c r="G85">
        <v>0.8</v>
      </c>
      <c r="H85">
        <v>0.8</v>
      </c>
      <c r="I85">
        <v>0.8</v>
      </c>
      <c r="J85">
        <v>0.8</v>
      </c>
      <c r="K85">
        <v>0.8</v>
      </c>
      <c r="L85">
        <v>0.8</v>
      </c>
      <c r="M85">
        <v>0.8</v>
      </c>
      <c r="N85">
        <v>0.5</v>
      </c>
      <c r="O85">
        <v>0.8</v>
      </c>
      <c r="P85">
        <v>0.8</v>
      </c>
      <c r="Q85">
        <v>0.8</v>
      </c>
      <c r="R85">
        <v>0.5</v>
      </c>
      <c r="S85">
        <v>0.5</v>
      </c>
      <c r="T85">
        <v>0.5</v>
      </c>
      <c r="U85">
        <v>0.5</v>
      </c>
      <c r="V85">
        <v>0.5</v>
      </c>
      <c r="W85">
        <v>0.5</v>
      </c>
      <c r="X85">
        <v>0.5</v>
      </c>
      <c r="Y85" s="216">
        <v>0.5</v>
      </c>
      <c r="Z85">
        <v>0.1</v>
      </c>
      <c r="AA85">
        <v>0.1</v>
      </c>
      <c r="AB85">
        <v>0.1</v>
      </c>
      <c r="AC85">
        <v>0.1</v>
      </c>
      <c r="AD85">
        <v>0.1</v>
      </c>
      <c r="AE85">
        <v>0.1</v>
      </c>
      <c r="AF85" s="216">
        <v>0.1</v>
      </c>
      <c r="AG85">
        <v>0.5</v>
      </c>
      <c r="AH85">
        <v>0.5</v>
      </c>
      <c r="AI85">
        <v>0.5</v>
      </c>
      <c r="AJ85">
        <v>0.5</v>
      </c>
      <c r="AK85">
        <v>0.5</v>
      </c>
      <c r="AL85">
        <v>0.5</v>
      </c>
      <c r="AM85">
        <v>0.5</v>
      </c>
      <c r="AN85">
        <v>0.5</v>
      </c>
      <c r="AO85">
        <v>0.5</v>
      </c>
      <c r="AP85">
        <v>0.5</v>
      </c>
      <c r="AQ85" s="216">
        <v>0.5</v>
      </c>
      <c r="AR85" s="216">
        <v>0.5</v>
      </c>
      <c r="AS85">
        <v>0.8</v>
      </c>
      <c r="AT85" s="216">
        <v>0.5</v>
      </c>
      <c r="AU85" s="216">
        <v>0.5</v>
      </c>
      <c r="AV85">
        <v>0.8</v>
      </c>
      <c r="AW85">
        <v>0.5</v>
      </c>
      <c r="AX85">
        <v>0.8</v>
      </c>
      <c r="AY85">
        <v>0.8</v>
      </c>
      <c r="AZ85">
        <v>0.8</v>
      </c>
      <c r="BA85">
        <v>0.8</v>
      </c>
      <c r="BB85">
        <v>0.5</v>
      </c>
      <c r="BC85">
        <v>0.8</v>
      </c>
      <c r="BD85">
        <v>0.8</v>
      </c>
      <c r="BE85">
        <v>0.8</v>
      </c>
      <c r="BF85">
        <v>0.8</v>
      </c>
      <c r="BG85">
        <v>0.8</v>
      </c>
      <c r="BH85">
        <v>0.8</v>
      </c>
      <c r="BI85">
        <v>0.8</v>
      </c>
      <c r="BJ85">
        <v>0.8</v>
      </c>
      <c r="BK85">
        <v>0.8</v>
      </c>
      <c r="BL85">
        <v>0.8</v>
      </c>
      <c r="BM85" s="216">
        <v>0.8</v>
      </c>
      <c r="BN85" s="216">
        <v>0.8</v>
      </c>
      <c r="BO85" s="216">
        <v>0.8</v>
      </c>
      <c r="BP85" s="216">
        <v>0.8</v>
      </c>
      <c r="BQ85" s="216">
        <v>0.8</v>
      </c>
      <c r="BR85" s="216">
        <v>0.8</v>
      </c>
      <c r="BS85" s="216">
        <v>0.8</v>
      </c>
      <c r="BT85" s="216">
        <v>0.8</v>
      </c>
      <c r="BU85" s="216">
        <v>0.8</v>
      </c>
      <c r="BV85" s="216">
        <v>0.8</v>
      </c>
      <c r="BW85" s="216">
        <v>0.8</v>
      </c>
      <c r="BX85" s="216">
        <v>0.8</v>
      </c>
      <c r="BY85" s="216">
        <v>0.8</v>
      </c>
      <c r="BZ85" s="216">
        <v>0.8</v>
      </c>
      <c r="CA85" s="216">
        <v>0.8</v>
      </c>
      <c r="CB85" s="216">
        <v>0.5</v>
      </c>
      <c r="CC85" s="216">
        <v>0.5</v>
      </c>
      <c r="CD85" s="216">
        <v>0.8</v>
      </c>
      <c r="CE85" s="216">
        <v>0.8</v>
      </c>
      <c r="CF85" s="216">
        <v>0.8</v>
      </c>
      <c r="CG85" s="216">
        <v>0.8</v>
      </c>
      <c r="CH85" s="216">
        <v>0.5</v>
      </c>
      <c r="CI85">
        <v>0</v>
      </c>
      <c r="CJ85" s="216">
        <v>0</v>
      </c>
      <c r="CK85" s="216">
        <v>0</v>
      </c>
      <c r="CL85" s="216">
        <v>0</v>
      </c>
      <c r="CM85" s="216">
        <v>0</v>
      </c>
    </row>
    <row r="86" spans="1:91" customFormat="1" ht="15" customHeight="1" x14ac:dyDescent="0.5">
      <c r="A86" s="246" t="s">
        <v>283</v>
      </c>
      <c r="B86">
        <v>0</v>
      </c>
      <c r="C86">
        <v>0</v>
      </c>
      <c r="D86">
        <v>0.8</v>
      </c>
      <c r="E86">
        <v>0.8</v>
      </c>
      <c r="F86">
        <v>0.8</v>
      </c>
      <c r="G86">
        <v>0.8</v>
      </c>
      <c r="H86">
        <v>0.8</v>
      </c>
      <c r="I86">
        <v>0.8</v>
      </c>
      <c r="J86">
        <v>0.8</v>
      </c>
      <c r="K86">
        <v>0.8</v>
      </c>
      <c r="L86">
        <v>0.8</v>
      </c>
      <c r="M86">
        <v>0.8</v>
      </c>
      <c r="N86">
        <v>0.5</v>
      </c>
      <c r="O86">
        <v>0.8</v>
      </c>
      <c r="P86">
        <v>0.8</v>
      </c>
      <c r="Q86">
        <v>0.8</v>
      </c>
      <c r="R86">
        <v>0.5</v>
      </c>
      <c r="S86">
        <v>0.5</v>
      </c>
      <c r="T86">
        <v>0.5</v>
      </c>
      <c r="U86">
        <v>0.5</v>
      </c>
      <c r="V86">
        <v>0.5</v>
      </c>
      <c r="W86">
        <v>0.5</v>
      </c>
      <c r="X86">
        <v>0.5</v>
      </c>
      <c r="Y86" s="216">
        <v>0.5</v>
      </c>
      <c r="Z86">
        <v>0.1</v>
      </c>
      <c r="AA86">
        <v>0.1</v>
      </c>
      <c r="AB86">
        <v>0.1</v>
      </c>
      <c r="AC86">
        <v>0.1</v>
      </c>
      <c r="AD86">
        <v>0.1</v>
      </c>
      <c r="AE86">
        <v>0.1</v>
      </c>
      <c r="AF86" s="216">
        <v>0.1</v>
      </c>
      <c r="AG86">
        <v>0.5</v>
      </c>
      <c r="AH86">
        <v>0.5</v>
      </c>
      <c r="AI86">
        <v>0.5</v>
      </c>
      <c r="AJ86">
        <v>0.5</v>
      </c>
      <c r="AK86">
        <v>0.5</v>
      </c>
      <c r="AL86">
        <v>0.5</v>
      </c>
      <c r="AM86">
        <v>0.5</v>
      </c>
      <c r="AN86">
        <v>0.5</v>
      </c>
      <c r="AO86">
        <v>0.5</v>
      </c>
      <c r="AP86">
        <v>0.5</v>
      </c>
      <c r="AQ86" s="216">
        <v>0.5</v>
      </c>
      <c r="AR86" s="216">
        <v>0.5</v>
      </c>
      <c r="AS86">
        <v>0.8</v>
      </c>
      <c r="AT86" s="216">
        <v>0.5</v>
      </c>
      <c r="AU86" s="216">
        <v>0.5</v>
      </c>
      <c r="AV86">
        <v>0.8</v>
      </c>
      <c r="AW86">
        <v>0.5</v>
      </c>
      <c r="AX86">
        <v>0.8</v>
      </c>
      <c r="AY86">
        <v>0.8</v>
      </c>
      <c r="AZ86">
        <v>0.8</v>
      </c>
      <c r="BA86">
        <v>0.8</v>
      </c>
      <c r="BB86">
        <v>0.5</v>
      </c>
      <c r="BC86">
        <v>0.8</v>
      </c>
      <c r="BD86">
        <v>0.8</v>
      </c>
      <c r="BE86">
        <v>0.8</v>
      </c>
      <c r="BF86">
        <v>0.8</v>
      </c>
      <c r="BG86">
        <v>0.8</v>
      </c>
      <c r="BH86">
        <v>0.8</v>
      </c>
      <c r="BI86">
        <v>0.8</v>
      </c>
      <c r="BJ86">
        <v>0.8</v>
      </c>
      <c r="BK86">
        <v>0.8</v>
      </c>
      <c r="BL86">
        <v>0.8</v>
      </c>
      <c r="BM86" s="216">
        <v>0.8</v>
      </c>
      <c r="BN86" s="216">
        <v>0.8</v>
      </c>
      <c r="BO86" s="216">
        <v>0.8</v>
      </c>
      <c r="BP86" s="216">
        <v>0.8</v>
      </c>
      <c r="BQ86" s="216">
        <v>0.8</v>
      </c>
      <c r="BR86" s="216">
        <v>0.8</v>
      </c>
      <c r="BS86" s="216">
        <v>0.8</v>
      </c>
      <c r="BT86" s="216">
        <v>0.8</v>
      </c>
      <c r="BU86" s="216">
        <v>0.8</v>
      </c>
      <c r="BV86" s="216">
        <v>0.8</v>
      </c>
      <c r="BW86" s="216">
        <v>0.8</v>
      </c>
      <c r="BX86" s="216">
        <v>0.8</v>
      </c>
      <c r="BY86" s="216">
        <v>0.8</v>
      </c>
      <c r="BZ86" s="216">
        <v>0.8</v>
      </c>
      <c r="CA86" s="216">
        <v>0.8</v>
      </c>
      <c r="CB86" s="216">
        <v>0.5</v>
      </c>
      <c r="CC86" s="216">
        <v>0.5</v>
      </c>
      <c r="CD86" s="216">
        <v>0.8</v>
      </c>
      <c r="CE86" s="216">
        <v>0.8</v>
      </c>
      <c r="CF86" s="216">
        <v>0.8</v>
      </c>
      <c r="CG86" s="216">
        <v>0.8</v>
      </c>
      <c r="CH86" s="216">
        <v>0.5</v>
      </c>
      <c r="CI86">
        <v>0</v>
      </c>
      <c r="CJ86" s="216">
        <v>0</v>
      </c>
      <c r="CK86" s="216">
        <v>0</v>
      </c>
      <c r="CL86" s="216">
        <v>0</v>
      </c>
      <c r="CM86" s="216">
        <v>0</v>
      </c>
    </row>
    <row r="87" spans="1:91" customFormat="1" ht="15" customHeight="1" x14ac:dyDescent="0.5">
      <c r="A87" s="245" t="s">
        <v>250</v>
      </c>
      <c r="B87">
        <v>0</v>
      </c>
      <c r="C87">
        <v>0</v>
      </c>
      <c r="D87">
        <v>0.8</v>
      </c>
      <c r="E87">
        <v>0.8</v>
      </c>
      <c r="F87">
        <v>0.8</v>
      </c>
      <c r="G87">
        <v>0.8</v>
      </c>
      <c r="H87">
        <v>0.8</v>
      </c>
      <c r="I87">
        <v>0.8</v>
      </c>
      <c r="J87">
        <v>0.8</v>
      </c>
      <c r="K87">
        <v>0.8</v>
      </c>
      <c r="L87">
        <v>0.8</v>
      </c>
      <c r="M87">
        <v>0.8</v>
      </c>
      <c r="N87">
        <v>0.5</v>
      </c>
      <c r="O87">
        <v>0.8</v>
      </c>
      <c r="P87">
        <v>0.8</v>
      </c>
      <c r="Q87">
        <v>0.8</v>
      </c>
      <c r="R87">
        <v>0.5</v>
      </c>
      <c r="S87">
        <v>0.5</v>
      </c>
      <c r="T87">
        <v>0.5</v>
      </c>
      <c r="U87">
        <v>0.5</v>
      </c>
      <c r="V87">
        <v>0.5</v>
      </c>
      <c r="W87">
        <v>0.5</v>
      </c>
      <c r="X87">
        <v>0.5</v>
      </c>
      <c r="Y87" s="216">
        <v>0.5</v>
      </c>
      <c r="Z87">
        <v>0.1</v>
      </c>
      <c r="AA87">
        <v>0.1</v>
      </c>
      <c r="AB87">
        <v>0.1</v>
      </c>
      <c r="AC87">
        <v>0.1</v>
      </c>
      <c r="AD87">
        <v>0.1</v>
      </c>
      <c r="AE87">
        <v>0.1</v>
      </c>
      <c r="AF87" s="216">
        <v>0.1</v>
      </c>
      <c r="AG87">
        <v>0.5</v>
      </c>
      <c r="AH87">
        <v>0.5</v>
      </c>
      <c r="AI87">
        <v>0.5</v>
      </c>
      <c r="AJ87">
        <v>0.5</v>
      </c>
      <c r="AK87">
        <v>0.5</v>
      </c>
      <c r="AL87">
        <v>0.5</v>
      </c>
      <c r="AM87">
        <v>0.5</v>
      </c>
      <c r="AN87">
        <v>0.5</v>
      </c>
      <c r="AO87">
        <v>0.5</v>
      </c>
      <c r="AP87">
        <v>0.5</v>
      </c>
      <c r="AQ87" s="216">
        <v>0.5</v>
      </c>
      <c r="AR87" s="216">
        <v>0.5</v>
      </c>
      <c r="AS87">
        <v>0.8</v>
      </c>
      <c r="AT87" s="216">
        <v>0.5</v>
      </c>
      <c r="AU87" s="216">
        <v>0.5</v>
      </c>
      <c r="AV87">
        <v>0.8</v>
      </c>
      <c r="AW87">
        <v>0.5</v>
      </c>
      <c r="AX87">
        <v>0.8</v>
      </c>
      <c r="AY87">
        <v>0.8</v>
      </c>
      <c r="AZ87">
        <v>0.8</v>
      </c>
      <c r="BA87">
        <v>0.8</v>
      </c>
      <c r="BB87">
        <v>0.5</v>
      </c>
      <c r="BC87">
        <v>0.8</v>
      </c>
      <c r="BD87">
        <v>0.8</v>
      </c>
      <c r="BE87">
        <v>0.8</v>
      </c>
      <c r="BF87">
        <v>0.8</v>
      </c>
      <c r="BG87">
        <v>0.8</v>
      </c>
      <c r="BH87">
        <v>0.8</v>
      </c>
      <c r="BI87">
        <v>0.8</v>
      </c>
      <c r="BJ87">
        <v>0.8</v>
      </c>
      <c r="BK87">
        <v>0.8</v>
      </c>
      <c r="BL87">
        <v>0.8</v>
      </c>
      <c r="BM87" s="216">
        <v>0.8</v>
      </c>
      <c r="BN87" s="216">
        <v>0.8</v>
      </c>
      <c r="BO87" s="216">
        <v>0.8</v>
      </c>
      <c r="BP87" s="216">
        <v>0.8</v>
      </c>
      <c r="BQ87" s="216">
        <v>0.8</v>
      </c>
      <c r="BR87" s="216">
        <v>0.8</v>
      </c>
      <c r="BS87" s="216">
        <v>0.8</v>
      </c>
      <c r="BT87" s="216">
        <v>0.8</v>
      </c>
      <c r="BU87" s="216">
        <v>0.8</v>
      </c>
      <c r="BV87" s="216">
        <v>0.8</v>
      </c>
      <c r="BW87" s="216">
        <v>0.8</v>
      </c>
      <c r="BX87" s="216">
        <v>0.8</v>
      </c>
      <c r="BY87" s="216">
        <v>0.8</v>
      </c>
      <c r="BZ87" s="216">
        <v>0.8</v>
      </c>
      <c r="CA87" s="216">
        <v>0.8</v>
      </c>
      <c r="CB87" s="216">
        <v>0.5</v>
      </c>
      <c r="CC87" s="216">
        <v>0.5</v>
      </c>
      <c r="CD87" s="216">
        <v>0.8</v>
      </c>
      <c r="CE87" s="216">
        <v>0.8</v>
      </c>
      <c r="CF87" s="216">
        <v>0.8</v>
      </c>
      <c r="CG87" s="216">
        <v>0.8</v>
      </c>
      <c r="CH87" s="216">
        <v>0.5</v>
      </c>
      <c r="CI87">
        <v>0</v>
      </c>
      <c r="CJ87" s="216">
        <v>0</v>
      </c>
      <c r="CK87" s="216">
        <v>0</v>
      </c>
      <c r="CL87" s="216">
        <v>0</v>
      </c>
      <c r="CM87" s="216">
        <v>0</v>
      </c>
    </row>
    <row r="88" spans="1:91" ht="15" x14ac:dyDescent="0.5">
      <c r="A88" s="245" t="s">
        <v>251</v>
      </c>
      <c r="B88" s="216">
        <v>0</v>
      </c>
      <c r="C88" s="216">
        <v>0</v>
      </c>
      <c r="D88" s="216">
        <v>0.8</v>
      </c>
      <c r="E88" s="216">
        <v>0.8</v>
      </c>
      <c r="F88" s="216">
        <v>0.8</v>
      </c>
      <c r="G88" s="216">
        <v>0.8</v>
      </c>
      <c r="H88" s="216">
        <v>0.8</v>
      </c>
      <c r="I88" s="216">
        <v>0.8</v>
      </c>
      <c r="J88" s="216">
        <v>0.8</v>
      </c>
      <c r="K88" s="216">
        <v>0.8</v>
      </c>
      <c r="L88" s="216">
        <v>0.8</v>
      </c>
      <c r="M88" s="216">
        <v>0.8</v>
      </c>
      <c r="N88" s="216">
        <v>0.5</v>
      </c>
      <c r="O88" s="216">
        <v>0.8</v>
      </c>
      <c r="P88" s="216">
        <v>0.8</v>
      </c>
      <c r="Q88" s="216">
        <v>0.8</v>
      </c>
      <c r="R88" s="216">
        <v>0.5</v>
      </c>
      <c r="S88" s="216">
        <v>0.5</v>
      </c>
      <c r="T88" s="216">
        <v>0.5</v>
      </c>
      <c r="U88" s="216">
        <v>0.5</v>
      </c>
      <c r="V88" s="216">
        <v>0.5</v>
      </c>
      <c r="W88" s="216">
        <v>0.5</v>
      </c>
      <c r="X88" s="216">
        <v>0.5</v>
      </c>
      <c r="Y88" s="216">
        <v>0.5</v>
      </c>
      <c r="Z88" s="216">
        <v>0.1</v>
      </c>
      <c r="AA88" s="216">
        <v>0.1</v>
      </c>
      <c r="AB88" s="216">
        <v>0.1</v>
      </c>
      <c r="AC88" s="216">
        <v>0.1</v>
      </c>
      <c r="AD88" s="216">
        <v>0.1</v>
      </c>
      <c r="AE88" s="216">
        <v>0.1</v>
      </c>
      <c r="AF88" s="216">
        <v>0.1</v>
      </c>
      <c r="AG88" s="216">
        <v>0.5</v>
      </c>
      <c r="AH88" s="216">
        <v>0.5</v>
      </c>
      <c r="AI88" s="216">
        <v>0.5</v>
      </c>
      <c r="AJ88" s="216">
        <v>0.5</v>
      </c>
      <c r="AK88" s="216">
        <v>0.5</v>
      </c>
      <c r="AL88" s="216">
        <v>0.5</v>
      </c>
      <c r="AM88" s="216">
        <v>0.5</v>
      </c>
      <c r="AN88" s="216">
        <v>0.5</v>
      </c>
      <c r="AO88" s="216">
        <v>0.5</v>
      </c>
      <c r="AP88" s="216">
        <v>0.5</v>
      </c>
      <c r="AQ88" s="216">
        <v>0.5</v>
      </c>
      <c r="AR88" s="216">
        <v>0.5</v>
      </c>
      <c r="AS88" s="216">
        <v>0.8</v>
      </c>
      <c r="AT88" s="216">
        <v>0.5</v>
      </c>
      <c r="AU88" s="216">
        <v>0.5</v>
      </c>
      <c r="AV88" s="216">
        <v>0.8</v>
      </c>
      <c r="AW88" s="216">
        <v>0.5</v>
      </c>
      <c r="AX88" s="216">
        <v>0.8</v>
      </c>
      <c r="AY88" s="216">
        <v>0.8</v>
      </c>
      <c r="AZ88" s="216">
        <v>0.8</v>
      </c>
      <c r="BA88" s="216">
        <v>0.8</v>
      </c>
      <c r="BB88" s="216">
        <v>0.5</v>
      </c>
      <c r="BC88" s="216">
        <v>0.8</v>
      </c>
      <c r="BD88" s="216">
        <v>0.8</v>
      </c>
      <c r="BE88" s="216">
        <v>0.8</v>
      </c>
      <c r="BF88" s="216">
        <v>0.8</v>
      </c>
      <c r="BG88" s="216">
        <v>0.8</v>
      </c>
      <c r="BH88" s="216">
        <v>0.8</v>
      </c>
      <c r="BI88" s="216">
        <v>0.8</v>
      </c>
      <c r="BJ88" s="216">
        <v>0.8</v>
      </c>
      <c r="BK88" s="216">
        <v>0.8</v>
      </c>
      <c r="BL88" s="216">
        <v>0.8</v>
      </c>
      <c r="BM88" s="216">
        <v>0.8</v>
      </c>
      <c r="BN88" s="216">
        <v>0.8</v>
      </c>
      <c r="BO88" s="216">
        <v>0.8</v>
      </c>
      <c r="BP88" s="216">
        <v>0.8</v>
      </c>
      <c r="BQ88" s="216">
        <v>0.8</v>
      </c>
      <c r="BR88" s="216">
        <v>0.8</v>
      </c>
      <c r="BS88" s="216">
        <v>0.8</v>
      </c>
      <c r="BT88" s="216">
        <v>0.8</v>
      </c>
      <c r="BU88" s="216">
        <v>0.8</v>
      </c>
      <c r="BV88" s="216">
        <v>0.8</v>
      </c>
      <c r="BW88" s="216">
        <v>0.8</v>
      </c>
      <c r="BX88" s="216">
        <v>0.8</v>
      </c>
      <c r="BY88" s="216">
        <v>0.8</v>
      </c>
      <c r="BZ88" s="216">
        <v>0.8</v>
      </c>
      <c r="CA88" s="216">
        <v>0.8</v>
      </c>
      <c r="CB88" s="216">
        <v>0.5</v>
      </c>
      <c r="CC88" s="216">
        <v>0.5</v>
      </c>
      <c r="CD88" s="216">
        <v>0.8</v>
      </c>
      <c r="CE88" s="216">
        <v>0.8</v>
      </c>
      <c r="CF88" s="216">
        <v>0.8</v>
      </c>
      <c r="CG88" s="216">
        <v>0.8</v>
      </c>
      <c r="CH88" s="216">
        <v>0.5</v>
      </c>
      <c r="CI88" s="216">
        <v>0</v>
      </c>
      <c r="CJ88" s="216">
        <v>0</v>
      </c>
      <c r="CK88" s="216">
        <v>0</v>
      </c>
      <c r="CL88" s="216">
        <v>0</v>
      </c>
      <c r="CM88" s="216">
        <v>0</v>
      </c>
    </row>
    <row r="89" spans="1:91" ht="15" customHeight="1" x14ac:dyDescent="0.5">
      <c r="A89" s="245" t="s">
        <v>252</v>
      </c>
      <c r="B89" s="216">
        <v>0</v>
      </c>
      <c r="C89" s="216">
        <v>0</v>
      </c>
      <c r="D89" s="216">
        <v>0.8</v>
      </c>
      <c r="E89" s="216">
        <v>0.8</v>
      </c>
      <c r="F89" s="216">
        <v>0.8</v>
      </c>
      <c r="G89" s="216">
        <v>0.8</v>
      </c>
      <c r="H89" s="216">
        <v>0.8</v>
      </c>
      <c r="I89" s="216">
        <v>0.8</v>
      </c>
      <c r="J89" s="216">
        <v>0.8</v>
      </c>
      <c r="K89" s="216">
        <v>0.8</v>
      </c>
      <c r="L89" s="216">
        <v>0.8</v>
      </c>
      <c r="M89" s="216">
        <v>0.8</v>
      </c>
      <c r="N89" s="216">
        <v>0.5</v>
      </c>
      <c r="O89" s="216">
        <v>0.8</v>
      </c>
      <c r="P89" s="216">
        <v>0.8</v>
      </c>
      <c r="Q89" s="216">
        <v>0.8</v>
      </c>
      <c r="R89" s="216">
        <v>0.5</v>
      </c>
      <c r="S89" s="216">
        <v>0.5</v>
      </c>
      <c r="T89" s="216">
        <v>0.5</v>
      </c>
      <c r="U89" s="216">
        <v>0.5</v>
      </c>
      <c r="V89" s="216">
        <v>0.5</v>
      </c>
      <c r="W89" s="216">
        <v>0.5</v>
      </c>
      <c r="X89" s="216">
        <v>0.5</v>
      </c>
      <c r="Y89" s="216">
        <v>0.5</v>
      </c>
      <c r="Z89" s="216">
        <v>0.1</v>
      </c>
      <c r="AA89" s="216">
        <v>0.1</v>
      </c>
      <c r="AB89" s="216">
        <v>0.1</v>
      </c>
      <c r="AC89" s="216">
        <v>0.1</v>
      </c>
      <c r="AD89" s="216">
        <v>0.1</v>
      </c>
      <c r="AE89" s="216">
        <v>0.1</v>
      </c>
      <c r="AF89" s="216">
        <v>0.1</v>
      </c>
      <c r="AG89" s="216">
        <v>0.5</v>
      </c>
      <c r="AH89" s="216">
        <v>0.5</v>
      </c>
      <c r="AI89" s="216">
        <v>0.5</v>
      </c>
      <c r="AJ89" s="216">
        <v>0.5</v>
      </c>
      <c r="AK89" s="216">
        <v>0.5</v>
      </c>
      <c r="AL89" s="216">
        <v>0.5</v>
      </c>
      <c r="AM89" s="216">
        <v>0.5</v>
      </c>
      <c r="AN89" s="216">
        <v>0.5</v>
      </c>
      <c r="AO89" s="216">
        <v>0.5</v>
      </c>
      <c r="AP89" s="216">
        <v>0.5</v>
      </c>
      <c r="AQ89" s="216">
        <v>0.5</v>
      </c>
      <c r="AR89" s="216">
        <v>0.5</v>
      </c>
      <c r="AS89" s="216">
        <v>0.8</v>
      </c>
      <c r="AT89" s="216">
        <v>0.5</v>
      </c>
      <c r="AU89" s="216">
        <v>0.5</v>
      </c>
      <c r="AV89" s="216">
        <v>0.8</v>
      </c>
      <c r="AW89" s="216">
        <v>0.5</v>
      </c>
      <c r="AX89" s="216">
        <v>0.8</v>
      </c>
      <c r="AY89" s="216">
        <v>0.8</v>
      </c>
      <c r="AZ89" s="216">
        <v>0.8</v>
      </c>
      <c r="BA89" s="216">
        <v>0.8</v>
      </c>
      <c r="BB89" s="216">
        <v>0.5</v>
      </c>
      <c r="BC89" s="216">
        <v>0.8</v>
      </c>
      <c r="BD89" s="216">
        <v>0.8</v>
      </c>
      <c r="BE89" s="216">
        <v>0.8</v>
      </c>
      <c r="BF89" s="216">
        <v>0.8</v>
      </c>
      <c r="BG89" s="216">
        <v>0.8</v>
      </c>
      <c r="BH89" s="216">
        <v>0.8</v>
      </c>
      <c r="BI89" s="216">
        <v>0.8</v>
      </c>
      <c r="BJ89" s="216">
        <v>0.8</v>
      </c>
      <c r="BK89" s="216">
        <v>0.8</v>
      </c>
      <c r="BL89" s="216">
        <v>0.8</v>
      </c>
      <c r="BM89" s="216">
        <v>0.8</v>
      </c>
      <c r="BN89" s="216">
        <v>0.8</v>
      </c>
      <c r="BO89" s="216">
        <v>0.8</v>
      </c>
      <c r="BP89" s="216">
        <v>0.8</v>
      </c>
      <c r="BQ89" s="216">
        <v>0.8</v>
      </c>
      <c r="BR89" s="216">
        <v>0.8</v>
      </c>
      <c r="BS89" s="216">
        <v>0.8</v>
      </c>
      <c r="BT89" s="216">
        <v>0.8</v>
      </c>
      <c r="BU89" s="216">
        <v>0.8</v>
      </c>
      <c r="BV89" s="216">
        <v>0.8</v>
      </c>
      <c r="BW89" s="216">
        <v>0.8</v>
      </c>
      <c r="BX89" s="216">
        <v>0.8</v>
      </c>
      <c r="BY89" s="216">
        <v>0.8</v>
      </c>
      <c r="BZ89" s="216">
        <v>0.8</v>
      </c>
      <c r="CA89" s="216">
        <v>0.8</v>
      </c>
      <c r="CB89" s="216">
        <v>0.5</v>
      </c>
      <c r="CC89" s="216">
        <v>0.5</v>
      </c>
      <c r="CD89" s="216">
        <v>0.8</v>
      </c>
      <c r="CE89" s="216">
        <v>0.8</v>
      </c>
      <c r="CF89" s="216">
        <v>0.8</v>
      </c>
      <c r="CG89" s="216">
        <v>0.8</v>
      </c>
      <c r="CH89" s="216">
        <v>0.5</v>
      </c>
      <c r="CI89" s="216">
        <v>0</v>
      </c>
      <c r="CJ89" s="216">
        <v>0</v>
      </c>
      <c r="CK89" s="216">
        <v>0</v>
      </c>
      <c r="CL89" s="216">
        <v>0</v>
      </c>
      <c r="CM89" s="216">
        <v>0</v>
      </c>
    </row>
    <row r="90" spans="1:91" ht="15" customHeight="1" x14ac:dyDescent="0.5">
      <c r="A90" s="245" t="s">
        <v>253</v>
      </c>
      <c r="B90" s="216">
        <v>0</v>
      </c>
      <c r="C90" s="216">
        <v>0</v>
      </c>
      <c r="D90" s="216">
        <v>0.8</v>
      </c>
      <c r="E90" s="216">
        <v>0.8</v>
      </c>
      <c r="F90" s="216">
        <v>0.8</v>
      </c>
      <c r="G90" s="216">
        <v>0.8</v>
      </c>
      <c r="H90" s="216">
        <v>0.8</v>
      </c>
      <c r="I90" s="216">
        <v>0.8</v>
      </c>
      <c r="J90" s="216">
        <v>0.8</v>
      </c>
      <c r="K90" s="216">
        <v>0.8</v>
      </c>
      <c r="L90" s="216">
        <v>0.8</v>
      </c>
      <c r="M90" s="216">
        <v>0.8</v>
      </c>
      <c r="N90" s="216">
        <v>0.5</v>
      </c>
      <c r="O90" s="216">
        <v>0.8</v>
      </c>
      <c r="P90" s="216">
        <v>0.8</v>
      </c>
      <c r="Q90" s="216">
        <v>0.8</v>
      </c>
      <c r="R90" s="216">
        <v>0.5</v>
      </c>
      <c r="S90" s="216">
        <v>0.5</v>
      </c>
      <c r="T90" s="216">
        <v>0.5</v>
      </c>
      <c r="U90" s="216">
        <v>0.5</v>
      </c>
      <c r="V90" s="216">
        <v>0.5</v>
      </c>
      <c r="W90" s="216">
        <v>0.5</v>
      </c>
      <c r="X90" s="216">
        <v>0.5</v>
      </c>
      <c r="Y90" s="216">
        <v>0.5</v>
      </c>
      <c r="Z90" s="216">
        <v>0.1</v>
      </c>
      <c r="AA90" s="216">
        <v>0.1</v>
      </c>
      <c r="AB90" s="216">
        <v>0.1</v>
      </c>
      <c r="AC90" s="216">
        <v>0.1</v>
      </c>
      <c r="AD90" s="216">
        <v>0.1</v>
      </c>
      <c r="AE90" s="216">
        <v>0.1</v>
      </c>
      <c r="AF90" s="216">
        <v>0.1</v>
      </c>
      <c r="AG90" s="216">
        <v>0.5</v>
      </c>
      <c r="AH90" s="216">
        <v>0.5</v>
      </c>
      <c r="AI90" s="216">
        <v>0.5</v>
      </c>
      <c r="AJ90" s="216">
        <v>0.5</v>
      </c>
      <c r="AK90" s="216">
        <v>0.5</v>
      </c>
      <c r="AL90" s="216">
        <v>0.5</v>
      </c>
      <c r="AM90" s="216">
        <v>0.5</v>
      </c>
      <c r="AN90" s="216">
        <v>0.5</v>
      </c>
      <c r="AO90" s="216">
        <v>0.5</v>
      </c>
      <c r="AP90" s="216">
        <v>0.5</v>
      </c>
      <c r="AQ90" s="216">
        <v>0.5</v>
      </c>
      <c r="AR90" s="216">
        <v>0.5</v>
      </c>
      <c r="AS90" s="216">
        <v>0.8</v>
      </c>
      <c r="AT90" s="216">
        <v>0.5</v>
      </c>
      <c r="AU90" s="216">
        <v>0.5</v>
      </c>
      <c r="AV90" s="216">
        <v>0.8</v>
      </c>
      <c r="AW90" s="216">
        <v>0.5</v>
      </c>
      <c r="AX90" s="216">
        <v>0.8</v>
      </c>
      <c r="AY90" s="216">
        <v>0.8</v>
      </c>
      <c r="AZ90" s="216">
        <v>0.8</v>
      </c>
      <c r="BA90" s="216">
        <v>0.8</v>
      </c>
      <c r="BB90" s="216">
        <v>0.5</v>
      </c>
      <c r="BC90" s="216">
        <v>0.8</v>
      </c>
      <c r="BD90" s="216">
        <v>0.8</v>
      </c>
      <c r="BE90" s="216">
        <v>0.8</v>
      </c>
      <c r="BF90" s="216">
        <v>0.8</v>
      </c>
      <c r="BG90" s="216">
        <v>0.8</v>
      </c>
      <c r="BH90" s="216">
        <v>0.8</v>
      </c>
      <c r="BI90" s="216">
        <v>0.8</v>
      </c>
      <c r="BJ90" s="216">
        <v>0.8</v>
      </c>
      <c r="BK90" s="216">
        <v>0.8</v>
      </c>
      <c r="BL90" s="216">
        <v>0.8</v>
      </c>
      <c r="BM90" s="216">
        <v>0.8</v>
      </c>
      <c r="BN90" s="216">
        <v>0.8</v>
      </c>
      <c r="BO90" s="216">
        <v>0.8</v>
      </c>
      <c r="BP90" s="216">
        <v>0.8</v>
      </c>
      <c r="BQ90" s="216">
        <v>0.8</v>
      </c>
      <c r="BR90" s="216">
        <v>0.8</v>
      </c>
      <c r="BS90" s="216">
        <v>0.8</v>
      </c>
      <c r="BT90" s="216">
        <v>0.8</v>
      </c>
      <c r="BU90" s="216">
        <v>0.8</v>
      </c>
      <c r="BV90" s="216">
        <v>0.8</v>
      </c>
      <c r="BW90" s="216">
        <v>0.8</v>
      </c>
      <c r="BX90" s="216">
        <v>0.8</v>
      </c>
      <c r="BY90" s="216">
        <v>0.8</v>
      </c>
      <c r="BZ90" s="216">
        <v>0.8</v>
      </c>
      <c r="CA90" s="216">
        <v>0.8</v>
      </c>
      <c r="CB90" s="216">
        <v>0.5</v>
      </c>
      <c r="CC90" s="216">
        <v>0.5</v>
      </c>
      <c r="CD90" s="216">
        <v>0.8</v>
      </c>
      <c r="CE90" s="216">
        <v>0.8</v>
      </c>
      <c r="CF90" s="216">
        <v>0.8</v>
      </c>
      <c r="CG90" s="216">
        <v>0.8</v>
      </c>
      <c r="CH90" s="216">
        <v>0.5</v>
      </c>
      <c r="CI90" s="216">
        <v>0</v>
      </c>
      <c r="CJ90" s="216">
        <v>0</v>
      </c>
      <c r="CK90" s="216">
        <v>0</v>
      </c>
      <c r="CL90" s="216">
        <v>0</v>
      </c>
      <c r="CM90" s="216">
        <v>0</v>
      </c>
    </row>
    <row r="91" spans="1:91" ht="15" customHeight="1" x14ac:dyDescent="0.5">
      <c r="A91" s="245" t="s">
        <v>254</v>
      </c>
      <c r="B91" s="216">
        <v>0</v>
      </c>
      <c r="C91" s="216">
        <v>0</v>
      </c>
      <c r="D91" s="216">
        <v>0.8</v>
      </c>
      <c r="E91" s="216">
        <v>0.8</v>
      </c>
      <c r="F91" s="216">
        <v>0.8</v>
      </c>
      <c r="G91" s="216">
        <v>0.8</v>
      </c>
      <c r="H91" s="216">
        <v>0.8</v>
      </c>
      <c r="I91" s="216">
        <v>0.8</v>
      </c>
      <c r="J91" s="216">
        <v>0.8</v>
      </c>
      <c r="K91" s="216">
        <v>0.8</v>
      </c>
      <c r="L91" s="216">
        <v>0.8</v>
      </c>
      <c r="M91" s="216">
        <v>0.8</v>
      </c>
      <c r="N91" s="216">
        <v>0.5</v>
      </c>
      <c r="O91" s="216">
        <v>0.8</v>
      </c>
      <c r="P91" s="216">
        <v>0.8</v>
      </c>
      <c r="Q91" s="216">
        <v>0.8</v>
      </c>
      <c r="R91" s="216">
        <v>0.5</v>
      </c>
      <c r="S91" s="216">
        <v>0.5</v>
      </c>
      <c r="T91" s="216">
        <v>0.5</v>
      </c>
      <c r="U91" s="216">
        <v>0.5</v>
      </c>
      <c r="V91" s="216">
        <v>0.5</v>
      </c>
      <c r="W91" s="216">
        <v>0.5</v>
      </c>
      <c r="X91" s="216">
        <v>0.5</v>
      </c>
      <c r="Y91" s="216">
        <v>0.5</v>
      </c>
      <c r="Z91" s="216">
        <v>0.1</v>
      </c>
      <c r="AA91" s="216">
        <v>0.1</v>
      </c>
      <c r="AB91" s="216">
        <v>0.1</v>
      </c>
      <c r="AC91" s="216">
        <v>0.1</v>
      </c>
      <c r="AD91" s="216">
        <v>0.1</v>
      </c>
      <c r="AE91" s="216">
        <v>0.1</v>
      </c>
      <c r="AF91" s="216">
        <v>0.1</v>
      </c>
      <c r="AG91" s="216">
        <v>0.5</v>
      </c>
      <c r="AH91" s="216">
        <v>0.5</v>
      </c>
      <c r="AI91" s="216">
        <v>0.5</v>
      </c>
      <c r="AJ91" s="216">
        <v>0.5</v>
      </c>
      <c r="AK91" s="216">
        <v>0.5</v>
      </c>
      <c r="AL91" s="216">
        <v>0.5</v>
      </c>
      <c r="AM91" s="216">
        <v>0.5</v>
      </c>
      <c r="AN91" s="216">
        <v>0.5</v>
      </c>
      <c r="AO91" s="216">
        <v>0.5</v>
      </c>
      <c r="AP91" s="216">
        <v>0.5</v>
      </c>
      <c r="AQ91" s="216">
        <v>0.5</v>
      </c>
      <c r="AR91" s="216">
        <v>0.5</v>
      </c>
      <c r="AS91" s="216">
        <v>0.8</v>
      </c>
      <c r="AT91" s="216">
        <v>0.5</v>
      </c>
      <c r="AU91" s="216">
        <v>0.5</v>
      </c>
      <c r="AV91" s="216">
        <v>0.8</v>
      </c>
      <c r="AW91" s="216">
        <v>0.5</v>
      </c>
      <c r="AX91" s="216">
        <v>0.8</v>
      </c>
      <c r="AY91" s="216">
        <v>0.8</v>
      </c>
      <c r="AZ91" s="216">
        <v>0.8</v>
      </c>
      <c r="BA91" s="216">
        <v>0.8</v>
      </c>
      <c r="BB91" s="216">
        <v>0.5</v>
      </c>
      <c r="BC91" s="216">
        <v>0.8</v>
      </c>
      <c r="BD91" s="216">
        <v>0.8</v>
      </c>
      <c r="BE91" s="216">
        <v>0.8</v>
      </c>
      <c r="BF91" s="216">
        <v>0.8</v>
      </c>
      <c r="BG91" s="216">
        <v>0.8</v>
      </c>
      <c r="BH91" s="216">
        <v>0.8</v>
      </c>
      <c r="BI91" s="216">
        <v>0.8</v>
      </c>
      <c r="BJ91" s="216">
        <v>0.8</v>
      </c>
      <c r="BK91" s="216">
        <v>0.8</v>
      </c>
      <c r="BL91" s="216">
        <v>0.8</v>
      </c>
      <c r="BM91" s="216">
        <v>0.8</v>
      </c>
      <c r="BN91" s="216">
        <v>0.8</v>
      </c>
      <c r="BO91" s="216">
        <v>0.8</v>
      </c>
      <c r="BP91" s="216">
        <v>0.8</v>
      </c>
      <c r="BQ91" s="216">
        <v>0.8</v>
      </c>
      <c r="BR91" s="216">
        <v>0.8</v>
      </c>
      <c r="BS91" s="216">
        <v>0.8</v>
      </c>
      <c r="BT91" s="216">
        <v>0.8</v>
      </c>
      <c r="BU91" s="216">
        <v>0.8</v>
      </c>
      <c r="BV91" s="216">
        <v>0.8</v>
      </c>
      <c r="BW91" s="216">
        <v>0.8</v>
      </c>
      <c r="BX91" s="216">
        <v>0.8</v>
      </c>
      <c r="BY91" s="216">
        <v>0.8</v>
      </c>
      <c r="BZ91" s="216">
        <v>0.8</v>
      </c>
      <c r="CA91" s="216">
        <v>0.8</v>
      </c>
      <c r="CB91" s="216">
        <v>0.5</v>
      </c>
      <c r="CC91" s="216">
        <v>0.5</v>
      </c>
      <c r="CD91" s="216">
        <v>0.8</v>
      </c>
      <c r="CE91" s="216">
        <v>0.8</v>
      </c>
      <c r="CF91" s="216">
        <v>0.8</v>
      </c>
      <c r="CG91" s="216">
        <v>0.8</v>
      </c>
      <c r="CH91" s="216">
        <v>0.5</v>
      </c>
      <c r="CI91" s="216">
        <v>0</v>
      </c>
      <c r="CJ91" s="216">
        <v>0</v>
      </c>
      <c r="CK91" s="216">
        <v>0</v>
      </c>
      <c r="CL91" s="216">
        <v>0</v>
      </c>
      <c r="CM91" s="216">
        <v>0</v>
      </c>
    </row>
    <row r="92" spans="1:91" customFormat="1" ht="15" customHeight="1" x14ac:dyDescent="0.5">
      <c r="A92" s="246" t="s">
        <v>266</v>
      </c>
      <c r="B92">
        <v>0</v>
      </c>
      <c r="C92">
        <v>0</v>
      </c>
      <c r="D92">
        <v>0.8</v>
      </c>
      <c r="E92">
        <v>0.8</v>
      </c>
      <c r="F92">
        <v>0.8</v>
      </c>
      <c r="G92">
        <v>0.8</v>
      </c>
      <c r="H92">
        <v>0.8</v>
      </c>
      <c r="I92">
        <v>0.8</v>
      </c>
      <c r="J92">
        <v>0.8</v>
      </c>
      <c r="K92">
        <v>0.8</v>
      </c>
      <c r="L92">
        <v>0.8</v>
      </c>
      <c r="M92">
        <v>0.8</v>
      </c>
      <c r="N92">
        <v>0.5</v>
      </c>
      <c r="O92">
        <v>0.8</v>
      </c>
      <c r="P92">
        <v>0.8</v>
      </c>
      <c r="Q92">
        <v>0.8</v>
      </c>
      <c r="R92">
        <v>0.5</v>
      </c>
      <c r="S92">
        <v>0.5</v>
      </c>
      <c r="T92">
        <v>0.5</v>
      </c>
      <c r="U92">
        <v>0.5</v>
      </c>
      <c r="V92">
        <v>0.5</v>
      </c>
      <c r="W92">
        <v>0.5</v>
      </c>
      <c r="X92">
        <v>0.5</v>
      </c>
      <c r="Y92" s="216">
        <v>0.5</v>
      </c>
      <c r="Z92">
        <v>0.1</v>
      </c>
      <c r="AA92">
        <v>0.1</v>
      </c>
      <c r="AB92">
        <v>0.1</v>
      </c>
      <c r="AC92">
        <v>0.1</v>
      </c>
      <c r="AD92">
        <v>0.1</v>
      </c>
      <c r="AE92">
        <v>0.1</v>
      </c>
      <c r="AF92" s="216">
        <v>0.1</v>
      </c>
      <c r="AG92">
        <v>0.5</v>
      </c>
      <c r="AH92">
        <v>0.5</v>
      </c>
      <c r="AI92">
        <v>0.5</v>
      </c>
      <c r="AJ92">
        <v>0.5</v>
      </c>
      <c r="AK92">
        <v>0.5</v>
      </c>
      <c r="AL92">
        <v>0.5</v>
      </c>
      <c r="AM92">
        <v>0.5</v>
      </c>
      <c r="AN92">
        <v>0.5</v>
      </c>
      <c r="AO92">
        <v>0.5</v>
      </c>
      <c r="AP92">
        <v>0.5</v>
      </c>
      <c r="AQ92" s="216">
        <v>0.5</v>
      </c>
      <c r="AR92" s="216">
        <v>0.5</v>
      </c>
      <c r="AS92">
        <v>0.8</v>
      </c>
      <c r="AT92" s="216">
        <v>0.5</v>
      </c>
      <c r="AU92" s="216">
        <v>0.5</v>
      </c>
      <c r="AV92">
        <v>0.8</v>
      </c>
      <c r="AW92">
        <v>0.5</v>
      </c>
      <c r="AX92">
        <v>0.8</v>
      </c>
      <c r="AY92">
        <v>0.8</v>
      </c>
      <c r="AZ92">
        <v>0.8</v>
      </c>
      <c r="BA92">
        <v>0.8</v>
      </c>
      <c r="BB92">
        <v>0.5</v>
      </c>
      <c r="BC92">
        <v>0.8</v>
      </c>
      <c r="BD92">
        <v>0.8</v>
      </c>
      <c r="BE92">
        <v>0.8</v>
      </c>
      <c r="BF92">
        <v>0.8</v>
      </c>
      <c r="BG92">
        <v>0.8</v>
      </c>
      <c r="BH92">
        <v>0.8</v>
      </c>
      <c r="BI92">
        <v>0.8</v>
      </c>
      <c r="BJ92">
        <v>0.8</v>
      </c>
      <c r="BK92">
        <v>0.8</v>
      </c>
      <c r="BL92">
        <v>0.8</v>
      </c>
      <c r="BM92" s="216">
        <v>0.8</v>
      </c>
      <c r="BN92" s="216">
        <v>0.8</v>
      </c>
      <c r="BO92" s="216">
        <v>0.8</v>
      </c>
      <c r="BP92" s="216">
        <v>0.8</v>
      </c>
      <c r="BQ92" s="216">
        <v>0.8</v>
      </c>
      <c r="BR92" s="216">
        <v>0.8</v>
      </c>
      <c r="BS92" s="216">
        <v>0.8</v>
      </c>
      <c r="BT92" s="216">
        <v>0.8</v>
      </c>
      <c r="BU92" s="216">
        <v>0.8</v>
      </c>
      <c r="BV92" s="216">
        <v>0.8</v>
      </c>
      <c r="BW92" s="216">
        <v>0.8</v>
      </c>
      <c r="BX92" s="216">
        <v>0.8</v>
      </c>
      <c r="BY92" s="216">
        <v>0.8</v>
      </c>
      <c r="BZ92" s="216">
        <v>0.8</v>
      </c>
      <c r="CA92" s="216">
        <v>0.8</v>
      </c>
      <c r="CB92" s="216">
        <v>0.5</v>
      </c>
      <c r="CC92" s="216">
        <v>0.5</v>
      </c>
      <c r="CD92" s="216">
        <v>0.8</v>
      </c>
      <c r="CE92" s="216">
        <v>0.8</v>
      </c>
      <c r="CF92" s="216">
        <v>0.8</v>
      </c>
      <c r="CG92" s="216">
        <v>0.8</v>
      </c>
      <c r="CH92" s="216">
        <v>0.5</v>
      </c>
      <c r="CI92">
        <v>0</v>
      </c>
      <c r="CJ92" s="216">
        <v>0</v>
      </c>
      <c r="CK92" s="216">
        <v>0</v>
      </c>
      <c r="CL92" s="216">
        <v>0</v>
      </c>
      <c r="CM92" s="216">
        <v>0</v>
      </c>
    </row>
    <row r="93" spans="1:91" ht="15" customHeight="1" x14ac:dyDescent="0.4"/>
    <row r="94" spans="1:91" ht="15" customHeight="1" x14ac:dyDescent="0.4"/>
    <row r="95" spans="1:91" ht="15" customHeight="1" x14ac:dyDescent="0.4"/>
    <row r="96" spans="1:91" ht="15" customHeight="1" x14ac:dyDescent="0.4"/>
    <row r="98" ht="15" customHeight="1" x14ac:dyDescent="0.4"/>
    <row r="99" ht="15" customHeight="1" x14ac:dyDescent="0.4"/>
    <row r="100" ht="15" customHeight="1" x14ac:dyDescent="0.4"/>
    <row r="101" ht="15" customHeight="1" x14ac:dyDescent="0.4"/>
    <row r="102" ht="15" customHeight="1" x14ac:dyDescent="0.4"/>
    <row r="103" ht="15" customHeight="1" x14ac:dyDescent="0.4"/>
    <row r="104" ht="15" customHeight="1" x14ac:dyDescent="0.4"/>
    <row r="105" ht="15" customHeight="1" x14ac:dyDescent="0.4"/>
    <row r="106" ht="15" customHeight="1" x14ac:dyDescent="0.4"/>
    <row r="107" ht="15" customHeight="1" x14ac:dyDescent="0.4"/>
    <row r="108" ht="15" customHeight="1" x14ac:dyDescent="0.4"/>
    <row r="109" ht="15" customHeight="1" x14ac:dyDescent="0.4"/>
    <row r="110" ht="15" customHeight="1" x14ac:dyDescent="0.4"/>
    <row r="111" ht="15" customHeight="1" x14ac:dyDescent="0.4"/>
    <row r="112" ht="15" customHeight="1" x14ac:dyDescent="0.4"/>
    <row r="113" ht="15" customHeight="1" x14ac:dyDescent="0.4"/>
    <row r="114" ht="15" customHeight="1" x14ac:dyDescent="0.4"/>
    <row r="115" ht="15" customHeight="1" x14ac:dyDescent="0.4"/>
    <row r="116" ht="15" customHeight="1" x14ac:dyDescent="0.4"/>
    <row r="117" ht="15" customHeight="1" x14ac:dyDescent="0.4"/>
    <row r="118" ht="15" customHeight="1" x14ac:dyDescent="0.4"/>
    <row r="119" ht="15" customHeight="1" x14ac:dyDescent="0.4"/>
    <row r="120" ht="15" customHeight="1" x14ac:dyDescent="0.4"/>
    <row r="121" ht="15" customHeight="1" x14ac:dyDescent="0.4"/>
    <row r="122" ht="15" customHeight="1" x14ac:dyDescent="0.4"/>
    <row r="123" ht="15" customHeight="1" x14ac:dyDescent="0.4"/>
    <row r="124" ht="15" customHeight="1" x14ac:dyDescent="0.4"/>
    <row r="125" ht="15" customHeight="1" x14ac:dyDescent="0.4"/>
    <row r="126" ht="15" customHeight="1" x14ac:dyDescent="0.4"/>
    <row r="127" ht="15" customHeight="1" x14ac:dyDescent="0.4"/>
    <row r="128" ht="15" customHeight="1" x14ac:dyDescent="0.4"/>
    <row r="129" ht="15" customHeight="1" x14ac:dyDescent="0.4"/>
    <row r="130" ht="15" customHeight="1" x14ac:dyDescent="0.4"/>
    <row r="131" ht="15" customHeight="1" x14ac:dyDescent="0.4"/>
    <row r="132" ht="15" customHeight="1" x14ac:dyDescent="0.4"/>
    <row r="133" ht="15" customHeight="1" x14ac:dyDescent="0.4"/>
    <row r="134" ht="15" customHeight="1" x14ac:dyDescent="0.4"/>
    <row r="135" ht="15" customHeight="1" x14ac:dyDescent="0.4"/>
    <row r="136" ht="15" customHeight="1" x14ac:dyDescent="0.4"/>
    <row r="137" ht="15" customHeight="1" x14ac:dyDescent="0.4"/>
    <row r="138" ht="15" customHeight="1" x14ac:dyDescent="0.4"/>
    <row r="139" ht="15" customHeight="1" x14ac:dyDescent="0.4"/>
    <row r="140" ht="15" customHeight="1" x14ac:dyDescent="0.4"/>
    <row r="141" ht="15" customHeight="1" x14ac:dyDescent="0.4"/>
    <row r="142" ht="15" customHeight="1" x14ac:dyDescent="0.4"/>
    <row r="143" ht="15" customHeight="1" x14ac:dyDescent="0.4"/>
    <row r="144" ht="15" customHeight="1" x14ac:dyDescent="0.4"/>
    <row r="145" ht="15" customHeight="1" x14ac:dyDescent="0.4"/>
    <row r="146" ht="15" customHeight="1" x14ac:dyDescent="0.4"/>
    <row r="147" ht="15" customHeight="1" x14ac:dyDescent="0.4"/>
    <row r="148" ht="15" customHeight="1" x14ac:dyDescent="0.4"/>
    <row r="149" ht="15" customHeight="1" x14ac:dyDescent="0.4"/>
    <row r="150" ht="15" customHeight="1" x14ac:dyDescent="0.4"/>
    <row r="151" ht="15" customHeight="1" x14ac:dyDescent="0.4"/>
    <row r="152" ht="15" customHeight="1" x14ac:dyDescent="0.4"/>
    <row r="153" ht="15" customHeight="1" x14ac:dyDescent="0.4"/>
    <row r="154" ht="15" customHeight="1" x14ac:dyDescent="0.4"/>
    <row r="155" ht="15" customHeight="1" x14ac:dyDescent="0.4"/>
    <row r="156" ht="15" customHeight="1" x14ac:dyDescent="0.4"/>
    <row r="157" ht="15" customHeight="1" x14ac:dyDescent="0.4"/>
    <row r="158" ht="15" customHeight="1" x14ac:dyDescent="0.4"/>
    <row r="159" ht="15" customHeight="1" x14ac:dyDescent="0.4"/>
    <row r="160" ht="15" customHeight="1" x14ac:dyDescent="0.4"/>
    <row r="161" ht="15" customHeight="1" x14ac:dyDescent="0.4"/>
    <row r="162" ht="15" customHeight="1" x14ac:dyDescent="0.4"/>
    <row r="163" ht="15" customHeight="1" x14ac:dyDescent="0.4"/>
    <row r="164" ht="15" customHeight="1" x14ac:dyDescent="0.4"/>
    <row r="165" ht="15" customHeight="1" x14ac:dyDescent="0.4"/>
    <row r="166" ht="15" customHeight="1" x14ac:dyDescent="0.4"/>
    <row r="167" ht="15" customHeight="1" x14ac:dyDescent="0.4"/>
    <row r="168" ht="15" customHeight="1" x14ac:dyDescent="0.4"/>
    <row r="169" ht="15" customHeight="1" x14ac:dyDescent="0.4"/>
    <row r="170" ht="15" customHeight="1" x14ac:dyDescent="0.4"/>
    <row r="171" ht="15" customHeight="1" x14ac:dyDescent="0.4"/>
  </sheetData>
  <pageMargins left="0.75" right="0.75" top="1" bottom="1" header="0.5" footer="0.5"/>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CW171"/>
  <sheetViews>
    <sheetView workbookViewId="0">
      <pane xSplit="1" ySplit="1" topLeftCell="S2" activePane="bottomRight" state="frozen"/>
      <selection pane="topRight" activeCell="B1" sqref="B1"/>
      <selection pane="bottomLeft" activeCell="A2" sqref="A2"/>
      <selection pane="bottomRight" activeCell="Y1" sqref="Y1"/>
    </sheetView>
  </sheetViews>
  <sheetFormatPr defaultColWidth="10.83203125" defaultRowHeight="12.3" x14ac:dyDescent="0.4"/>
  <cols>
    <col min="1" max="1" width="39.83203125" style="70" bestFit="1" customWidth="1"/>
    <col min="2" max="16384" width="10.83203125" style="70"/>
  </cols>
  <sheetData>
    <row r="1" spans="1:101" ht="15" x14ac:dyDescent="0.5">
      <c r="A1" s="39" t="s">
        <v>140</v>
      </c>
      <c r="B1" s="247" t="s">
        <v>177</v>
      </c>
      <c r="C1" s="247" t="s">
        <v>178</v>
      </c>
      <c r="D1" s="247" t="s">
        <v>179</v>
      </c>
      <c r="E1" s="247" t="s">
        <v>180</v>
      </c>
      <c r="F1" s="247" t="s">
        <v>181</v>
      </c>
      <c r="G1" s="247" t="s">
        <v>182</v>
      </c>
      <c r="H1" s="247" t="s">
        <v>183</v>
      </c>
      <c r="I1" s="247" t="s">
        <v>184</v>
      </c>
      <c r="J1" s="247" t="s">
        <v>185</v>
      </c>
      <c r="K1" s="247" t="s">
        <v>186</v>
      </c>
      <c r="L1" s="247" t="s">
        <v>187</v>
      </c>
      <c r="M1" s="247" t="s">
        <v>188</v>
      </c>
      <c r="N1" s="247" t="s">
        <v>189</v>
      </c>
      <c r="O1" s="248" t="s">
        <v>273</v>
      </c>
      <c r="P1" s="247" t="s">
        <v>190</v>
      </c>
      <c r="Q1" s="247" t="s">
        <v>191</v>
      </c>
      <c r="R1" s="247" t="s">
        <v>192</v>
      </c>
      <c r="S1" s="247" t="s">
        <v>193</v>
      </c>
      <c r="T1" s="247" t="s">
        <v>194</v>
      </c>
      <c r="U1" s="247" t="s">
        <v>195</v>
      </c>
      <c r="V1" s="247" t="s">
        <v>196</v>
      </c>
      <c r="W1" s="247" t="s">
        <v>197</v>
      </c>
      <c r="X1" s="247" t="s">
        <v>198</v>
      </c>
      <c r="Y1" s="247" t="s">
        <v>199</v>
      </c>
      <c r="Z1" s="248" t="s">
        <v>265</v>
      </c>
      <c r="AA1" s="248" t="s">
        <v>274</v>
      </c>
      <c r="AB1" s="248" t="s">
        <v>275</v>
      </c>
      <c r="AC1" s="248" t="s">
        <v>276</v>
      </c>
      <c r="AD1" s="248" t="s">
        <v>277</v>
      </c>
      <c r="AE1" s="248" t="s">
        <v>278</v>
      </c>
      <c r="AF1" s="248" t="s">
        <v>279</v>
      </c>
      <c r="AG1" s="247" t="s">
        <v>200</v>
      </c>
      <c r="AH1" s="247" t="s">
        <v>201</v>
      </c>
      <c r="AI1" s="247" t="s">
        <v>202</v>
      </c>
      <c r="AJ1" s="247" t="s">
        <v>203</v>
      </c>
      <c r="AK1" s="247" t="s">
        <v>204</v>
      </c>
      <c r="AL1" s="247" t="s">
        <v>205</v>
      </c>
      <c r="AM1" s="247" t="s">
        <v>206</v>
      </c>
      <c r="AN1" s="247" t="s">
        <v>207</v>
      </c>
      <c r="AO1" s="247" t="s">
        <v>208</v>
      </c>
      <c r="AP1" s="247" t="s">
        <v>209</v>
      </c>
      <c r="AQ1" s="247" t="s">
        <v>210</v>
      </c>
      <c r="AR1" s="247" t="s">
        <v>211</v>
      </c>
      <c r="AS1" s="247" t="s">
        <v>212</v>
      </c>
      <c r="AT1" s="247" t="s">
        <v>213</v>
      </c>
      <c r="AU1" s="247" t="s">
        <v>214</v>
      </c>
      <c r="AV1" s="247" t="s">
        <v>215</v>
      </c>
      <c r="AW1" s="247" t="s">
        <v>216</v>
      </c>
      <c r="AX1" s="247" t="s">
        <v>217</v>
      </c>
      <c r="AY1" s="247" t="s">
        <v>218</v>
      </c>
      <c r="AZ1" s="247" t="s">
        <v>219</v>
      </c>
      <c r="BA1" s="247" t="s">
        <v>220</v>
      </c>
      <c r="BB1" s="247" t="s">
        <v>221</v>
      </c>
      <c r="BC1" s="247" t="s">
        <v>222</v>
      </c>
      <c r="BD1" s="247" t="s">
        <v>223</v>
      </c>
      <c r="BE1" s="247" t="s">
        <v>224</v>
      </c>
      <c r="BF1" s="247" t="s">
        <v>225</v>
      </c>
      <c r="BG1" s="247" t="s">
        <v>226</v>
      </c>
      <c r="BH1" s="247" t="s">
        <v>227</v>
      </c>
      <c r="BI1" s="247" t="s">
        <v>228</v>
      </c>
      <c r="BJ1" s="247" t="s">
        <v>229</v>
      </c>
      <c r="BK1" s="247" t="s">
        <v>230</v>
      </c>
      <c r="BL1" s="247" t="s">
        <v>231</v>
      </c>
      <c r="BM1" s="247" t="s">
        <v>232</v>
      </c>
      <c r="BN1" s="247" t="s">
        <v>233</v>
      </c>
      <c r="BO1" s="247" t="s">
        <v>234</v>
      </c>
      <c r="BP1" s="247" t="s">
        <v>235</v>
      </c>
      <c r="BQ1" s="247" t="s">
        <v>236</v>
      </c>
      <c r="BR1" s="247" t="s">
        <v>237</v>
      </c>
      <c r="BS1" s="247" t="s">
        <v>238</v>
      </c>
      <c r="BT1" s="247" t="s">
        <v>239</v>
      </c>
      <c r="BU1" s="247" t="s">
        <v>240</v>
      </c>
      <c r="BV1" s="247" t="s">
        <v>241</v>
      </c>
      <c r="BW1" s="247" t="s">
        <v>242</v>
      </c>
      <c r="BX1" s="247" t="s">
        <v>243</v>
      </c>
      <c r="BY1" s="247" t="s">
        <v>244</v>
      </c>
      <c r="BZ1" s="247" t="s">
        <v>245</v>
      </c>
      <c r="CA1" s="247" t="s">
        <v>246</v>
      </c>
      <c r="CB1" s="247" t="s">
        <v>247</v>
      </c>
      <c r="CC1" s="248" t="s">
        <v>280</v>
      </c>
      <c r="CD1" s="248" t="s">
        <v>281</v>
      </c>
      <c r="CE1" s="247" t="s">
        <v>248</v>
      </c>
      <c r="CF1" s="247" t="s">
        <v>249</v>
      </c>
      <c r="CG1" s="248" t="s">
        <v>282</v>
      </c>
      <c r="CH1" s="248" t="s">
        <v>283</v>
      </c>
      <c r="CI1" s="247" t="s">
        <v>250</v>
      </c>
      <c r="CJ1" s="247" t="s">
        <v>251</v>
      </c>
      <c r="CK1" s="247" t="s">
        <v>252</v>
      </c>
      <c r="CL1" s="247" t="s">
        <v>253</v>
      </c>
      <c r="CM1" s="247" t="s">
        <v>254</v>
      </c>
      <c r="CN1" s="71"/>
      <c r="CO1" s="71"/>
      <c r="CP1" s="71"/>
      <c r="CQ1" s="71"/>
      <c r="CR1" s="71"/>
      <c r="CS1" s="71"/>
      <c r="CT1" s="71"/>
      <c r="CU1" s="71"/>
      <c r="CV1" s="71"/>
      <c r="CW1" s="71"/>
    </row>
    <row r="2" spans="1:101" s="216" customFormat="1" ht="15" x14ac:dyDescent="0.5">
      <c r="A2" s="245" t="s">
        <v>177</v>
      </c>
      <c r="B2" s="216">
        <v>0</v>
      </c>
      <c r="C2" s="216">
        <v>0</v>
      </c>
      <c r="D2" s="216">
        <v>0.8</v>
      </c>
      <c r="E2" s="216">
        <v>0.8</v>
      </c>
      <c r="F2" s="216">
        <v>0.8</v>
      </c>
      <c r="G2" s="216">
        <v>0.8</v>
      </c>
      <c r="H2" s="216">
        <v>0.8</v>
      </c>
      <c r="I2" s="216">
        <v>0.8</v>
      </c>
      <c r="J2" s="216">
        <v>0.8</v>
      </c>
      <c r="K2" s="216">
        <v>0.8</v>
      </c>
      <c r="L2" s="216">
        <v>0.8</v>
      </c>
      <c r="M2" s="216">
        <v>0.8</v>
      </c>
      <c r="N2" s="216">
        <v>0.5</v>
      </c>
      <c r="O2" s="216">
        <v>0.8</v>
      </c>
      <c r="P2" s="216">
        <v>0.8</v>
      </c>
      <c r="Q2" s="216">
        <v>0.8</v>
      </c>
      <c r="R2" s="216">
        <v>0.5</v>
      </c>
      <c r="S2" s="216">
        <v>0.5</v>
      </c>
      <c r="T2" s="216">
        <v>0.5</v>
      </c>
      <c r="U2" s="216">
        <v>0.5</v>
      </c>
      <c r="V2" s="216">
        <v>0.5</v>
      </c>
      <c r="W2" s="216">
        <v>0.5</v>
      </c>
      <c r="X2" s="216">
        <v>0.5</v>
      </c>
      <c r="Y2" s="216">
        <v>0.5</v>
      </c>
      <c r="Z2" s="216">
        <v>0.1</v>
      </c>
      <c r="AA2" s="216">
        <v>0.1</v>
      </c>
      <c r="AB2" s="216">
        <v>0.1</v>
      </c>
      <c r="AC2" s="216">
        <v>0.1</v>
      </c>
      <c r="AD2" s="216">
        <v>0.1</v>
      </c>
      <c r="AE2" s="216">
        <v>0.1</v>
      </c>
      <c r="AF2" s="216">
        <v>0.1</v>
      </c>
      <c r="AG2" s="216">
        <v>0.5</v>
      </c>
      <c r="AH2" s="216">
        <v>0.5</v>
      </c>
      <c r="AI2" s="216">
        <v>0.5</v>
      </c>
      <c r="AJ2" s="216">
        <v>0.5</v>
      </c>
      <c r="AK2" s="216">
        <v>0.5</v>
      </c>
      <c r="AL2" s="216">
        <v>0.5</v>
      </c>
      <c r="AM2" s="216">
        <v>0.5</v>
      </c>
      <c r="AN2" s="216">
        <v>0.5</v>
      </c>
      <c r="AO2" s="216">
        <v>0.5</v>
      </c>
      <c r="AP2" s="216">
        <v>0.5</v>
      </c>
      <c r="AQ2" s="216">
        <v>0.5</v>
      </c>
      <c r="AR2" s="216">
        <v>0.5</v>
      </c>
      <c r="AS2" s="216">
        <v>0.8</v>
      </c>
      <c r="AT2" s="216">
        <v>0.5</v>
      </c>
      <c r="AU2" s="216">
        <v>0.5</v>
      </c>
      <c r="AV2" s="216">
        <v>0.8</v>
      </c>
      <c r="AW2" s="216">
        <v>0.5</v>
      </c>
      <c r="AX2" s="216">
        <v>0.8</v>
      </c>
      <c r="AY2" s="216">
        <v>0.8</v>
      </c>
      <c r="AZ2" s="216">
        <v>0.8</v>
      </c>
      <c r="BA2" s="216">
        <v>0.8</v>
      </c>
      <c r="BB2" s="216">
        <v>0.5</v>
      </c>
      <c r="BC2" s="216">
        <v>0.8</v>
      </c>
      <c r="BD2" s="216">
        <v>0.8</v>
      </c>
      <c r="BE2" s="216">
        <v>0.8</v>
      </c>
      <c r="BF2" s="216">
        <v>0.8</v>
      </c>
      <c r="BG2" s="216">
        <v>0.8</v>
      </c>
      <c r="BH2" s="216">
        <v>0.8</v>
      </c>
      <c r="BI2" s="216">
        <v>0.8</v>
      </c>
      <c r="BJ2" s="216">
        <v>0.8</v>
      </c>
      <c r="BK2" s="216">
        <v>0.8</v>
      </c>
      <c r="BL2" s="216">
        <v>0.8</v>
      </c>
      <c r="BM2" s="216">
        <v>0.8</v>
      </c>
      <c r="BN2" s="216">
        <v>0.8</v>
      </c>
      <c r="BO2" s="216">
        <v>0.8</v>
      </c>
      <c r="BP2" s="216">
        <v>0.8</v>
      </c>
      <c r="BQ2" s="216">
        <v>0.8</v>
      </c>
      <c r="BR2" s="216">
        <v>0.8</v>
      </c>
      <c r="BS2" s="216">
        <v>0.8</v>
      </c>
      <c r="BT2" s="216">
        <v>0.8</v>
      </c>
      <c r="BU2" s="216">
        <v>0.8</v>
      </c>
      <c r="BV2" s="216">
        <v>0.8</v>
      </c>
      <c r="BW2" s="216">
        <v>0.8</v>
      </c>
      <c r="BX2" s="216">
        <v>0.8</v>
      </c>
      <c r="BY2" s="216">
        <v>0.8</v>
      </c>
      <c r="BZ2" s="216">
        <v>0.8</v>
      </c>
      <c r="CA2" s="216">
        <v>0.8</v>
      </c>
      <c r="CB2" s="216">
        <v>0.5</v>
      </c>
      <c r="CC2" s="216">
        <v>0.5</v>
      </c>
      <c r="CD2" s="216">
        <v>0.8</v>
      </c>
      <c r="CE2" s="216">
        <v>0.8</v>
      </c>
      <c r="CF2" s="216">
        <v>0.8</v>
      </c>
      <c r="CG2" s="216">
        <v>0.8</v>
      </c>
      <c r="CH2" s="216">
        <v>0.5</v>
      </c>
      <c r="CI2" s="216">
        <v>0</v>
      </c>
      <c r="CJ2" s="216">
        <v>0</v>
      </c>
      <c r="CK2" s="216">
        <v>0</v>
      </c>
      <c r="CL2" s="216">
        <v>0</v>
      </c>
      <c r="CM2" s="216">
        <v>0</v>
      </c>
    </row>
    <row r="3" spans="1:101" s="216" customFormat="1" ht="15" x14ac:dyDescent="0.5">
      <c r="A3" s="245" t="s">
        <v>178</v>
      </c>
      <c r="B3" s="216">
        <v>0</v>
      </c>
      <c r="C3" s="216">
        <v>0</v>
      </c>
      <c r="D3" s="216">
        <v>0.8</v>
      </c>
      <c r="E3" s="216">
        <v>0.8</v>
      </c>
      <c r="F3" s="216">
        <v>0.8</v>
      </c>
      <c r="G3" s="216">
        <v>0.8</v>
      </c>
      <c r="H3" s="216">
        <v>0.8</v>
      </c>
      <c r="I3" s="216">
        <v>0.8</v>
      </c>
      <c r="J3" s="216">
        <v>0.8</v>
      </c>
      <c r="K3" s="216">
        <v>0.8</v>
      </c>
      <c r="L3" s="216">
        <v>0.8</v>
      </c>
      <c r="M3" s="216">
        <v>0.8</v>
      </c>
      <c r="N3" s="216">
        <v>0.5</v>
      </c>
      <c r="O3" s="216">
        <v>0.8</v>
      </c>
      <c r="P3" s="216">
        <v>0.8</v>
      </c>
      <c r="Q3" s="216">
        <v>0.8</v>
      </c>
      <c r="R3" s="216">
        <v>0.5</v>
      </c>
      <c r="S3" s="216">
        <v>0.5</v>
      </c>
      <c r="T3" s="216">
        <v>0.5</v>
      </c>
      <c r="U3" s="216">
        <v>0.5</v>
      </c>
      <c r="V3" s="216">
        <v>0.5</v>
      </c>
      <c r="W3" s="216">
        <v>0.5</v>
      </c>
      <c r="X3" s="216">
        <v>0.5</v>
      </c>
      <c r="Y3" s="216">
        <v>0.5</v>
      </c>
      <c r="Z3" s="216">
        <v>0.1</v>
      </c>
      <c r="AA3" s="216">
        <v>0.1</v>
      </c>
      <c r="AB3" s="216">
        <v>0.1</v>
      </c>
      <c r="AC3" s="216">
        <v>0.1</v>
      </c>
      <c r="AD3" s="216">
        <v>0.1</v>
      </c>
      <c r="AE3" s="216">
        <v>0.1</v>
      </c>
      <c r="AF3" s="216">
        <v>0.1</v>
      </c>
      <c r="AG3" s="216">
        <v>0.5</v>
      </c>
      <c r="AH3" s="216">
        <v>0.5</v>
      </c>
      <c r="AI3" s="216">
        <v>0.5</v>
      </c>
      <c r="AJ3" s="216">
        <v>0.5</v>
      </c>
      <c r="AK3" s="216">
        <v>0.5</v>
      </c>
      <c r="AL3" s="216">
        <v>0.5</v>
      </c>
      <c r="AM3" s="216">
        <v>0.5</v>
      </c>
      <c r="AN3" s="216">
        <v>0.5</v>
      </c>
      <c r="AO3" s="216">
        <v>0.5</v>
      </c>
      <c r="AP3" s="216">
        <v>0.5</v>
      </c>
      <c r="AQ3" s="216">
        <v>0.5</v>
      </c>
      <c r="AR3" s="216">
        <v>0.5</v>
      </c>
      <c r="AS3" s="216">
        <v>0.8</v>
      </c>
      <c r="AT3" s="216">
        <v>0.5</v>
      </c>
      <c r="AU3" s="216">
        <v>0.5</v>
      </c>
      <c r="AV3" s="216">
        <v>0.8</v>
      </c>
      <c r="AW3" s="216">
        <v>0.5</v>
      </c>
      <c r="AX3" s="216">
        <v>0.8</v>
      </c>
      <c r="AY3" s="216">
        <v>0.8</v>
      </c>
      <c r="AZ3" s="216">
        <v>0.8</v>
      </c>
      <c r="BA3" s="216">
        <v>0.8</v>
      </c>
      <c r="BB3" s="216">
        <v>0.5</v>
      </c>
      <c r="BC3" s="216">
        <v>0.8</v>
      </c>
      <c r="BD3" s="216">
        <v>0.8</v>
      </c>
      <c r="BE3" s="216">
        <v>0.8</v>
      </c>
      <c r="BF3" s="216">
        <v>0.8</v>
      </c>
      <c r="BG3" s="216">
        <v>0.8</v>
      </c>
      <c r="BH3" s="216">
        <v>0.8</v>
      </c>
      <c r="BI3" s="216">
        <v>0.8</v>
      </c>
      <c r="BJ3" s="216">
        <v>0.8</v>
      </c>
      <c r="BK3" s="216">
        <v>0.8</v>
      </c>
      <c r="BL3" s="216">
        <v>0.8</v>
      </c>
      <c r="BM3" s="216">
        <v>0.8</v>
      </c>
      <c r="BN3" s="216">
        <v>0.8</v>
      </c>
      <c r="BO3" s="216">
        <v>0.8</v>
      </c>
      <c r="BP3" s="216">
        <v>0.8</v>
      </c>
      <c r="BQ3" s="216">
        <v>0.8</v>
      </c>
      <c r="BR3" s="216">
        <v>0.8</v>
      </c>
      <c r="BS3" s="216">
        <v>0.8</v>
      </c>
      <c r="BT3" s="216">
        <v>0.8</v>
      </c>
      <c r="BU3" s="216">
        <v>0.8</v>
      </c>
      <c r="BV3" s="216">
        <v>0.8</v>
      </c>
      <c r="BW3" s="216">
        <v>0.8</v>
      </c>
      <c r="BX3" s="216">
        <v>0.8</v>
      </c>
      <c r="BY3" s="216">
        <v>0.8</v>
      </c>
      <c r="BZ3" s="216">
        <v>0.8</v>
      </c>
      <c r="CA3" s="216">
        <v>0.8</v>
      </c>
      <c r="CB3" s="216">
        <v>0.5</v>
      </c>
      <c r="CC3" s="216">
        <v>0.5</v>
      </c>
      <c r="CD3" s="216">
        <v>0.8</v>
      </c>
      <c r="CE3" s="216">
        <v>0.8</v>
      </c>
      <c r="CF3" s="216">
        <v>0.8</v>
      </c>
      <c r="CG3" s="216">
        <v>0.8</v>
      </c>
      <c r="CH3" s="216">
        <v>0.5</v>
      </c>
      <c r="CI3" s="216">
        <v>0</v>
      </c>
      <c r="CJ3" s="216">
        <v>0</v>
      </c>
      <c r="CK3" s="216">
        <v>0</v>
      </c>
      <c r="CL3" s="216">
        <v>0</v>
      </c>
      <c r="CM3" s="216">
        <v>0</v>
      </c>
    </row>
    <row r="4" spans="1:101" s="216" customFormat="1" ht="15" x14ac:dyDescent="0.5">
      <c r="A4" s="245" t="s">
        <v>179</v>
      </c>
      <c r="B4" s="216">
        <v>0</v>
      </c>
      <c r="C4" s="216">
        <v>0</v>
      </c>
      <c r="D4" s="216">
        <v>0.8</v>
      </c>
      <c r="E4" s="216">
        <v>0.8</v>
      </c>
      <c r="F4" s="216">
        <v>0.8</v>
      </c>
      <c r="G4" s="216">
        <v>0.8</v>
      </c>
      <c r="H4" s="216">
        <v>0.8</v>
      </c>
      <c r="I4" s="216">
        <v>0.8</v>
      </c>
      <c r="J4" s="216">
        <v>0.8</v>
      </c>
      <c r="K4" s="216">
        <v>0.8</v>
      </c>
      <c r="L4" s="216">
        <v>0.8</v>
      </c>
      <c r="M4" s="216">
        <v>0.8</v>
      </c>
      <c r="N4" s="216">
        <v>0.5</v>
      </c>
      <c r="O4" s="216">
        <v>0.8</v>
      </c>
      <c r="P4" s="216">
        <v>0.8</v>
      </c>
      <c r="Q4" s="216">
        <v>0.8</v>
      </c>
      <c r="R4" s="216">
        <v>0.5</v>
      </c>
      <c r="S4" s="216">
        <v>0.5</v>
      </c>
      <c r="T4" s="216">
        <v>0.5</v>
      </c>
      <c r="U4" s="216">
        <v>0.5</v>
      </c>
      <c r="V4" s="216">
        <v>0.5</v>
      </c>
      <c r="W4" s="216">
        <v>0.5</v>
      </c>
      <c r="X4" s="216">
        <v>0.5</v>
      </c>
      <c r="Y4" s="216">
        <v>0.5</v>
      </c>
      <c r="Z4" s="216">
        <v>0.1</v>
      </c>
      <c r="AA4" s="216">
        <v>0.1</v>
      </c>
      <c r="AB4" s="216">
        <v>0.1</v>
      </c>
      <c r="AC4" s="216">
        <v>0.1</v>
      </c>
      <c r="AD4" s="216">
        <v>0.1</v>
      </c>
      <c r="AE4" s="216">
        <v>0.1</v>
      </c>
      <c r="AF4" s="216">
        <v>0.1</v>
      </c>
      <c r="AG4" s="216">
        <v>0.5</v>
      </c>
      <c r="AH4" s="216">
        <v>0.5</v>
      </c>
      <c r="AI4" s="216">
        <v>0.5</v>
      </c>
      <c r="AJ4" s="216">
        <v>0.5</v>
      </c>
      <c r="AK4" s="216">
        <v>0.5</v>
      </c>
      <c r="AL4" s="216">
        <v>0.5</v>
      </c>
      <c r="AM4" s="216">
        <v>0.5</v>
      </c>
      <c r="AN4" s="216">
        <v>0.5</v>
      </c>
      <c r="AO4" s="216">
        <v>0.5</v>
      </c>
      <c r="AP4" s="216">
        <v>0.5</v>
      </c>
      <c r="AQ4" s="216">
        <v>0.5</v>
      </c>
      <c r="AR4" s="216">
        <v>0.5</v>
      </c>
      <c r="AS4" s="216">
        <v>0.8</v>
      </c>
      <c r="AT4" s="216">
        <v>0.5</v>
      </c>
      <c r="AU4" s="216">
        <v>0.5</v>
      </c>
      <c r="AV4" s="216">
        <v>0.8</v>
      </c>
      <c r="AW4" s="216">
        <v>0.5</v>
      </c>
      <c r="AX4" s="216">
        <v>0.8</v>
      </c>
      <c r="AY4" s="216">
        <v>0.8</v>
      </c>
      <c r="AZ4" s="216">
        <v>0.8</v>
      </c>
      <c r="BA4" s="216">
        <v>0.8</v>
      </c>
      <c r="BB4" s="216">
        <v>0.5</v>
      </c>
      <c r="BC4" s="216">
        <v>0.8</v>
      </c>
      <c r="BD4" s="216">
        <v>0.8</v>
      </c>
      <c r="BE4" s="216">
        <v>0.8</v>
      </c>
      <c r="BF4" s="216">
        <v>0.8</v>
      </c>
      <c r="BG4" s="216">
        <v>0.8</v>
      </c>
      <c r="BH4" s="216">
        <v>0.8</v>
      </c>
      <c r="BI4" s="216">
        <v>0.8</v>
      </c>
      <c r="BJ4" s="216">
        <v>0.8</v>
      </c>
      <c r="BK4" s="216">
        <v>0.8</v>
      </c>
      <c r="BL4" s="216">
        <v>0.8</v>
      </c>
      <c r="BM4" s="216">
        <v>0.8</v>
      </c>
      <c r="BN4" s="216">
        <v>0.8</v>
      </c>
      <c r="BO4" s="216">
        <v>0.8</v>
      </c>
      <c r="BP4" s="216">
        <v>0.8</v>
      </c>
      <c r="BQ4" s="216">
        <v>0.8</v>
      </c>
      <c r="BR4" s="216">
        <v>0.8</v>
      </c>
      <c r="BS4" s="216">
        <v>0.8</v>
      </c>
      <c r="BT4" s="216">
        <v>0.8</v>
      </c>
      <c r="BU4" s="216">
        <v>0.8</v>
      </c>
      <c r="BV4" s="216">
        <v>0.8</v>
      </c>
      <c r="BW4" s="216">
        <v>0.8</v>
      </c>
      <c r="BX4" s="216">
        <v>0.8</v>
      </c>
      <c r="BY4" s="216">
        <v>0.8</v>
      </c>
      <c r="BZ4" s="216">
        <v>0.8</v>
      </c>
      <c r="CA4" s="216">
        <v>0.8</v>
      </c>
      <c r="CB4" s="216">
        <v>0.5</v>
      </c>
      <c r="CC4" s="216">
        <v>0.5</v>
      </c>
      <c r="CD4" s="216">
        <v>0.8</v>
      </c>
      <c r="CE4" s="216">
        <v>0.8</v>
      </c>
      <c r="CF4" s="216">
        <v>0.8</v>
      </c>
      <c r="CG4" s="216">
        <v>0.8</v>
      </c>
      <c r="CH4" s="216">
        <v>0.5</v>
      </c>
      <c r="CI4" s="216">
        <v>0</v>
      </c>
      <c r="CJ4" s="216">
        <v>0</v>
      </c>
      <c r="CK4" s="216">
        <v>0</v>
      </c>
      <c r="CL4" s="216">
        <v>0</v>
      </c>
      <c r="CM4" s="216">
        <v>0</v>
      </c>
    </row>
    <row r="5" spans="1:101" s="216" customFormat="1" ht="15" x14ac:dyDescent="0.5">
      <c r="A5" s="245" t="s">
        <v>180</v>
      </c>
      <c r="B5" s="216">
        <v>0</v>
      </c>
      <c r="C5" s="216">
        <v>0</v>
      </c>
      <c r="D5" s="216">
        <v>0.8</v>
      </c>
      <c r="E5" s="216">
        <v>0.8</v>
      </c>
      <c r="F5" s="216">
        <v>0.8</v>
      </c>
      <c r="G5" s="216">
        <v>0.8</v>
      </c>
      <c r="H5" s="216">
        <v>0.8</v>
      </c>
      <c r="I5" s="216">
        <v>0.8</v>
      </c>
      <c r="J5" s="216">
        <v>0.8</v>
      </c>
      <c r="K5" s="216">
        <v>0.8</v>
      </c>
      <c r="L5" s="216">
        <v>0.8</v>
      </c>
      <c r="M5" s="216">
        <v>0.8</v>
      </c>
      <c r="N5" s="216">
        <v>0.5</v>
      </c>
      <c r="O5" s="216">
        <v>0.8</v>
      </c>
      <c r="P5" s="216">
        <v>0.8</v>
      </c>
      <c r="Q5" s="216">
        <v>0.8</v>
      </c>
      <c r="R5" s="216">
        <v>0.5</v>
      </c>
      <c r="S5" s="216">
        <v>0.5</v>
      </c>
      <c r="T5" s="216">
        <v>0.5</v>
      </c>
      <c r="U5" s="216">
        <v>0.5</v>
      </c>
      <c r="V5" s="216">
        <v>0.5</v>
      </c>
      <c r="W5" s="216">
        <v>0.5</v>
      </c>
      <c r="X5" s="216">
        <v>0.5</v>
      </c>
      <c r="Y5" s="216">
        <v>0.5</v>
      </c>
      <c r="Z5" s="216">
        <v>0.1</v>
      </c>
      <c r="AA5" s="216">
        <v>0.1</v>
      </c>
      <c r="AB5" s="216">
        <v>0.1</v>
      </c>
      <c r="AC5" s="216">
        <v>0.1</v>
      </c>
      <c r="AD5" s="216">
        <v>0.1</v>
      </c>
      <c r="AE5" s="216">
        <v>0.1</v>
      </c>
      <c r="AF5" s="216">
        <v>0.1</v>
      </c>
      <c r="AG5" s="216">
        <v>0.5</v>
      </c>
      <c r="AH5" s="216">
        <v>0.5</v>
      </c>
      <c r="AI5" s="216">
        <v>0.5</v>
      </c>
      <c r="AJ5" s="216">
        <v>0.5</v>
      </c>
      <c r="AK5" s="216">
        <v>0.5</v>
      </c>
      <c r="AL5" s="216">
        <v>0.5</v>
      </c>
      <c r="AM5" s="216">
        <v>0.5</v>
      </c>
      <c r="AN5" s="216">
        <v>0.5</v>
      </c>
      <c r="AO5" s="216">
        <v>0.5</v>
      </c>
      <c r="AP5" s="216">
        <v>0.5</v>
      </c>
      <c r="AQ5" s="216">
        <v>0.5</v>
      </c>
      <c r="AR5" s="216">
        <v>0.5</v>
      </c>
      <c r="AS5" s="216">
        <v>0.8</v>
      </c>
      <c r="AT5" s="216">
        <v>0.5</v>
      </c>
      <c r="AU5" s="216">
        <v>0.5</v>
      </c>
      <c r="AV5" s="216">
        <v>0.8</v>
      </c>
      <c r="AW5" s="216">
        <v>0.5</v>
      </c>
      <c r="AX5" s="216">
        <v>0.8</v>
      </c>
      <c r="AY5" s="216">
        <v>0.8</v>
      </c>
      <c r="AZ5" s="216">
        <v>0.8</v>
      </c>
      <c r="BA5" s="216">
        <v>0.8</v>
      </c>
      <c r="BB5" s="216">
        <v>0.5</v>
      </c>
      <c r="BC5" s="216">
        <v>0.8</v>
      </c>
      <c r="BD5" s="216">
        <v>0.8</v>
      </c>
      <c r="BE5" s="216">
        <v>0.8</v>
      </c>
      <c r="BF5" s="216">
        <v>0.8</v>
      </c>
      <c r="BG5" s="216">
        <v>0.8</v>
      </c>
      <c r="BH5" s="216">
        <v>0.8</v>
      </c>
      <c r="BI5" s="216">
        <v>0.8</v>
      </c>
      <c r="BJ5" s="216">
        <v>0.8</v>
      </c>
      <c r="BK5" s="216">
        <v>0.8</v>
      </c>
      <c r="BL5" s="216">
        <v>0.8</v>
      </c>
      <c r="BM5" s="216">
        <v>0.8</v>
      </c>
      <c r="BN5" s="216">
        <v>0.8</v>
      </c>
      <c r="BO5" s="216">
        <v>0.8</v>
      </c>
      <c r="BP5" s="216">
        <v>0.8</v>
      </c>
      <c r="BQ5" s="216">
        <v>0.8</v>
      </c>
      <c r="BR5" s="216">
        <v>0.8</v>
      </c>
      <c r="BS5" s="216">
        <v>0.8</v>
      </c>
      <c r="BT5" s="216">
        <v>0.8</v>
      </c>
      <c r="BU5" s="216">
        <v>0.8</v>
      </c>
      <c r="BV5" s="216">
        <v>0.8</v>
      </c>
      <c r="BW5" s="216">
        <v>0.8</v>
      </c>
      <c r="BX5" s="216">
        <v>0.8</v>
      </c>
      <c r="BY5" s="216">
        <v>0.8</v>
      </c>
      <c r="BZ5" s="216">
        <v>0.8</v>
      </c>
      <c r="CA5" s="216">
        <v>0.8</v>
      </c>
      <c r="CB5" s="216">
        <v>0.5</v>
      </c>
      <c r="CC5" s="216">
        <v>0.5</v>
      </c>
      <c r="CD5" s="216">
        <v>0.8</v>
      </c>
      <c r="CE5" s="216">
        <v>0.8</v>
      </c>
      <c r="CF5" s="216">
        <v>0.8</v>
      </c>
      <c r="CG5" s="216">
        <v>0.8</v>
      </c>
      <c r="CH5" s="216">
        <v>0.5</v>
      </c>
      <c r="CI5" s="216">
        <v>0</v>
      </c>
      <c r="CJ5" s="216">
        <v>0</v>
      </c>
      <c r="CK5" s="216">
        <v>0</v>
      </c>
      <c r="CL5" s="216">
        <v>0</v>
      </c>
      <c r="CM5" s="216">
        <v>0</v>
      </c>
    </row>
    <row r="6" spans="1:101" s="216" customFormat="1" ht="15" x14ac:dyDescent="0.5">
      <c r="A6" s="245" t="s">
        <v>181</v>
      </c>
      <c r="B6" s="216">
        <v>0</v>
      </c>
      <c r="C6" s="216">
        <v>0</v>
      </c>
      <c r="D6" s="216">
        <v>0.8</v>
      </c>
      <c r="E6" s="216">
        <v>0.8</v>
      </c>
      <c r="F6" s="216">
        <v>0.8</v>
      </c>
      <c r="G6" s="216">
        <v>0.8</v>
      </c>
      <c r="H6" s="216">
        <v>0.8</v>
      </c>
      <c r="I6" s="216">
        <v>0.8</v>
      </c>
      <c r="J6" s="216">
        <v>0.8</v>
      </c>
      <c r="K6" s="216">
        <v>0.8</v>
      </c>
      <c r="L6" s="216">
        <v>0.8</v>
      </c>
      <c r="M6" s="216">
        <v>0.8</v>
      </c>
      <c r="N6" s="216">
        <v>0.5</v>
      </c>
      <c r="O6" s="216">
        <v>0.8</v>
      </c>
      <c r="P6" s="216">
        <v>0.8</v>
      </c>
      <c r="Q6" s="216">
        <v>0.8</v>
      </c>
      <c r="R6" s="216">
        <v>0.5</v>
      </c>
      <c r="S6" s="216">
        <v>0.5</v>
      </c>
      <c r="T6" s="216">
        <v>0.5</v>
      </c>
      <c r="U6" s="216">
        <v>0.5</v>
      </c>
      <c r="V6" s="216">
        <v>0.5</v>
      </c>
      <c r="W6" s="216">
        <v>0.5</v>
      </c>
      <c r="X6" s="216">
        <v>0.5</v>
      </c>
      <c r="Y6" s="216">
        <v>0.5</v>
      </c>
      <c r="Z6" s="216">
        <v>0.1</v>
      </c>
      <c r="AA6" s="216">
        <v>0.1</v>
      </c>
      <c r="AB6" s="216">
        <v>0.1</v>
      </c>
      <c r="AC6" s="216">
        <v>0.1</v>
      </c>
      <c r="AD6" s="216">
        <v>0.1</v>
      </c>
      <c r="AE6" s="216">
        <v>0.1</v>
      </c>
      <c r="AF6" s="216">
        <v>0.1</v>
      </c>
      <c r="AG6" s="216">
        <v>0.5</v>
      </c>
      <c r="AH6" s="216">
        <v>0.5</v>
      </c>
      <c r="AI6" s="216">
        <v>0.5</v>
      </c>
      <c r="AJ6" s="216">
        <v>0.5</v>
      </c>
      <c r="AK6" s="216">
        <v>0.5</v>
      </c>
      <c r="AL6" s="216">
        <v>0.5</v>
      </c>
      <c r="AM6" s="216">
        <v>0.5</v>
      </c>
      <c r="AN6" s="216">
        <v>0.5</v>
      </c>
      <c r="AO6" s="216">
        <v>0.5</v>
      </c>
      <c r="AP6" s="216">
        <v>0.5</v>
      </c>
      <c r="AQ6" s="216">
        <v>0.5</v>
      </c>
      <c r="AR6" s="216">
        <v>0.5</v>
      </c>
      <c r="AS6" s="216">
        <v>0.8</v>
      </c>
      <c r="AT6" s="216">
        <v>0.5</v>
      </c>
      <c r="AU6" s="216">
        <v>0.5</v>
      </c>
      <c r="AV6" s="216">
        <v>0.8</v>
      </c>
      <c r="AW6" s="216">
        <v>0.5</v>
      </c>
      <c r="AX6" s="216">
        <v>0.8</v>
      </c>
      <c r="AY6" s="216">
        <v>0.8</v>
      </c>
      <c r="AZ6" s="216">
        <v>0.8</v>
      </c>
      <c r="BA6" s="216">
        <v>0.8</v>
      </c>
      <c r="BB6" s="216">
        <v>0.5</v>
      </c>
      <c r="BC6" s="216">
        <v>0.8</v>
      </c>
      <c r="BD6" s="216">
        <v>0.8</v>
      </c>
      <c r="BE6" s="216">
        <v>0.8</v>
      </c>
      <c r="BF6" s="216">
        <v>0.8</v>
      </c>
      <c r="BG6" s="216">
        <v>0.8</v>
      </c>
      <c r="BH6" s="216">
        <v>0.8</v>
      </c>
      <c r="BI6" s="216">
        <v>0.8</v>
      </c>
      <c r="BJ6" s="216">
        <v>0.8</v>
      </c>
      <c r="BK6" s="216">
        <v>0.8</v>
      </c>
      <c r="BL6" s="216">
        <v>0.8</v>
      </c>
      <c r="BM6" s="216">
        <v>0.8</v>
      </c>
      <c r="BN6" s="216">
        <v>0.8</v>
      </c>
      <c r="BO6" s="216">
        <v>0.8</v>
      </c>
      <c r="BP6" s="216">
        <v>0.8</v>
      </c>
      <c r="BQ6" s="216">
        <v>0.8</v>
      </c>
      <c r="BR6" s="216">
        <v>0.8</v>
      </c>
      <c r="BS6" s="216">
        <v>0.8</v>
      </c>
      <c r="BT6" s="216">
        <v>0.8</v>
      </c>
      <c r="BU6" s="216">
        <v>0.8</v>
      </c>
      <c r="BV6" s="216">
        <v>0.8</v>
      </c>
      <c r="BW6" s="216">
        <v>0.8</v>
      </c>
      <c r="BX6" s="216">
        <v>0.8</v>
      </c>
      <c r="BY6" s="216">
        <v>0.8</v>
      </c>
      <c r="BZ6" s="216">
        <v>0.8</v>
      </c>
      <c r="CA6" s="216">
        <v>0.8</v>
      </c>
      <c r="CB6" s="216">
        <v>0.5</v>
      </c>
      <c r="CC6" s="216">
        <v>0.5</v>
      </c>
      <c r="CD6" s="216">
        <v>0.8</v>
      </c>
      <c r="CE6" s="216">
        <v>0.8</v>
      </c>
      <c r="CF6" s="216">
        <v>0.8</v>
      </c>
      <c r="CG6" s="216">
        <v>0.8</v>
      </c>
      <c r="CH6" s="216">
        <v>0.5</v>
      </c>
      <c r="CI6" s="216">
        <v>0</v>
      </c>
      <c r="CJ6" s="216">
        <v>0</v>
      </c>
      <c r="CK6" s="216">
        <v>0</v>
      </c>
      <c r="CL6" s="216">
        <v>0</v>
      </c>
      <c r="CM6" s="216">
        <v>0</v>
      </c>
    </row>
    <row r="7" spans="1:101" s="216" customFormat="1" ht="15" x14ac:dyDescent="0.5">
      <c r="A7" s="245" t="s">
        <v>182</v>
      </c>
      <c r="B7" s="216">
        <v>0</v>
      </c>
      <c r="C7" s="216">
        <v>0</v>
      </c>
      <c r="D7" s="216">
        <v>0.8</v>
      </c>
      <c r="E7" s="216">
        <v>0.8</v>
      </c>
      <c r="F7" s="216">
        <v>0.8</v>
      </c>
      <c r="G7" s="216">
        <v>0.8</v>
      </c>
      <c r="H7" s="216">
        <v>0.8</v>
      </c>
      <c r="I7" s="216">
        <v>0.8</v>
      </c>
      <c r="J7" s="216">
        <v>0.8</v>
      </c>
      <c r="K7" s="216">
        <v>0.8</v>
      </c>
      <c r="L7" s="216">
        <v>0.8</v>
      </c>
      <c r="M7" s="216">
        <v>0.8</v>
      </c>
      <c r="N7" s="216">
        <v>0.5</v>
      </c>
      <c r="O7" s="216">
        <v>0.8</v>
      </c>
      <c r="P7" s="216">
        <v>0.8</v>
      </c>
      <c r="Q7" s="216">
        <v>0.8</v>
      </c>
      <c r="R7" s="216">
        <v>0.5</v>
      </c>
      <c r="S7" s="216">
        <v>0.5</v>
      </c>
      <c r="T7" s="216">
        <v>0.5</v>
      </c>
      <c r="U7" s="216">
        <v>0.5</v>
      </c>
      <c r="V7" s="216">
        <v>0.5</v>
      </c>
      <c r="W7" s="216">
        <v>0.5</v>
      </c>
      <c r="X7" s="216">
        <v>0.5</v>
      </c>
      <c r="Y7" s="216">
        <v>0.5</v>
      </c>
      <c r="Z7" s="216">
        <v>0.1</v>
      </c>
      <c r="AA7" s="216">
        <v>0.1</v>
      </c>
      <c r="AB7" s="216">
        <v>0.1</v>
      </c>
      <c r="AC7" s="216">
        <v>0.1</v>
      </c>
      <c r="AD7" s="216">
        <v>0.1</v>
      </c>
      <c r="AE7" s="216">
        <v>0.1</v>
      </c>
      <c r="AF7" s="216">
        <v>0.1</v>
      </c>
      <c r="AG7" s="216">
        <v>0.5</v>
      </c>
      <c r="AH7" s="216">
        <v>0.5</v>
      </c>
      <c r="AI7" s="216">
        <v>0.5</v>
      </c>
      <c r="AJ7" s="216">
        <v>0.5</v>
      </c>
      <c r="AK7" s="216">
        <v>0.5</v>
      </c>
      <c r="AL7" s="216">
        <v>0.5</v>
      </c>
      <c r="AM7" s="216">
        <v>0.5</v>
      </c>
      <c r="AN7" s="216">
        <v>0.5</v>
      </c>
      <c r="AO7" s="216">
        <v>0.5</v>
      </c>
      <c r="AP7" s="216">
        <v>0.5</v>
      </c>
      <c r="AQ7" s="216">
        <v>0.5</v>
      </c>
      <c r="AR7" s="216">
        <v>0.5</v>
      </c>
      <c r="AS7" s="216">
        <v>0.8</v>
      </c>
      <c r="AT7" s="216">
        <v>0.5</v>
      </c>
      <c r="AU7" s="216">
        <v>0.5</v>
      </c>
      <c r="AV7" s="216">
        <v>0.8</v>
      </c>
      <c r="AW7" s="216">
        <v>0.5</v>
      </c>
      <c r="AX7" s="216">
        <v>0.8</v>
      </c>
      <c r="AY7" s="216">
        <v>0.8</v>
      </c>
      <c r="AZ7" s="216">
        <v>0.8</v>
      </c>
      <c r="BA7" s="216">
        <v>0.8</v>
      </c>
      <c r="BB7" s="216">
        <v>0.5</v>
      </c>
      <c r="BC7" s="216">
        <v>0.8</v>
      </c>
      <c r="BD7" s="216">
        <v>0.8</v>
      </c>
      <c r="BE7" s="216">
        <v>0.8</v>
      </c>
      <c r="BF7" s="216">
        <v>0.8</v>
      </c>
      <c r="BG7" s="216">
        <v>0.8</v>
      </c>
      <c r="BH7" s="216">
        <v>0.8</v>
      </c>
      <c r="BI7" s="216">
        <v>0.8</v>
      </c>
      <c r="BJ7" s="216">
        <v>0.8</v>
      </c>
      <c r="BK7" s="216">
        <v>0.8</v>
      </c>
      <c r="BL7" s="216">
        <v>0.8</v>
      </c>
      <c r="BM7" s="216">
        <v>0.8</v>
      </c>
      <c r="BN7" s="216">
        <v>0.8</v>
      </c>
      <c r="BO7" s="216">
        <v>0.8</v>
      </c>
      <c r="BP7" s="216">
        <v>0.8</v>
      </c>
      <c r="BQ7" s="216">
        <v>0.8</v>
      </c>
      <c r="BR7" s="216">
        <v>0.8</v>
      </c>
      <c r="BS7" s="216">
        <v>0.8</v>
      </c>
      <c r="BT7" s="216">
        <v>0.8</v>
      </c>
      <c r="BU7" s="216">
        <v>0.8</v>
      </c>
      <c r="BV7" s="216">
        <v>0.8</v>
      </c>
      <c r="BW7" s="216">
        <v>0.8</v>
      </c>
      <c r="BX7" s="216">
        <v>0.8</v>
      </c>
      <c r="BY7" s="216">
        <v>0.8</v>
      </c>
      <c r="BZ7" s="216">
        <v>0.8</v>
      </c>
      <c r="CA7" s="216">
        <v>0.8</v>
      </c>
      <c r="CB7" s="216">
        <v>0.5</v>
      </c>
      <c r="CC7" s="216">
        <v>0.5</v>
      </c>
      <c r="CD7" s="216">
        <v>0.8</v>
      </c>
      <c r="CE7" s="216">
        <v>0.8</v>
      </c>
      <c r="CF7" s="216">
        <v>0.8</v>
      </c>
      <c r="CG7" s="216">
        <v>0.8</v>
      </c>
      <c r="CH7" s="216">
        <v>0.5</v>
      </c>
      <c r="CI7" s="216">
        <v>0</v>
      </c>
      <c r="CJ7" s="216">
        <v>0</v>
      </c>
      <c r="CK7" s="216">
        <v>0</v>
      </c>
      <c r="CL7" s="216">
        <v>0</v>
      </c>
      <c r="CM7" s="216">
        <v>0</v>
      </c>
    </row>
    <row r="8" spans="1:101" s="216" customFormat="1" ht="15" x14ac:dyDescent="0.5">
      <c r="A8" s="245" t="s">
        <v>183</v>
      </c>
      <c r="B8" s="216">
        <v>0</v>
      </c>
      <c r="C8" s="216">
        <v>0</v>
      </c>
      <c r="D8" s="216">
        <v>0.8</v>
      </c>
      <c r="E8" s="216">
        <v>0.8</v>
      </c>
      <c r="F8" s="216">
        <v>0.8</v>
      </c>
      <c r="G8" s="216">
        <v>0.8</v>
      </c>
      <c r="H8" s="216">
        <v>0.8</v>
      </c>
      <c r="I8" s="216">
        <v>0.8</v>
      </c>
      <c r="J8" s="216">
        <v>0.8</v>
      </c>
      <c r="K8" s="216">
        <v>0.8</v>
      </c>
      <c r="L8" s="216">
        <v>0.8</v>
      </c>
      <c r="M8" s="216">
        <v>0.8</v>
      </c>
      <c r="N8" s="216">
        <v>0.5</v>
      </c>
      <c r="O8" s="216">
        <v>0.8</v>
      </c>
      <c r="P8" s="216">
        <v>0.8</v>
      </c>
      <c r="Q8" s="216">
        <v>0.8</v>
      </c>
      <c r="R8" s="216">
        <v>0.5</v>
      </c>
      <c r="S8" s="216">
        <v>0.5</v>
      </c>
      <c r="T8" s="216">
        <v>0.5</v>
      </c>
      <c r="U8" s="216">
        <v>0.5</v>
      </c>
      <c r="V8" s="216">
        <v>0.5</v>
      </c>
      <c r="W8" s="216">
        <v>0.5</v>
      </c>
      <c r="X8" s="216">
        <v>0.5</v>
      </c>
      <c r="Y8" s="216">
        <v>0.5</v>
      </c>
      <c r="Z8" s="216">
        <v>0.1</v>
      </c>
      <c r="AA8" s="216">
        <v>0.1</v>
      </c>
      <c r="AB8" s="216">
        <v>0.1</v>
      </c>
      <c r="AC8" s="216">
        <v>0.1</v>
      </c>
      <c r="AD8" s="216">
        <v>0.1</v>
      </c>
      <c r="AE8" s="216">
        <v>0.1</v>
      </c>
      <c r="AF8" s="216">
        <v>0.1</v>
      </c>
      <c r="AG8" s="216">
        <v>0.5</v>
      </c>
      <c r="AH8" s="216">
        <v>0.5</v>
      </c>
      <c r="AI8" s="216">
        <v>0.5</v>
      </c>
      <c r="AJ8" s="216">
        <v>0.5</v>
      </c>
      <c r="AK8" s="216">
        <v>0.5</v>
      </c>
      <c r="AL8" s="216">
        <v>0.5</v>
      </c>
      <c r="AM8" s="216">
        <v>0.5</v>
      </c>
      <c r="AN8" s="216">
        <v>0.5</v>
      </c>
      <c r="AO8" s="216">
        <v>0.5</v>
      </c>
      <c r="AP8" s="216">
        <v>0.5</v>
      </c>
      <c r="AQ8" s="216">
        <v>0.5</v>
      </c>
      <c r="AR8" s="216">
        <v>0.5</v>
      </c>
      <c r="AS8" s="216">
        <v>0.8</v>
      </c>
      <c r="AT8" s="216">
        <v>0.5</v>
      </c>
      <c r="AU8" s="216">
        <v>0.5</v>
      </c>
      <c r="AV8" s="216">
        <v>0.8</v>
      </c>
      <c r="AW8" s="216">
        <v>0.5</v>
      </c>
      <c r="AX8" s="216">
        <v>0.8</v>
      </c>
      <c r="AY8" s="216">
        <v>0.8</v>
      </c>
      <c r="AZ8" s="216">
        <v>0.8</v>
      </c>
      <c r="BA8" s="216">
        <v>0.8</v>
      </c>
      <c r="BB8" s="216">
        <v>0.5</v>
      </c>
      <c r="BC8" s="216">
        <v>0.8</v>
      </c>
      <c r="BD8" s="216">
        <v>0.8</v>
      </c>
      <c r="BE8" s="216">
        <v>0.8</v>
      </c>
      <c r="BF8" s="216">
        <v>0.8</v>
      </c>
      <c r="BG8" s="216">
        <v>0.8</v>
      </c>
      <c r="BH8" s="216">
        <v>0.8</v>
      </c>
      <c r="BI8" s="216">
        <v>0.8</v>
      </c>
      <c r="BJ8" s="216">
        <v>0.8</v>
      </c>
      <c r="BK8" s="216">
        <v>0.8</v>
      </c>
      <c r="BL8" s="216">
        <v>0.8</v>
      </c>
      <c r="BM8" s="216">
        <v>0.8</v>
      </c>
      <c r="BN8" s="216">
        <v>0.8</v>
      </c>
      <c r="BO8" s="216">
        <v>0.8</v>
      </c>
      <c r="BP8" s="216">
        <v>0.8</v>
      </c>
      <c r="BQ8" s="216">
        <v>0.8</v>
      </c>
      <c r="BR8" s="216">
        <v>0.8</v>
      </c>
      <c r="BS8" s="216">
        <v>0.8</v>
      </c>
      <c r="BT8" s="216">
        <v>0.8</v>
      </c>
      <c r="BU8" s="216">
        <v>0.8</v>
      </c>
      <c r="BV8" s="216">
        <v>0.8</v>
      </c>
      <c r="BW8" s="216">
        <v>0.8</v>
      </c>
      <c r="BX8" s="216">
        <v>0.8</v>
      </c>
      <c r="BY8" s="216">
        <v>0.8</v>
      </c>
      <c r="BZ8" s="216">
        <v>0.8</v>
      </c>
      <c r="CA8" s="216">
        <v>0.8</v>
      </c>
      <c r="CB8" s="216">
        <v>0.5</v>
      </c>
      <c r="CC8" s="216">
        <v>0.5</v>
      </c>
      <c r="CD8" s="216">
        <v>0.8</v>
      </c>
      <c r="CE8" s="216">
        <v>0.8</v>
      </c>
      <c r="CF8" s="216">
        <v>0.8</v>
      </c>
      <c r="CG8" s="216">
        <v>0.8</v>
      </c>
      <c r="CH8" s="216">
        <v>0.5</v>
      </c>
      <c r="CI8" s="216">
        <v>0</v>
      </c>
      <c r="CJ8" s="216">
        <v>0</v>
      </c>
      <c r="CK8" s="216">
        <v>0</v>
      </c>
      <c r="CL8" s="216">
        <v>0</v>
      </c>
      <c r="CM8" s="216">
        <v>0</v>
      </c>
    </row>
    <row r="9" spans="1:101" s="216" customFormat="1" ht="15" x14ac:dyDescent="0.5">
      <c r="A9" s="245" t="s">
        <v>184</v>
      </c>
      <c r="B9" s="216">
        <v>0</v>
      </c>
      <c r="C9" s="216">
        <v>0</v>
      </c>
      <c r="D9" s="216">
        <v>0.8</v>
      </c>
      <c r="E9" s="216">
        <v>0.8</v>
      </c>
      <c r="F9" s="216">
        <v>0.8</v>
      </c>
      <c r="G9" s="216">
        <v>0.8</v>
      </c>
      <c r="H9" s="216">
        <v>0.8</v>
      </c>
      <c r="I9" s="216">
        <v>0.8</v>
      </c>
      <c r="J9" s="216">
        <v>0.8</v>
      </c>
      <c r="K9" s="216">
        <v>0.8</v>
      </c>
      <c r="L9" s="216">
        <v>0.8</v>
      </c>
      <c r="M9" s="216">
        <v>0.8</v>
      </c>
      <c r="N9" s="216">
        <v>0.5</v>
      </c>
      <c r="O9" s="216">
        <v>0.8</v>
      </c>
      <c r="P9" s="216">
        <v>0.8</v>
      </c>
      <c r="Q9" s="216">
        <v>0.8</v>
      </c>
      <c r="R9" s="216">
        <v>0.5</v>
      </c>
      <c r="S9" s="216">
        <v>0.5</v>
      </c>
      <c r="T9" s="216">
        <v>0.5</v>
      </c>
      <c r="U9" s="216">
        <v>0.5</v>
      </c>
      <c r="V9" s="216">
        <v>0.5</v>
      </c>
      <c r="W9" s="216">
        <v>0.5</v>
      </c>
      <c r="X9" s="216">
        <v>0.5</v>
      </c>
      <c r="Y9" s="216">
        <v>0.5</v>
      </c>
      <c r="Z9" s="216">
        <v>0.1</v>
      </c>
      <c r="AA9" s="216">
        <v>0.1</v>
      </c>
      <c r="AB9" s="216">
        <v>0.1</v>
      </c>
      <c r="AC9" s="216">
        <v>0.1</v>
      </c>
      <c r="AD9" s="216">
        <v>0.1</v>
      </c>
      <c r="AE9" s="216">
        <v>0.1</v>
      </c>
      <c r="AF9" s="216">
        <v>0.1</v>
      </c>
      <c r="AG9" s="216">
        <v>0.5</v>
      </c>
      <c r="AH9" s="216">
        <v>0.5</v>
      </c>
      <c r="AI9" s="216">
        <v>0.5</v>
      </c>
      <c r="AJ9" s="216">
        <v>0.5</v>
      </c>
      <c r="AK9" s="216">
        <v>0.5</v>
      </c>
      <c r="AL9" s="216">
        <v>0.5</v>
      </c>
      <c r="AM9" s="216">
        <v>0.5</v>
      </c>
      <c r="AN9" s="216">
        <v>0.5</v>
      </c>
      <c r="AO9" s="216">
        <v>0.5</v>
      </c>
      <c r="AP9" s="216">
        <v>0.5</v>
      </c>
      <c r="AQ9" s="216">
        <v>0.5</v>
      </c>
      <c r="AR9" s="216">
        <v>0.5</v>
      </c>
      <c r="AS9" s="216">
        <v>0.8</v>
      </c>
      <c r="AT9" s="216">
        <v>0.5</v>
      </c>
      <c r="AU9" s="216">
        <v>0.5</v>
      </c>
      <c r="AV9" s="216">
        <v>0.8</v>
      </c>
      <c r="AW9" s="216">
        <v>0.5</v>
      </c>
      <c r="AX9" s="216">
        <v>0.8</v>
      </c>
      <c r="AY9" s="216">
        <v>0.8</v>
      </c>
      <c r="AZ9" s="216">
        <v>0.8</v>
      </c>
      <c r="BA9" s="216">
        <v>0.8</v>
      </c>
      <c r="BB9" s="216">
        <v>0.5</v>
      </c>
      <c r="BC9" s="216">
        <v>0.8</v>
      </c>
      <c r="BD9" s="216">
        <v>0.8</v>
      </c>
      <c r="BE9" s="216">
        <v>0.8</v>
      </c>
      <c r="BF9" s="216">
        <v>0.8</v>
      </c>
      <c r="BG9" s="216">
        <v>0.8</v>
      </c>
      <c r="BH9" s="216">
        <v>0.8</v>
      </c>
      <c r="BI9" s="216">
        <v>0.8</v>
      </c>
      <c r="BJ9" s="216">
        <v>0.8</v>
      </c>
      <c r="BK9" s="216">
        <v>0.8</v>
      </c>
      <c r="BL9" s="216">
        <v>0.8</v>
      </c>
      <c r="BM9" s="216">
        <v>0.8</v>
      </c>
      <c r="BN9" s="216">
        <v>0.8</v>
      </c>
      <c r="BO9" s="216">
        <v>0.8</v>
      </c>
      <c r="BP9" s="216">
        <v>0.8</v>
      </c>
      <c r="BQ9" s="216">
        <v>0.8</v>
      </c>
      <c r="BR9" s="216">
        <v>0.8</v>
      </c>
      <c r="BS9" s="216">
        <v>0.8</v>
      </c>
      <c r="BT9" s="216">
        <v>0.8</v>
      </c>
      <c r="BU9" s="216">
        <v>0.8</v>
      </c>
      <c r="BV9" s="216">
        <v>0.8</v>
      </c>
      <c r="BW9" s="216">
        <v>0.8</v>
      </c>
      <c r="BX9" s="216">
        <v>0.8</v>
      </c>
      <c r="BY9" s="216">
        <v>0.8</v>
      </c>
      <c r="BZ9" s="216">
        <v>0.8</v>
      </c>
      <c r="CA9" s="216">
        <v>0.8</v>
      </c>
      <c r="CB9" s="216">
        <v>0.5</v>
      </c>
      <c r="CC9" s="216">
        <v>0.5</v>
      </c>
      <c r="CD9" s="216">
        <v>0.8</v>
      </c>
      <c r="CE9" s="216">
        <v>0.8</v>
      </c>
      <c r="CF9" s="216">
        <v>0.8</v>
      </c>
      <c r="CG9" s="216">
        <v>0.8</v>
      </c>
      <c r="CH9" s="216">
        <v>0.5</v>
      </c>
      <c r="CI9" s="216">
        <v>0</v>
      </c>
      <c r="CJ9" s="216">
        <v>0</v>
      </c>
      <c r="CK9" s="216">
        <v>0</v>
      </c>
      <c r="CL9" s="216">
        <v>0</v>
      </c>
      <c r="CM9" s="216">
        <v>0</v>
      </c>
    </row>
    <row r="10" spans="1:101" s="216" customFormat="1" ht="15" x14ac:dyDescent="0.5">
      <c r="A10" s="245" t="s">
        <v>185</v>
      </c>
      <c r="B10" s="216">
        <v>0</v>
      </c>
      <c r="C10" s="216">
        <v>0</v>
      </c>
      <c r="D10" s="216">
        <v>0.8</v>
      </c>
      <c r="E10" s="216">
        <v>0.8</v>
      </c>
      <c r="F10" s="216">
        <v>0.8</v>
      </c>
      <c r="G10" s="216">
        <v>0.8</v>
      </c>
      <c r="H10" s="216">
        <v>0.8</v>
      </c>
      <c r="I10" s="216">
        <v>0.8</v>
      </c>
      <c r="J10" s="216">
        <v>0.8</v>
      </c>
      <c r="K10" s="216">
        <v>0.8</v>
      </c>
      <c r="L10" s="216">
        <v>0.8</v>
      </c>
      <c r="M10" s="216">
        <v>0.8</v>
      </c>
      <c r="N10" s="216">
        <v>0.5</v>
      </c>
      <c r="O10" s="216">
        <v>0.8</v>
      </c>
      <c r="P10" s="216">
        <v>0.8</v>
      </c>
      <c r="Q10" s="216">
        <v>0.8</v>
      </c>
      <c r="R10" s="216">
        <v>0.5</v>
      </c>
      <c r="S10" s="216">
        <v>0.5</v>
      </c>
      <c r="T10" s="216">
        <v>0.5</v>
      </c>
      <c r="U10" s="216">
        <v>0.5</v>
      </c>
      <c r="V10" s="216">
        <v>0.5</v>
      </c>
      <c r="W10" s="216">
        <v>0.5</v>
      </c>
      <c r="X10" s="216">
        <v>0.5</v>
      </c>
      <c r="Y10" s="216">
        <v>0.5</v>
      </c>
      <c r="Z10" s="216">
        <v>0.1</v>
      </c>
      <c r="AA10" s="216">
        <v>0.1</v>
      </c>
      <c r="AB10" s="216">
        <v>0.1</v>
      </c>
      <c r="AC10" s="216">
        <v>0.1</v>
      </c>
      <c r="AD10" s="216">
        <v>0.1</v>
      </c>
      <c r="AE10" s="216">
        <v>0.1</v>
      </c>
      <c r="AF10" s="216">
        <v>0.1</v>
      </c>
      <c r="AG10" s="216">
        <v>0.5</v>
      </c>
      <c r="AH10" s="216">
        <v>0.5</v>
      </c>
      <c r="AI10" s="216">
        <v>0.5</v>
      </c>
      <c r="AJ10" s="216">
        <v>0.5</v>
      </c>
      <c r="AK10" s="216">
        <v>0.5</v>
      </c>
      <c r="AL10" s="216">
        <v>0.5</v>
      </c>
      <c r="AM10" s="216">
        <v>0.5</v>
      </c>
      <c r="AN10" s="216">
        <v>0.5</v>
      </c>
      <c r="AO10" s="216">
        <v>0.5</v>
      </c>
      <c r="AP10" s="216">
        <v>0.5</v>
      </c>
      <c r="AQ10" s="216">
        <v>0.5</v>
      </c>
      <c r="AR10" s="216">
        <v>0.5</v>
      </c>
      <c r="AS10" s="216">
        <v>0.8</v>
      </c>
      <c r="AT10" s="216">
        <v>0.5</v>
      </c>
      <c r="AU10" s="216">
        <v>0.5</v>
      </c>
      <c r="AV10" s="216">
        <v>0.8</v>
      </c>
      <c r="AW10" s="216">
        <v>0.5</v>
      </c>
      <c r="AX10" s="216">
        <v>0.8</v>
      </c>
      <c r="AY10" s="216">
        <v>0.8</v>
      </c>
      <c r="AZ10" s="216">
        <v>0.8</v>
      </c>
      <c r="BA10" s="216">
        <v>0.8</v>
      </c>
      <c r="BB10" s="216">
        <v>0.5</v>
      </c>
      <c r="BC10" s="216">
        <v>0.8</v>
      </c>
      <c r="BD10" s="216">
        <v>0.8</v>
      </c>
      <c r="BE10" s="216">
        <v>0.8</v>
      </c>
      <c r="BF10" s="216">
        <v>0.8</v>
      </c>
      <c r="BG10" s="216">
        <v>0.8</v>
      </c>
      <c r="BH10" s="216">
        <v>0.8</v>
      </c>
      <c r="BI10" s="216">
        <v>0.8</v>
      </c>
      <c r="BJ10" s="216">
        <v>0.8</v>
      </c>
      <c r="BK10" s="216">
        <v>0.8</v>
      </c>
      <c r="BL10" s="216">
        <v>0.8</v>
      </c>
      <c r="BM10" s="216">
        <v>0.8</v>
      </c>
      <c r="BN10" s="216">
        <v>0.8</v>
      </c>
      <c r="BO10" s="216">
        <v>0.8</v>
      </c>
      <c r="BP10" s="216">
        <v>0.8</v>
      </c>
      <c r="BQ10" s="216">
        <v>0.8</v>
      </c>
      <c r="BR10" s="216">
        <v>0.8</v>
      </c>
      <c r="BS10" s="216">
        <v>0.8</v>
      </c>
      <c r="BT10" s="216">
        <v>0.8</v>
      </c>
      <c r="BU10" s="216">
        <v>0.8</v>
      </c>
      <c r="BV10" s="216">
        <v>0.8</v>
      </c>
      <c r="BW10" s="216">
        <v>0.8</v>
      </c>
      <c r="BX10" s="216">
        <v>0.8</v>
      </c>
      <c r="BY10" s="216">
        <v>0.8</v>
      </c>
      <c r="BZ10" s="216">
        <v>0.8</v>
      </c>
      <c r="CA10" s="216">
        <v>0.8</v>
      </c>
      <c r="CB10" s="216">
        <v>0.5</v>
      </c>
      <c r="CC10" s="216">
        <v>0.5</v>
      </c>
      <c r="CD10" s="216">
        <v>0.8</v>
      </c>
      <c r="CE10" s="216">
        <v>0.8</v>
      </c>
      <c r="CF10" s="216">
        <v>0.8</v>
      </c>
      <c r="CG10" s="216">
        <v>0.8</v>
      </c>
      <c r="CH10" s="216">
        <v>0.5</v>
      </c>
      <c r="CI10" s="216">
        <v>0</v>
      </c>
      <c r="CJ10" s="216">
        <v>0</v>
      </c>
      <c r="CK10" s="216">
        <v>0</v>
      </c>
      <c r="CL10" s="216">
        <v>0</v>
      </c>
      <c r="CM10" s="216">
        <v>0</v>
      </c>
    </row>
    <row r="11" spans="1:101" s="216" customFormat="1" ht="15" x14ac:dyDescent="0.5">
      <c r="A11" s="245" t="s">
        <v>186</v>
      </c>
      <c r="B11" s="216">
        <v>0</v>
      </c>
      <c r="C11" s="216">
        <v>0</v>
      </c>
      <c r="D11" s="216">
        <v>0.8</v>
      </c>
      <c r="E11" s="216">
        <v>0.8</v>
      </c>
      <c r="F11" s="216">
        <v>0.8</v>
      </c>
      <c r="G11" s="216">
        <v>0.8</v>
      </c>
      <c r="H11" s="216">
        <v>0.8</v>
      </c>
      <c r="I11" s="216">
        <v>0.8</v>
      </c>
      <c r="J11" s="216">
        <v>0.8</v>
      </c>
      <c r="K11" s="216">
        <v>0.8</v>
      </c>
      <c r="L11" s="216">
        <v>0.8</v>
      </c>
      <c r="M11" s="216">
        <v>0.8</v>
      </c>
      <c r="N11" s="216">
        <v>0.5</v>
      </c>
      <c r="O11" s="216">
        <v>0.8</v>
      </c>
      <c r="P11" s="216">
        <v>0.8</v>
      </c>
      <c r="Q11" s="216">
        <v>0.8</v>
      </c>
      <c r="R11" s="216">
        <v>0.5</v>
      </c>
      <c r="S11" s="216">
        <v>0.5</v>
      </c>
      <c r="T11" s="216">
        <v>0.5</v>
      </c>
      <c r="U11" s="216">
        <v>0.5</v>
      </c>
      <c r="V11" s="216">
        <v>0.5</v>
      </c>
      <c r="W11" s="216">
        <v>0.5</v>
      </c>
      <c r="X11" s="216">
        <v>0.5</v>
      </c>
      <c r="Y11" s="216">
        <v>0.5</v>
      </c>
      <c r="Z11" s="216">
        <v>0.1</v>
      </c>
      <c r="AA11" s="216">
        <v>0.1</v>
      </c>
      <c r="AB11" s="216">
        <v>0.1</v>
      </c>
      <c r="AC11" s="216">
        <v>0.1</v>
      </c>
      <c r="AD11" s="216">
        <v>0.1</v>
      </c>
      <c r="AE11" s="216">
        <v>0.1</v>
      </c>
      <c r="AF11" s="216">
        <v>0.1</v>
      </c>
      <c r="AG11" s="216">
        <v>0.5</v>
      </c>
      <c r="AH11" s="216">
        <v>0.5</v>
      </c>
      <c r="AI11" s="216">
        <v>0.5</v>
      </c>
      <c r="AJ11" s="216">
        <v>0.5</v>
      </c>
      <c r="AK11" s="216">
        <v>0.5</v>
      </c>
      <c r="AL11" s="216">
        <v>0.5</v>
      </c>
      <c r="AM11" s="216">
        <v>0.5</v>
      </c>
      <c r="AN11" s="216">
        <v>0.5</v>
      </c>
      <c r="AO11" s="216">
        <v>0.5</v>
      </c>
      <c r="AP11" s="216">
        <v>0.5</v>
      </c>
      <c r="AQ11" s="216">
        <v>0.5</v>
      </c>
      <c r="AR11" s="216">
        <v>0.5</v>
      </c>
      <c r="AS11" s="216">
        <v>0.8</v>
      </c>
      <c r="AT11" s="216">
        <v>0.5</v>
      </c>
      <c r="AU11" s="216">
        <v>0.5</v>
      </c>
      <c r="AV11" s="216">
        <v>0.8</v>
      </c>
      <c r="AW11" s="216">
        <v>0.5</v>
      </c>
      <c r="AX11" s="216">
        <v>0.8</v>
      </c>
      <c r="AY11" s="216">
        <v>0.8</v>
      </c>
      <c r="AZ11" s="216">
        <v>0.8</v>
      </c>
      <c r="BA11" s="216">
        <v>0.8</v>
      </c>
      <c r="BB11" s="216">
        <v>0.5</v>
      </c>
      <c r="BC11" s="216">
        <v>0.8</v>
      </c>
      <c r="BD11" s="216">
        <v>0.8</v>
      </c>
      <c r="BE11" s="216">
        <v>0.8</v>
      </c>
      <c r="BF11" s="216">
        <v>0.8</v>
      </c>
      <c r="BG11" s="216">
        <v>0.8</v>
      </c>
      <c r="BH11" s="216">
        <v>0.8</v>
      </c>
      <c r="BI11" s="216">
        <v>0.8</v>
      </c>
      <c r="BJ11" s="216">
        <v>0.8</v>
      </c>
      <c r="BK11" s="216">
        <v>0.8</v>
      </c>
      <c r="BL11" s="216">
        <v>0.8</v>
      </c>
      <c r="BM11" s="216">
        <v>0.8</v>
      </c>
      <c r="BN11" s="216">
        <v>0.8</v>
      </c>
      <c r="BO11" s="216">
        <v>0.8</v>
      </c>
      <c r="BP11" s="216">
        <v>0.8</v>
      </c>
      <c r="BQ11" s="216">
        <v>0.8</v>
      </c>
      <c r="BR11" s="216">
        <v>0.8</v>
      </c>
      <c r="BS11" s="216">
        <v>0.8</v>
      </c>
      <c r="BT11" s="216">
        <v>0.8</v>
      </c>
      <c r="BU11" s="216">
        <v>0.8</v>
      </c>
      <c r="BV11" s="216">
        <v>0.8</v>
      </c>
      <c r="BW11" s="216">
        <v>0.8</v>
      </c>
      <c r="BX11" s="216">
        <v>0.8</v>
      </c>
      <c r="BY11" s="216">
        <v>0.8</v>
      </c>
      <c r="BZ11" s="216">
        <v>0.8</v>
      </c>
      <c r="CA11" s="216">
        <v>0.8</v>
      </c>
      <c r="CB11" s="216">
        <v>0.5</v>
      </c>
      <c r="CC11" s="216">
        <v>0.5</v>
      </c>
      <c r="CD11" s="216">
        <v>0.8</v>
      </c>
      <c r="CE11" s="216">
        <v>0.8</v>
      </c>
      <c r="CF11" s="216">
        <v>0.8</v>
      </c>
      <c r="CG11" s="216">
        <v>0.8</v>
      </c>
      <c r="CH11" s="216">
        <v>0.5</v>
      </c>
      <c r="CI11" s="216">
        <v>0</v>
      </c>
      <c r="CJ11" s="216">
        <v>0</v>
      </c>
      <c r="CK11" s="216">
        <v>0</v>
      </c>
      <c r="CL11" s="216">
        <v>0</v>
      </c>
      <c r="CM11" s="216">
        <v>0</v>
      </c>
    </row>
    <row r="12" spans="1:101" s="216" customFormat="1" ht="15" x14ac:dyDescent="0.5">
      <c r="A12" s="245" t="s">
        <v>187</v>
      </c>
      <c r="B12" s="216">
        <v>0</v>
      </c>
      <c r="C12" s="216">
        <v>0</v>
      </c>
      <c r="D12" s="216">
        <v>0.8</v>
      </c>
      <c r="E12" s="216">
        <v>0.8</v>
      </c>
      <c r="F12" s="216">
        <v>0.8</v>
      </c>
      <c r="G12" s="216">
        <v>0.8</v>
      </c>
      <c r="H12" s="216">
        <v>0.8</v>
      </c>
      <c r="I12" s="216">
        <v>0.8</v>
      </c>
      <c r="J12" s="216">
        <v>0.8</v>
      </c>
      <c r="K12" s="216">
        <v>0.8</v>
      </c>
      <c r="L12" s="216">
        <v>0.8</v>
      </c>
      <c r="M12" s="216">
        <v>0.8</v>
      </c>
      <c r="N12" s="216">
        <v>0.5</v>
      </c>
      <c r="O12" s="216">
        <v>0.8</v>
      </c>
      <c r="P12" s="216">
        <v>0.8</v>
      </c>
      <c r="Q12" s="216">
        <v>0.8</v>
      </c>
      <c r="R12" s="216">
        <v>0.5</v>
      </c>
      <c r="S12" s="216">
        <v>0.5</v>
      </c>
      <c r="T12" s="216">
        <v>0.5</v>
      </c>
      <c r="U12" s="216">
        <v>0.5</v>
      </c>
      <c r="V12" s="216">
        <v>0.5</v>
      </c>
      <c r="W12" s="216">
        <v>0.5</v>
      </c>
      <c r="X12" s="216">
        <v>0.5</v>
      </c>
      <c r="Y12" s="216">
        <v>0.5</v>
      </c>
      <c r="Z12" s="216">
        <v>0.1</v>
      </c>
      <c r="AA12" s="216">
        <v>0.1</v>
      </c>
      <c r="AB12" s="216">
        <v>0.1</v>
      </c>
      <c r="AC12" s="216">
        <v>0.1</v>
      </c>
      <c r="AD12" s="216">
        <v>0.1</v>
      </c>
      <c r="AE12" s="216">
        <v>0.1</v>
      </c>
      <c r="AF12" s="216">
        <v>0.1</v>
      </c>
      <c r="AG12" s="216">
        <v>0.5</v>
      </c>
      <c r="AH12" s="216">
        <v>0.5</v>
      </c>
      <c r="AI12" s="216">
        <v>0.5</v>
      </c>
      <c r="AJ12" s="216">
        <v>0.5</v>
      </c>
      <c r="AK12" s="216">
        <v>0.5</v>
      </c>
      <c r="AL12" s="216">
        <v>0.5</v>
      </c>
      <c r="AM12" s="216">
        <v>0.5</v>
      </c>
      <c r="AN12" s="216">
        <v>0.5</v>
      </c>
      <c r="AO12" s="216">
        <v>0.5</v>
      </c>
      <c r="AP12" s="216">
        <v>0.5</v>
      </c>
      <c r="AQ12" s="216">
        <v>0.5</v>
      </c>
      <c r="AR12" s="216">
        <v>0.5</v>
      </c>
      <c r="AS12" s="216">
        <v>0.8</v>
      </c>
      <c r="AT12" s="216">
        <v>0.5</v>
      </c>
      <c r="AU12" s="216">
        <v>0.5</v>
      </c>
      <c r="AV12" s="216">
        <v>0.8</v>
      </c>
      <c r="AW12" s="216">
        <v>0.5</v>
      </c>
      <c r="AX12" s="216">
        <v>0.8</v>
      </c>
      <c r="AY12" s="216">
        <v>0.8</v>
      </c>
      <c r="AZ12" s="216">
        <v>0.8</v>
      </c>
      <c r="BA12" s="216">
        <v>0.8</v>
      </c>
      <c r="BB12" s="216">
        <v>0.5</v>
      </c>
      <c r="BC12" s="216">
        <v>0.8</v>
      </c>
      <c r="BD12" s="216">
        <v>0.8</v>
      </c>
      <c r="BE12" s="216">
        <v>0.8</v>
      </c>
      <c r="BF12" s="216">
        <v>0.8</v>
      </c>
      <c r="BG12" s="216">
        <v>0.8</v>
      </c>
      <c r="BH12" s="216">
        <v>0.8</v>
      </c>
      <c r="BI12" s="216">
        <v>0.8</v>
      </c>
      <c r="BJ12" s="216">
        <v>0.8</v>
      </c>
      <c r="BK12" s="216">
        <v>0.8</v>
      </c>
      <c r="BL12" s="216">
        <v>0.8</v>
      </c>
      <c r="BM12" s="216">
        <v>0.8</v>
      </c>
      <c r="BN12" s="216">
        <v>0.8</v>
      </c>
      <c r="BO12" s="216">
        <v>0.8</v>
      </c>
      <c r="BP12" s="216">
        <v>0.8</v>
      </c>
      <c r="BQ12" s="216">
        <v>0.8</v>
      </c>
      <c r="BR12" s="216">
        <v>0.8</v>
      </c>
      <c r="BS12" s="216">
        <v>0.8</v>
      </c>
      <c r="BT12" s="216">
        <v>0.8</v>
      </c>
      <c r="BU12" s="216">
        <v>0.8</v>
      </c>
      <c r="BV12" s="216">
        <v>0.8</v>
      </c>
      <c r="BW12" s="216">
        <v>0.8</v>
      </c>
      <c r="BX12" s="216">
        <v>0.8</v>
      </c>
      <c r="BY12" s="216">
        <v>0.8</v>
      </c>
      <c r="BZ12" s="216">
        <v>0.8</v>
      </c>
      <c r="CA12" s="216">
        <v>0.8</v>
      </c>
      <c r="CB12" s="216">
        <v>0.5</v>
      </c>
      <c r="CC12" s="216">
        <v>0.5</v>
      </c>
      <c r="CD12" s="216">
        <v>0.8</v>
      </c>
      <c r="CE12" s="216">
        <v>0.8</v>
      </c>
      <c r="CF12" s="216">
        <v>0.8</v>
      </c>
      <c r="CG12" s="216">
        <v>0.8</v>
      </c>
      <c r="CH12" s="216">
        <v>0.5</v>
      </c>
      <c r="CI12" s="216">
        <v>0</v>
      </c>
      <c r="CJ12" s="216">
        <v>0</v>
      </c>
      <c r="CK12" s="216">
        <v>0</v>
      </c>
      <c r="CL12" s="216">
        <v>0</v>
      </c>
      <c r="CM12" s="216">
        <v>0</v>
      </c>
    </row>
    <row r="13" spans="1:101" s="216" customFormat="1" ht="15" x14ac:dyDescent="0.5">
      <c r="A13" s="245" t="s">
        <v>188</v>
      </c>
      <c r="B13" s="216">
        <v>0</v>
      </c>
      <c r="C13" s="216">
        <v>0</v>
      </c>
      <c r="D13" s="216">
        <v>0.8</v>
      </c>
      <c r="E13" s="216">
        <v>0.8</v>
      </c>
      <c r="F13" s="216">
        <v>0.8</v>
      </c>
      <c r="G13" s="216">
        <v>0.8</v>
      </c>
      <c r="H13" s="216">
        <v>0.8</v>
      </c>
      <c r="I13" s="216">
        <v>0.8</v>
      </c>
      <c r="J13" s="216">
        <v>0.8</v>
      </c>
      <c r="K13" s="216">
        <v>0.8</v>
      </c>
      <c r="L13" s="216">
        <v>0.8</v>
      </c>
      <c r="M13" s="216">
        <v>0.8</v>
      </c>
      <c r="N13" s="216">
        <v>0.5</v>
      </c>
      <c r="O13" s="216">
        <v>0.8</v>
      </c>
      <c r="P13" s="216">
        <v>0.8</v>
      </c>
      <c r="Q13" s="216">
        <v>0.8</v>
      </c>
      <c r="R13" s="216">
        <v>0.5</v>
      </c>
      <c r="S13" s="216">
        <v>0.5</v>
      </c>
      <c r="T13" s="216">
        <v>0.5</v>
      </c>
      <c r="U13" s="216">
        <v>0.5</v>
      </c>
      <c r="V13" s="216">
        <v>0.5</v>
      </c>
      <c r="W13" s="216">
        <v>0.5</v>
      </c>
      <c r="X13" s="216">
        <v>0.5</v>
      </c>
      <c r="Y13" s="216">
        <v>0.5</v>
      </c>
      <c r="Z13" s="216">
        <v>0.1</v>
      </c>
      <c r="AA13" s="216">
        <v>0.1</v>
      </c>
      <c r="AB13" s="216">
        <v>0.1</v>
      </c>
      <c r="AC13" s="216">
        <v>0.1</v>
      </c>
      <c r="AD13" s="216">
        <v>0.1</v>
      </c>
      <c r="AE13" s="216">
        <v>0.1</v>
      </c>
      <c r="AF13" s="216">
        <v>0.1</v>
      </c>
      <c r="AG13" s="216">
        <v>0.5</v>
      </c>
      <c r="AH13" s="216">
        <v>0.5</v>
      </c>
      <c r="AI13" s="216">
        <v>0.5</v>
      </c>
      <c r="AJ13" s="216">
        <v>0.5</v>
      </c>
      <c r="AK13" s="216">
        <v>0.5</v>
      </c>
      <c r="AL13" s="216">
        <v>0.5</v>
      </c>
      <c r="AM13" s="216">
        <v>0.5</v>
      </c>
      <c r="AN13" s="216">
        <v>0.5</v>
      </c>
      <c r="AO13" s="216">
        <v>0.5</v>
      </c>
      <c r="AP13" s="216">
        <v>0.5</v>
      </c>
      <c r="AQ13" s="216">
        <v>0.5</v>
      </c>
      <c r="AR13" s="216">
        <v>0.5</v>
      </c>
      <c r="AS13" s="216">
        <v>0.8</v>
      </c>
      <c r="AT13" s="216">
        <v>0.5</v>
      </c>
      <c r="AU13" s="216">
        <v>0.5</v>
      </c>
      <c r="AV13" s="216">
        <v>0.8</v>
      </c>
      <c r="AW13" s="216">
        <v>0.5</v>
      </c>
      <c r="AX13" s="216">
        <v>0.8</v>
      </c>
      <c r="AY13" s="216">
        <v>0.8</v>
      </c>
      <c r="AZ13" s="216">
        <v>0.8</v>
      </c>
      <c r="BA13" s="216">
        <v>0.8</v>
      </c>
      <c r="BB13" s="216">
        <v>0.5</v>
      </c>
      <c r="BC13" s="216">
        <v>0.8</v>
      </c>
      <c r="BD13" s="216">
        <v>0.8</v>
      </c>
      <c r="BE13" s="216">
        <v>0.8</v>
      </c>
      <c r="BF13" s="216">
        <v>0.8</v>
      </c>
      <c r="BG13" s="216">
        <v>0.8</v>
      </c>
      <c r="BH13" s="216">
        <v>0.8</v>
      </c>
      <c r="BI13" s="216">
        <v>0.8</v>
      </c>
      <c r="BJ13" s="216">
        <v>0.8</v>
      </c>
      <c r="BK13" s="216">
        <v>0.8</v>
      </c>
      <c r="BL13" s="216">
        <v>0.8</v>
      </c>
      <c r="BM13" s="216">
        <v>0.8</v>
      </c>
      <c r="BN13" s="216">
        <v>0.8</v>
      </c>
      <c r="BO13" s="216">
        <v>0.8</v>
      </c>
      <c r="BP13" s="216">
        <v>0.8</v>
      </c>
      <c r="BQ13" s="216">
        <v>0.8</v>
      </c>
      <c r="BR13" s="216">
        <v>0.8</v>
      </c>
      <c r="BS13" s="216">
        <v>0.8</v>
      </c>
      <c r="BT13" s="216">
        <v>0.8</v>
      </c>
      <c r="BU13" s="216">
        <v>0.8</v>
      </c>
      <c r="BV13" s="216">
        <v>0.8</v>
      </c>
      <c r="BW13" s="216">
        <v>0.8</v>
      </c>
      <c r="BX13" s="216">
        <v>0.8</v>
      </c>
      <c r="BY13" s="216">
        <v>0.8</v>
      </c>
      <c r="BZ13" s="216">
        <v>0.8</v>
      </c>
      <c r="CA13" s="216">
        <v>0.8</v>
      </c>
      <c r="CB13" s="216">
        <v>0.5</v>
      </c>
      <c r="CC13" s="216">
        <v>0.5</v>
      </c>
      <c r="CD13" s="216">
        <v>0.8</v>
      </c>
      <c r="CE13" s="216">
        <v>0.8</v>
      </c>
      <c r="CF13" s="216">
        <v>0.8</v>
      </c>
      <c r="CG13" s="216">
        <v>0.8</v>
      </c>
      <c r="CH13" s="216">
        <v>0.5</v>
      </c>
      <c r="CI13" s="216">
        <v>0</v>
      </c>
      <c r="CJ13" s="216">
        <v>0</v>
      </c>
      <c r="CK13" s="216">
        <v>0</v>
      </c>
      <c r="CL13" s="216">
        <v>0</v>
      </c>
      <c r="CM13" s="216">
        <v>0</v>
      </c>
    </row>
    <row r="14" spans="1:101" s="216" customFormat="1" ht="15" x14ac:dyDescent="0.5">
      <c r="A14" s="245" t="s">
        <v>189</v>
      </c>
      <c r="B14" s="216">
        <v>0</v>
      </c>
      <c r="C14" s="216">
        <v>0</v>
      </c>
      <c r="D14" s="216">
        <v>0.8</v>
      </c>
      <c r="E14" s="216">
        <v>0.8</v>
      </c>
      <c r="F14" s="216">
        <v>0.8</v>
      </c>
      <c r="G14" s="216">
        <v>0.8</v>
      </c>
      <c r="H14" s="216">
        <v>0.8</v>
      </c>
      <c r="I14" s="216">
        <v>0.8</v>
      </c>
      <c r="J14" s="216">
        <v>0.8</v>
      </c>
      <c r="K14" s="216">
        <v>0.8</v>
      </c>
      <c r="L14" s="216">
        <v>0.8</v>
      </c>
      <c r="M14" s="216">
        <v>0.8</v>
      </c>
      <c r="N14" s="216">
        <v>0.5</v>
      </c>
      <c r="O14" s="216">
        <v>0.8</v>
      </c>
      <c r="P14" s="216">
        <v>0.8</v>
      </c>
      <c r="Q14" s="216">
        <v>0.8</v>
      </c>
      <c r="R14" s="216">
        <v>0.5</v>
      </c>
      <c r="S14" s="216">
        <v>0.5</v>
      </c>
      <c r="T14" s="216">
        <v>0.5</v>
      </c>
      <c r="U14" s="216">
        <v>0.5</v>
      </c>
      <c r="V14" s="216">
        <v>0.5</v>
      </c>
      <c r="W14" s="216">
        <v>0.5</v>
      </c>
      <c r="X14" s="216">
        <v>0.5</v>
      </c>
      <c r="Y14" s="216">
        <v>0.5</v>
      </c>
      <c r="Z14" s="216">
        <v>0.1</v>
      </c>
      <c r="AA14" s="216">
        <v>0.1</v>
      </c>
      <c r="AB14" s="216">
        <v>0.1</v>
      </c>
      <c r="AC14" s="216">
        <v>0.1</v>
      </c>
      <c r="AD14" s="216">
        <v>0.1</v>
      </c>
      <c r="AE14" s="216">
        <v>0.1</v>
      </c>
      <c r="AF14" s="216">
        <v>0.1</v>
      </c>
      <c r="AG14" s="216">
        <v>0.5</v>
      </c>
      <c r="AH14" s="216">
        <v>0.5</v>
      </c>
      <c r="AI14" s="216">
        <v>0.5</v>
      </c>
      <c r="AJ14" s="216">
        <v>0.5</v>
      </c>
      <c r="AK14" s="216">
        <v>0.5</v>
      </c>
      <c r="AL14" s="216">
        <v>0.5</v>
      </c>
      <c r="AM14" s="216">
        <v>0.5</v>
      </c>
      <c r="AN14" s="216">
        <v>0.5</v>
      </c>
      <c r="AO14" s="216">
        <v>0.5</v>
      </c>
      <c r="AP14" s="216">
        <v>0.5</v>
      </c>
      <c r="AQ14" s="216">
        <v>0.5</v>
      </c>
      <c r="AR14" s="216">
        <v>0.5</v>
      </c>
      <c r="AS14" s="216">
        <v>0.8</v>
      </c>
      <c r="AT14" s="216">
        <v>0.5</v>
      </c>
      <c r="AU14" s="216">
        <v>0.5</v>
      </c>
      <c r="AV14" s="216">
        <v>0.8</v>
      </c>
      <c r="AW14" s="216">
        <v>0.5</v>
      </c>
      <c r="AX14" s="216">
        <v>0.8</v>
      </c>
      <c r="AY14" s="216">
        <v>0.8</v>
      </c>
      <c r="AZ14" s="216">
        <v>0.8</v>
      </c>
      <c r="BA14" s="216">
        <v>0.8</v>
      </c>
      <c r="BB14" s="216">
        <v>0.5</v>
      </c>
      <c r="BC14" s="216">
        <v>0.8</v>
      </c>
      <c r="BD14" s="216">
        <v>0.8</v>
      </c>
      <c r="BE14" s="216">
        <v>0.8</v>
      </c>
      <c r="BF14" s="216">
        <v>0.8</v>
      </c>
      <c r="BG14" s="216">
        <v>0.8</v>
      </c>
      <c r="BH14" s="216">
        <v>0.8</v>
      </c>
      <c r="BI14" s="216">
        <v>0.8</v>
      </c>
      <c r="BJ14" s="216">
        <v>0.8</v>
      </c>
      <c r="BK14" s="216">
        <v>0.8</v>
      </c>
      <c r="BL14" s="216">
        <v>0.8</v>
      </c>
      <c r="BM14" s="216">
        <v>0.8</v>
      </c>
      <c r="BN14" s="216">
        <v>0.8</v>
      </c>
      <c r="BO14" s="216">
        <v>0.8</v>
      </c>
      <c r="BP14" s="216">
        <v>0.8</v>
      </c>
      <c r="BQ14" s="216">
        <v>0.8</v>
      </c>
      <c r="BR14" s="216">
        <v>0.8</v>
      </c>
      <c r="BS14" s="216">
        <v>0.8</v>
      </c>
      <c r="BT14" s="216">
        <v>0.8</v>
      </c>
      <c r="BU14" s="216">
        <v>0.8</v>
      </c>
      <c r="BV14" s="216">
        <v>0.8</v>
      </c>
      <c r="BW14" s="216">
        <v>0.8</v>
      </c>
      <c r="BX14" s="216">
        <v>0.8</v>
      </c>
      <c r="BY14" s="216">
        <v>0.8</v>
      </c>
      <c r="BZ14" s="216">
        <v>0.8</v>
      </c>
      <c r="CA14" s="216">
        <v>0.8</v>
      </c>
      <c r="CB14" s="216">
        <v>0.5</v>
      </c>
      <c r="CC14" s="216">
        <v>0.5</v>
      </c>
      <c r="CD14" s="216">
        <v>0.8</v>
      </c>
      <c r="CE14" s="216">
        <v>0.8</v>
      </c>
      <c r="CF14" s="216">
        <v>0.8</v>
      </c>
      <c r="CG14" s="216">
        <v>0.8</v>
      </c>
      <c r="CH14" s="216">
        <v>0.5</v>
      </c>
      <c r="CI14" s="216">
        <v>0</v>
      </c>
      <c r="CJ14" s="216">
        <v>0</v>
      </c>
      <c r="CK14" s="216">
        <v>0</v>
      </c>
      <c r="CL14" s="216">
        <v>0</v>
      </c>
      <c r="CM14" s="216">
        <v>0</v>
      </c>
    </row>
    <row r="15" spans="1:101" s="216" customFormat="1" ht="15" x14ac:dyDescent="0.5">
      <c r="A15" s="246" t="s">
        <v>273</v>
      </c>
      <c r="B15" s="216">
        <v>0</v>
      </c>
      <c r="C15" s="216">
        <v>0</v>
      </c>
      <c r="D15" s="216">
        <v>0.8</v>
      </c>
      <c r="E15" s="216">
        <v>0.8</v>
      </c>
      <c r="F15" s="216">
        <v>0.8</v>
      </c>
      <c r="G15" s="216">
        <v>0.8</v>
      </c>
      <c r="H15" s="216">
        <v>0.8</v>
      </c>
      <c r="I15" s="216">
        <v>0.8</v>
      </c>
      <c r="J15" s="216">
        <v>0.8</v>
      </c>
      <c r="K15" s="216">
        <v>0.8</v>
      </c>
      <c r="L15" s="216">
        <v>0.8</v>
      </c>
      <c r="M15" s="216">
        <v>0.8</v>
      </c>
      <c r="N15" s="216">
        <v>0.5</v>
      </c>
      <c r="O15" s="216">
        <v>0.8</v>
      </c>
      <c r="P15" s="216">
        <v>0.8</v>
      </c>
      <c r="Q15" s="216">
        <v>0.8</v>
      </c>
      <c r="R15" s="216">
        <v>0.5</v>
      </c>
      <c r="S15" s="216">
        <v>0.5</v>
      </c>
      <c r="T15" s="216">
        <v>0.5</v>
      </c>
      <c r="U15" s="216">
        <v>0.5</v>
      </c>
      <c r="V15" s="216">
        <v>0.5</v>
      </c>
      <c r="W15" s="216">
        <v>0.5</v>
      </c>
      <c r="X15" s="216">
        <v>0.5</v>
      </c>
      <c r="Y15" s="216">
        <v>0.5</v>
      </c>
      <c r="Z15" s="216">
        <v>0.1</v>
      </c>
      <c r="AA15" s="216">
        <v>0.1</v>
      </c>
      <c r="AB15" s="216">
        <v>0.1</v>
      </c>
      <c r="AC15" s="216">
        <v>0.1</v>
      </c>
      <c r="AD15" s="216">
        <v>0.1</v>
      </c>
      <c r="AE15" s="216">
        <v>0.1</v>
      </c>
      <c r="AF15" s="216">
        <v>0.1</v>
      </c>
      <c r="AG15" s="216">
        <v>0.5</v>
      </c>
      <c r="AH15" s="216">
        <v>0.5</v>
      </c>
      <c r="AI15" s="216">
        <v>0.5</v>
      </c>
      <c r="AJ15" s="216">
        <v>0.5</v>
      </c>
      <c r="AK15" s="216">
        <v>0.5</v>
      </c>
      <c r="AL15" s="216">
        <v>0.5</v>
      </c>
      <c r="AM15" s="216">
        <v>0.5</v>
      </c>
      <c r="AN15" s="216">
        <v>0.5</v>
      </c>
      <c r="AO15" s="216">
        <v>0.5</v>
      </c>
      <c r="AP15" s="216">
        <v>0.5</v>
      </c>
      <c r="AQ15" s="216">
        <v>0.5</v>
      </c>
      <c r="AR15" s="216">
        <v>0.5</v>
      </c>
      <c r="AS15" s="216">
        <v>0.8</v>
      </c>
      <c r="AT15" s="216">
        <v>0.5</v>
      </c>
      <c r="AU15" s="216">
        <v>0.5</v>
      </c>
      <c r="AV15" s="216">
        <v>0.8</v>
      </c>
      <c r="AW15" s="216">
        <v>0.5</v>
      </c>
      <c r="AX15" s="216">
        <v>0.8</v>
      </c>
      <c r="AY15" s="216">
        <v>0.8</v>
      </c>
      <c r="AZ15" s="216">
        <v>0.8</v>
      </c>
      <c r="BA15" s="216">
        <v>0.8</v>
      </c>
      <c r="BB15" s="216">
        <v>0.5</v>
      </c>
      <c r="BC15" s="216">
        <v>0.8</v>
      </c>
      <c r="BD15" s="216">
        <v>0.8</v>
      </c>
      <c r="BE15" s="216">
        <v>0.8</v>
      </c>
      <c r="BF15" s="216">
        <v>0.8</v>
      </c>
      <c r="BG15" s="216">
        <v>0.8</v>
      </c>
      <c r="BH15" s="216">
        <v>0.8</v>
      </c>
      <c r="BI15" s="216">
        <v>0.8</v>
      </c>
      <c r="BJ15" s="216">
        <v>0.8</v>
      </c>
      <c r="BK15" s="216">
        <v>0.8</v>
      </c>
      <c r="BL15" s="216">
        <v>0.8</v>
      </c>
      <c r="BM15" s="216">
        <v>0.8</v>
      </c>
      <c r="BN15" s="216">
        <v>0.8</v>
      </c>
      <c r="BO15" s="216">
        <v>0.8</v>
      </c>
      <c r="BP15" s="216">
        <v>0.8</v>
      </c>
      <c r="BQ15" s="216">
        <v>0.8</v>
      </c>
      <c r="BR15" s="216">
        <v>0.8</v>
      </c>
      <c r="BS15" s="216">
        <v>0.8</v>
      </c>
      <c r="BT15" s="216">
        <v>0.8</v>
      </c>
      <c r="BU15" s="216">
        <v>0.8</v>
      </c>
      <c r="BV15" s="216">
        <v>0.8</v>
      </c>
      <c r="BW15" s="216">
        <v>0.8</v>
      </c>
      <c r="BX15" s="216">
        <v>0.8</v>
      </c>
      <c r="BY15" s="216">
        <v>0.8</v>
      </c>
      <c r="BZ15" s="216">
        <v>0.8</v>
      </c>
      <c r="CA15" s="216">
        <v>0.8</v>
      </c>
      <c r="CB15" s="216">
        <v>0.5</v>
      </c>
      <c r="CC15" s="216">
        <v>0.5</v>
      </c>
      <c r="CD15" s="216">
        <v>0.8</v>
      </c>
      <c r="CE15" s="216">
        <v>0.8</v>
      </c>
      <c r="CF15" s="216">
        <v>0.8</v>
      </c>
      <c r="CG15" s="216">
        <v>0.8</v>
      </c>
      <c r="CH15" s="216">
        <v>0.5</v>
      </c>
      <c r="CI15" s="216">
        <v>0</v>
      </c>
      <c r="CJ15" s="216">
        <v>0</v>
      </c>
      <c r="CK15" s="216">
        <v>0</v>
      </c>
      <c r="CL15" s="216">
        <v>0</v>
      </c>
      <c r="CM15" s="216">
        <v>0</v>
      </c>
    </row>
    <row r="16" spans="1:101" s="216" customFormat="1" ht="15" x14ac:dyDescent="0.5">
      <c r="A16" s="245" t="s">
        <v>190</v>
      </c>
      <c r="B16" s="216">
        <v>0</v>
      </c>
      <c r="C16" s="216">
        <v>0</v>
      </c>
      <c r="D16" s="216">
        <v>0.8</v>
      </c>
      <c r="E16" s="216">
        <v>0.8</v>
      </c>
      <c r="F16" s="216">
        <v>0.8</v>
      </c>
      <c r="G16" s="216">
        <v>0.8</v>
      </c>
      <c r="H16" s="216">
        <v>0.8</v>
      </c>
      <c r="I16" s="216">
        <v>0.8</v>
      </c>
      <c r="J16" s="216">
        <v>0.8</v>
      </c>
      <c r="K16" s="216">
        <v>0.8</v>
      </c>
      <c r="L16" s="216">
        <v>0.8</v>
      </c>
      <c r="M16" s="216">
        <v>0.8</v>
      </c>
      <c r="N16" s="216">
        <v>0.5</v>
      </c>
      <c r="O16" s="216">
        <v>0.8</v>
      </c>
      <c r="P16" s="216">
        <v>0.8</v>
      </c>
      <c r="Q16" s="216">
        <v>0.8</v>
      </c>
      <c r="R16" s="216">
        <v>0.5</v>
      </c>
      <c r="S16" s="216">
        <v>0.5</v>
      </c>
      <c r="T16" s="216">
        <v>0.5</v>
      </c>
      <c r="U16" s="216">
        <v>0.5</v>
      </c>
      <c r="V16" s="216">
        <v>0.5</v>
      </c>
      <c r="W16" s="216">
        <v>0.5</v>
      </c>
      <c r="X16" s="216">
        <v>0.5</v>
      </c>
      <c r="Y16" s="216">
        <v>0.5</v>
      </c>
      <c r="Z16" s="216">
        <v>0.1</v>
      </c>
      <c r="AA16" s="216">
        <v>0.1</v>
      </c>
      <c r="AB16" s="216">
        <v>0.1</v>
      </c>
      <c r="AC16" s="216">
        <v>0.1</v>
      </c>
      <c r="AD16" s="216">
        <v>0.1</v>
      </c>
      <c r="AE16" s="216">
        <v>0.1</v>
      </c>
      <c r="AF16" s="216">
        <v>0.1</v>
      </c>
      <c r="AG16" s="216">
        <v>0.5</v>
      </c>
      <c r="AH16" s="216">
        <v>0.5</v>
      </c>
      <c r="AI16" s="216">
        <v>0.5</v>
      </c>
      <c r="AJ16" s="216">
        <v>0.5</v>
      </c>
      <c r="AK16" s="216">
        <v>0.5</v>
      </c>
      <c r="AL16" s="216">
        <v>0.5</v>
      </c>
      <c r="AM16" s="216">
        <v>0.5</v>
      </c>
      <c r="AN16" s="216">
        <v>0.5</v>
      </c>
      <c r="AO16" s="216">
        <v>0.5</v>
      </c>
      <c r="AP16" s="216">
        <v>0.5</v>
      </c>
      <c r="AQ16" s="216">
        <v>0.5</v>
      </c>
      <c r="AR16" s="216">
        <v>0.5</v>
      </c>
      <c r="AS16" s="216">
        <v>0.8</v>
      </c>
      <c r="AT16" s="216">
        <v>0.5</v>
      </c>
      <c r="AU16" s="216">
        <v>0.5</v>
      </c>
      <c r="AV16" s="216">
        <v>0.8</v>
      </c>
      <c r="AW16" s="216">
        <v>0.5</v>
      </c>
      <c r="AX16" s="216">
        <v>0.8</v>
      </c>
      <c r="AY16" s="216">
        <v>0.8</v>
      </c>
      <c r="AZ16" s="216">
        <v>0.8</v>
      </c>
      <c r="BA16" s="216">
        <v>0.8</v>
      </c>
      <c r="BB16" s="216">
        <v>0.5</v>
      </c>
      <c r="BC16" s="216">
        <v>0.8</v>
      </c>
      <c r="BD16" s="216">
        <v>0.8</v>
      </c>
      <c r="BE16" s="216">
        <v>0.8</v>
      </c>
      <c r="BF16" s="216">
        <v>0.8</v>
      </c>
      <c r="BG16" s="216">
        <v>0.8</v>
      </c>
      <c r="BH16" s="216">
        <v>0.8</v>
      </c>
      <c r="BI16" s="216">
        <v>0.8</v>
      </c>
      <c r="BJ16" s="216">
        <v>0.8</v>
      </c>
      <c r="BK16" s="216">
        <v>0.8</v>
      </c>
      <c r="BL16" s="216">
        <v>0.8</v>
      </c>
      <c r="BM16" s="216">
        <v>0.8</v>
      </c>
      <c r="BN16" s="216">
        <v>0.8</v>
      </c>
      <c r="BO16" s="216">
        <v>0.8</v>
      </c>
      <c r="BP16" s="216">
        <v>0.8</v>
      </c>
      <c r="BQ16" s="216">
        <v>0.8</v>
      </c>
      <c r="BR16" s="216">
        <v>0.8</v>
      </c>
      <c r="BS16" s="216">
        <v>0.8</v>
      </c>
      <c r="BT16" s="216">
        <v>0.8</v>
      </c>
      <c r="BU16" s="216">
        <v>0.8</v>
      </c>
      <c r="BV16" s="216">
        <v>0.8</v>
      </c>
      <c r="BW16" s="216">
        <v>0.8</v>
      </c>
      <c r="BX16" s="216">
        <v>0.8</v>
      </c>
      <c r="BY16" s="216">
        <v>0.8</v>
      </c>
      <c r="BZ16" s="216">
        <v>0.8</v>
      </c>
      <c r="CA16" s="216">
        <v>0.8</v>
      </c>
      <c r="CB16" s="216">
        <v>0.5</v>
      </c>
      <c r="CC16" s="216">
        <v>0.5</v>
      </c>
      <c r="CD16" s="216">
        <v>0.8</v>
      </c>
      <c r="CE16" s="216">
        <v>0.8</v>
      </c>
      <c r="CF16" s="216">
        <v>0.8</v>
      </c>
      <c r="CG16" s="216">
        <v>0.8</v>
      </c>
      <c r="CH16" s="216">
        <v>0.5</v>
      </c>
      <c r="CI16" s="216">
        <v>0</v>
      </c>
      <c r="CJ16" s="216">
        <v>0</v>
      </c>
      <c r="CK16" s="216">
        <v>0</v>
      </c>
      <c r="CL16" s="216">
        <v>0</v>
      </c>
      <c r="CM16" s="216">
        <v>0</v>
      </c>
    </row>
    <row r="17" spans="1:91" s="216" customFormat="1" ht="15" x14ac:dyDescent="0.5">
      <c r="A17" s="245" t="s">
        <v>191</v>
      </c>
      <c r="B17" s="216">
        <v>0</v>
      </c>
      <c r="C17" s="216">
        <v>0</v>
      </c>
      <c r="D17" s="216">
        <v>0.8</v>
      </c>
      <c r="E17" s="216">
        <v>0.8</v>
      </c>
      <c r="F17" s="216">
        <v>0.8</v>
      </c>
      <c r="G17" s="216">
        <v>0.8</v>
      </c>
      <c r="H17" s="216">
        <v>0.8</v>
      </c>
      <c r="I17" s="216">
        <v>0.8</v>
      </c>
      <c r="J17" s="216">
        <v>0.8</v>
      </c>
      <c r="K17" s="216">
        <v>0.8</v>
      </c>
      <c r="L17" s="216">
        <v>0.8</v>
      </c>
      <c r="M17" s="216">
        <v>0.8</v>
      </c>
      <c r="N17" s="216">
        <v>0.5</v>
      </c>
      <c r="O17" s="216">
        <v>0.8</v>
      </c>
      <c r="P17" s="216">
        <v>0.8</v>
      </c>
      <c r="Q17" s="216">
        <v>0.8</v>
      </c>
      <c r="R17" s="216">
        <v>0.5</v>
      </c>
      <c r="S17" s="216">
        <v>0.5</v>
      </c>
      <c r="T17" s="216">
        <v>0.5</v>
      </c>
      <c r="U17" s="216">
        <v>0.5</v>
      </c>
      <c r="V17" s="216">
        <v>0.5</v>
      </c>
      <c r="W17" s="216">
        <v>0.5</v>
      </c>
      <c r="X17" s="216">
        <v>0.5</v>
      </c>
      <c r="Y17" s="216">
        <v>0.5</v>
      </c>
      <c r="Z17" s="216">
        <v>0.1</v>
      </c>
      <c r="AA17" s="216">
        <v>0.1</v>
      </c>
      <c r="AB17" s="216">
        <v>0.1</v>
      </c>
      <c r="AC17" s="216">
        <v>0.1</v>
      </c>
      <c r="AD17" s="216">
        <v>0.1</v>
      </c>
      <c r="AE17" s="216">
        <v>0.1</v>
      </c>
      <c r="AF17" s="216">
        <v>0.1</v>
      </c>
      <c r="AG17" s="216">
        <v>0.5</v>
      </c>
      <c r="AH17" s="216">
        <v>0.5</v>
      </c>
      <c r="AI17" s="216">
        <v>0.5</v>
      </c>
      <c r="AJ17" s="216">
        <v>0.5</v>
      </c>
      <c r="AK17" s="216">
        <v>0.5</v>
      </c>
      <c r="AL17" s="216">
        <v>0.5</v>
      </c>
      <c r="AM17" s="216">
        <v>0.5</v>
      </c>
      <c r="AN17" s="216">
        <v>0.5</v>
      </c>
      <c r="AO17" s="216">
        <v>0.5</v>
      </c>
      <c r="AP17" s="216">
        <v>0.5</v>
      </c>
      <c r="AQ17" s="216">
        <v>0.5</v>
      </c>
      <c r="AR17" s="216">
        <v>0.5</v>
      </c>
      <c r="AS17" s="216">
        <v>0.8</v>
      </c>
      <c r="AT17" s="216">
        <v>0.5</v>
      </c>
      <c r="AU17" s="216">
        <v>0.5</v>
      </c>
      <c r="AV17" s="216">
        <v>0.8</v>
      </c>
      <c r="AW17" s="216">
        <v>0.5</v>
      </c>
      <c r="AX17" s="216">
        <v>0.8</v>
      </c>
      <c r="AY17" s="216">
        <v>0.8</v>
      </c>
      <c r="AZ17" s="216">
        <v>0.8</v>
      </c>
      <c r="BA17" s="216">
        <v>0.8</v>
      </c>
      <c r="BB17" s="216">
        <v>0.5</v>
      </c>
      <c r="BC17" s="216">
        <v>0.8</v>
      </c>
      <c r="BD17" s="216">
        <v>0.8</v>
      </c>
      <c r="BE17" s="216">
        <v>0.8</v>
      </c>
      <c r="BF17" s="216">
        <v>0.8</v>
      </c>
      <c r="BG17" s="216">
        <v>0.8</v>
      </c>
      <c r="BH17" s="216">
        <v>0.8</v>
      </c>
      <c r="BI17" s="216">
        <v>0.8</v>
      </c>
      <c r="BJ17" s="216">
        <v>0.8</v>
      </c>
      <c r="BK17" s="216">
        <v>0.8</v>
      </c>
      <c r="BL17" s="216">
        <v>0.8</v>
      </c>
      <c r="BM17" s="216">
        <v>0.8</v>
      </c>
      <c r="BN17" s="216">
        <v>0.8</v>
      </c>
      <c r="BO17" s="216">
        <v>0.8</v>
      </c>
      <c r="BP17" s="216">
        <v>0.8</v>
      </c>
      <c r="BQ17" s="216">
        <v>0.8</v>
      </c>
      <c r="BR17" s="216">
        <v>0.8</v>
      </c>
      <c r="BS17" s="216">
        <v>0.8</v>
      </c>
      <c r="BT17" s="216">
        <v>0.8</v>
      </c>
      <c r="BU17" s="216">
        <v>0.8</v>
      </c>
      <c r="BV17" s="216">
        <v>0.8</v>
      </c>
      <c r="BW17" s="216">
        <v>0.8</v>
      </c>
      <c r="BX17" s="216">
        <v>0.8</v>
      </c>
      <c r="BY17" s="216">
        <v>0.8</v>
      </c>
      <c r="BZ17" s="216">
        <v>0.8</v>
      </c>
      <c r="CA17" s="216">
        <v>0.8</v>
      </c>
      <c r="CB17" s="216">
        <v>0.5</v>
      </c>
      <c r="CC17" s="216">
        <v>0.5</v>
      </c>
      <c r="CD17" s="216">
        <v>0.8</v>
      </c>
      <c r="CE17" s="216">
        <v>0.8</v>
      </c>
      <c r="CF17" s="216">
        <v>0.8</v>
      </c>
      <c r="CG17" s="216">
        <v>0.8</v>
      </c>
      <c r="CH17" s="216">
        <v>0.5</v>
      </c>
      <c r="CI17" s="216">
        <v>0</v>
      </c>
      <c r="CJ17" s="216">
        <v>0</v>
      </c>
      <c r="CK17" s="216">
        <v>0</v>
      </c>
      <c r="CL17" s="216">
        <v>0</v>
      </c>
      <c r="CM17" s="216">
        <v>0</v>
      </c>
    </row>
    <row r="18" spans="1:91" s="216" customFormat="1" ht="15" x14ac:dyDescent="0.5">
      <c r="A18" s="245" t="s">
        <v>192</v>
      </c>
      <c r="B18" s="216">
        <v>0</v>
      </c>
      <c r="C18" s="216">
        <v>0</v>
      </c>
      <c r="D18" s="216">
        <v>0.8</v>
      </c>
      <c r="E18" s="216">
        <v>0.8</v>
      </c>
      <c r="F18" s="216">
        <v>0.8</v>
      </c>
      <c r="G18" s="216">
        <v>0.8</v>
      </c>
      <c r="H18" s="216">
        <v>0.8</v>
      </c>
      <c r="I18" s="216">
        <v>0.8</v>
      </c>
      <c r="J18" s="216">
        <v>0.8</v>
      </c>
      <c r="K18" s="216">
        <v>0.8</v>
      </c>
      <c r="L18" s="216">
        <v>0.8</v>
      </c>
      <c r="M18" s="216">
        <v>0.8</v>
      </c>
      <c r="N18" s="216">
        <v>0.5</v>
      </c>
      <c r="O18" s="216">
        <v>0.8</v>
      </c>
      <c r="P18" s="216">
        <v>0.8</v>
      </c>
      <c r="Q18" s="216">
        <v>0.8</v>
      </c>
      <c r="R18" s="216">
        <v>0.5</v>
      </c>
      <c r="S18" s="216">
        <v>0.5</v>
      </c>
      <c r="T18" s="216">
        <v>0.5</v>
      </c>
      <c r="U18" s="216">
        <v>0.5</v>
      </c>
      <c r="V18" s="216">
        <v>0.5</v>
      </c>
      <c r="W18" s="216">
        <v>0.5</v>
      </c>
      <c r="X18" s="216">
        <v>0.5</v>
      </c>
      <c r="Y18" s="216">
        <v>0.5</v>
      </c>
      <c r="Z18" s="216">
        <v>0.1</v>
      </c>
      <c r="AA18" s="216">
        <v>0.1</v>
      </c>
      <c r="AB18" s="216">
        <v>0.1</v>
      </c>
      <c r="AC18" s="216">
        <v>0.1</v>
      </c>
      <c r="AD18" s="216">
        <v>0.1</v>
      </c>
      <c r="AE18" s="216">
        <v>0.1</v>
      </c>
      <c r="AF18" s="216">
        <v>0.1</v>
      </c>
      <c r="AG18" s="216">
        <v>0.5</v>
      </c>
      <c r="AH18" s="216">
        <v>0.5</v>
      </c>
      <c r="AI18" s="216">
        <v>0.5</v>
      </c>
      <c r="AJ18" s="216">
        <v>0.5</v>
      </c>
      <c r="AK18" s="216">
        <v>0.5</v>
      </c>
      <c r="AL18" s="216">
        <v>0.5</v>
      </c>
      <c r="AM18" s="216">
        <v>0.5</v>
      </c>
      <c r="AN18" s="216">
        <v>0.5</v>
      </c>
      <c r="AO18" s="216">
        <v>0.5</v>
      </c>
      <c r="AP18" s="216">
        <v>0.5</v>
      </c>
      <c r="AQ18" s="216">
        <v>0.5</v>
      </c>
      <c r="AR18" s="216">
        <v>0.5</v>
      </c>
      <c r="AS18" s="216">
        <v>0.8</v>
      </c>
      <c r="AT18" s="216">
        <v>0.5</v>
      </c>
      <c r="AU18" s="216">
        <v>0.5</v>
      </c>
      <c r="AV18" s="216">
        <v>0.8</v>
      </c>
      <c r="AW18" s="216">
        <v>0.5</v>
      </c>
      <c r="AX18" s="216">
        <v>0.8</v>
      </c>
      <c r="AY18" s="216">
        <v>0.8</v>
      </c>
      <c r="AZ18" s="216">
        <v>0.8</v>
      </c>
      <c r="BA18" s="216">
        <v>0.8</v>
      </c>
      <c r="BB18" s="216">
        <v>0.5</v>
      </c>
      <c r="BC18" s="216">
        <v>0.8</v>
      </c>
      <c r="BD18" s="216">
        <v>0.8</v>
      </c>
      <c r="BE18" s="216">
        <v>0.8</v>
      </c>
      <c r="BF18" s="216">
        <v>0.8</v>
      </c>
      <c r="BG18" s="216">
        <v>0.8</v>
      </c>
      <c r="BH18" s="216">
        <v>0.8</v>
      </c>
      <c r="BI18" s="216">
        <v>0.8</v>
      </c>
      <c r="BJ18" s="216">
        <v>0.8</v>
      </c>
      <c r="BK18" s="216">
        <v>0.8</v>
      </c>
      <c r="BL18" s="216">
        <v>0.8</v>
      </c>
      <c r="BM18" s="216">
        <v>0.8</v>
      </c>
      <c r="BN18" s="216">
        <v>0.8</v>
      </c>
      <c r="BO18" s="216">
        <v>0.8</v>
      </c>
      <c r="BP18" s="216">
        <v>0.8</v>
      </c>
      <c r="BQ18" s="216">
        <v>0.8</v>
      </c>
      <c r="BR18" s="216">
        <v>0.8</v>
      </c>
      <c r="BS18" s="216">
        <v>0.8</v>
      </c>
      <c r="BT18" s="216">
        <v>0.8</v>
      </c>
      <c r="BU18" s="216">
        <v>0.8</v>
      </c>
      <c r="BV18" s="216">
        <v>0.8</v>
      </c>
      <c r="BW18" s="216">
        <v>0.8</v>
      </c>
      <c r="BX18" s="216">
        <v>0.8</v>
      </c>
      <c r="BY18" s="216">
        <v>0.8</v>
      </c>
      <c r="BZ18" s="216">
        <v>0.8</v>
      </c>
      <c r="CA18" s="216">
        <v>0.8</v>
      </c>
      <c r="CB18" s="216">
        <v>0.5</v>
      </c>
      <c r="CC18" s="216">
        <v>0.5</v>
      </c>
      <c r="CD18" s="216">
        <v>0.8</v>
      </c>
      <c r="CE18" s="216">
        <v>0.8</v>
      </c>
      <c r="CF18" s="216">
        <v>0.8</v>
      </c>
      <c r="CG18" s="216">
        <v>0.8</v>
      </c>
      <c r="CH18" s="216">
        <v>0.5</v>
      </c>
      <c r="CI18" s="216">
        <v>0</v>
      </c>
      <c r="CJ18" s="216">
        <v>0</v>
      </c>
      <c r="CK18" s="216">
        <v>0</v>
      </c>
      <c r="CL18" s="216">
        <v>0</v>
      </c>
      <c r="CM18" s="216">
        <v>0</v>
      </c>
    </row>
    <row r="19" spans="1:91" s="216" customFormat="1" ht="15" x14ac:dyDescent="0.5">
      <c r="A19" s="245" t="s">
        <v>193</v>
      </c>
      <c r="B19" s="216">
        <v>0</v>
      </c>
      <c r="C19" s="216">
        <v>0</v>
      </c>
      <c r="D19" s="216">
        <v>0.8</v>
      </c>
      <c r="E19" s="216">
        <v>0.8</v>
      </c>
      <c r="F19" s="216">
        <v>0.8</v>
      </c>
      <c r="G19" s="216">
        <v>0.8</v>
      </c>
      <c r="H19" s="216">
        <v>0.8</v>
      </c>
      <c r="I19" s="216">
        <v>0.8</v>
      </c>
      <c r="J19" s="216">
        <v>0.8</v>
      </c>
      <c r="K19" s="216">
        <v>0.8</v>
      </c>
      <c r="L19" s="216">
        <v>0.8</v>
      </c>
      <c r="M19" s="216">
        <v>0.8</v>
      </c>
      <c r="N19" s="216">
        <v>0.5</v>
      </c>
      <c r="O19" s="216">
        <v>0.8</v>
      </c>
      <c r="P19" s="216">
        <v>0.8</v>
      </c>
      <c r="Q19" s="216">
        <v>0.8</v>
      </c>
      <c r="R19" s="216">
        <v>0.5</v>
      </c>
      <c r="S19" s="216">
        <v>0.5</v>
      </c>
      <c r="T19" s="216">
        <v>0.5</v>
      </c>
      <c r="U19" s="216">
        <v>0.5</v>
      </c>
      <c r="V19" s="216">
        <v>0.5</v>
      </c>
      <c r="W19" s="216">
        <v>0.5</v>
      </c>
      <c r="X19" s="216">
        <v>0.5</v>
      </c>
      <c r="Y19" s="216">
        <v>0.5</v>
      </c>
      <c r="Z19" s="216">
        <v>0.1</v>
      </c>
      <c r="AA19" s="216">
        <v>0.1</v>
      </c>
      <c r="AB19" s="216">
        <v>0.1</v>
      </c>
      <c r="AC19" s="216">
        <v>0.1</v>
      </c>
      <c r="AD19" s="216">
        <v>0.1</v>
      </c>
      <c r="AE19" s="216">
        <v>0.1</v>
      </c>
      <c r="AF19" s="216">
        <v>0.1</v>
      </c>
      <c r="AG19" s="216">
        <v>0.5</v>
      </c>
      <c r="AH19" s="216">
        <v>0.5</v>
      </c>
      <c r="AI19" s="216">
        <v>0.5</v>
      </c>
      <c r="AJ19" s="216">
        <v>0.5</v>
      </c>
      <c r="AK19" s="216">
        <v>0.5</v>
      </c>
      <c r="AL19" s="216">
        <v>0.5</v>
      </c>
      <c r="AM19" s="216">
        <v>0.5</v>
      </c>
      <c r="AN19" s="216">
        <v>0.5</v>
      </c>
      <c r="AO19" s="216">
        <v>0.5</v>
      </c>
      <c r="AP19" s="216">
        <v>0.5</v>
      </c>
      <c r="AQ19" s="216">
        <v>0.5</v>
      </c>
      <c r="AR19" s="216">
        <v>0.5</v>
      </c>
      <c r="AS19" s="216">
        <v>0.8</v>
      </c>
      <c r="AT19" s="216">
        <v>0.5</v>
      </c>
      <c r="AU19" s="216">
        <v>0.5</v>
      </c>
      <c r="AV19" s="216">
        <v>0.8</v>
      </c>
      <c r="AW19" s="216">
        <v>0.5</v>
      </c>
      <c r="AX19" s="216">
        <v>0.8</v>
      </c>
      <c r="AY19" s="216">
        <v>0.8</v>
      </c>
      <c r="AZ19" s="216">
        <v>0.8</v>
      </c>
      <c r="BA19" s="216">
        <v>0.8</v>
      </c>
      <c r="BB19" s="216">
        <v>0.5</v>
      </c>
      <c r="BC19" s="216">
        <v>0.8</v>
      </c>
      <c r="BD19" s="216">
        <v>0.8</v>
      </c>
      <c r="BE19" s="216">
        <v>0.8</v>
      </c>
      <c r="BF19" s="216">
        <v>0.8</v>
      </c>
      <c r="BG19" s="216">
        <v>0.8</v>
      </c>
      <c r="BH19" s="216">
        <v>0.8</v>
      </c>
      <c r="BI19" s="216">
        <v>0.8</v>
      </c>
      <c r="BJ19" s="216">
        <v>0.8</v>
      </c>
      <c r="BK19" s="216">
        <v>0.8</v>
      </c>
      <c r="BL19" s="216">
        <v>0.8</v>
      </c>
      <c r="BM19" s="216">
        <v>0.8</v>
      </c>
      <c r="BN19" s="216">
        <v>0.8</v>
      </c>
      <c r="BO19" s="216">
        <v>0.8</v>
      </c>
      <c r="BP19" s="216">
        <v>0.8</v>
      </c>
      <c r="BQ19" s="216">
        <v>0.8</v>
      </c>
      <c r="BR19" s="216">
        <v>0.8</v>
      </c>
      <c r="BS19" s="216">
        <v>0.8</v>
      </c>
      <c r="BT19" s="216">
        <v>0.8</v>
      </c>
      <c r="BU19" s="216">
        <v>0.8</v>
      </c>
      <c r="BV19" s="216">
        <v>0.8</v>
      </c>
      <c r="BW19" s="216">
        <v>0.8</v>
      </c>
      <c r="BX19" s="216">
        <v>0.8</v>
      </c>
      <c r="BY19" s="216">
        <v>0.8</v>
      </c>
      <c r="BZ19" s="216">
        <v>0.8</v>
      </c>
      <c r="CA19" s="216">
        <v>0.8</v>
      </c>
      <c r="CB19" s="216">
        <v>0.5</v>
      </c>
      <c r="CC19" s="216">
        <v>0.5</v>
      </c>
      <c r="CD19" s="216">
        <v>0.8</v>
      </c>
      <c r="CE19" s="216">
        <v>0.8</v>
      </c>
      <c r="CF19" s="216">
        <v>0.8</v>
      </c>
      <c r="CG19" s="216">
        <v>0.8</v>
      </c>
      <c r="CH19" s="216">
        <v>0.5</v>
      </c>
      <c r="CI19" s="216">
        <v>0</v>
      </c>
      <c r="CJ19" s="216">
        <v>0</v>
      </c>
      <c r="CK19" s="216">
        <v>0</v>
      </c>
      <c r="CL19" s="216">
        <v>0</v>
      </c>
      <c r="CM19" s="216">
        <v>0</v>
      </c>
    </row>
    <row r="20" spans="1:91" s="216" customFormat="1" ht="15" x14ac:dyDescent="0.5">
      <c r="A20" s="245" t="s">
        <v>194</v>
      </c>
      <c r="B20" s="216">
        <v>0</v>
      </c>
      <c r="C20" s="216">
        <v>0</v>
      </c>
      <c r="D20" s="216">
        <v>0.8</v>
      </c>
      <c r="E20" s="216">
        <v>0.8</v>
      </c>
      <c r="F20" s="216">
        <v>0.8</v>
      </c>
      <c r="G20" s="216">
        <v>0.8</v>
      </c>
      <c r="H20" s="216">
        <v>0.8</v>
      </c>
      <c r="I20" s="216">
        <v>0.8</v>
      </c>
      <c r="J20" s="216">
        <v>0.8</v>
      </c>
      <c r="K20" s="216">
        <v>0.8</v>
      </c>
      <c r="L20" s="216">
        <v>0.8</v>
      </c>
      <c r="M20" s="216">
        <v>0.8</v>
      </c>
      <c r="N20" s="216">
        <v>0.5</v>
      </c>
      <c r="O20" s="216">
        <v>0.8</v>
      </c>
      <c r="P20" s="216">
        <v>0.8</v>
      </c>
      <c r="Q20" s="216">
        <v>0.8</v>
      </c>
      <c r="R20" s="216">
        <v>0.5</v>
      </c>
      <c r="S20" s="216">
        <v>0.5</v>
      </c>
      <c r="T20" s="216">
        <v>0.5</v>
      </c>
      <c r="U20" s="216">
        <v>0.5</v>
      </c>
      <c r="V20" s="216">
        <v>0.5</v>
      </c>
      <c r="W20" s="216">
        <v>0.5</v>
      </c>
      <c r="X20" s="216">
        <v>0.5</v>
      </c>
      <c r="Y20" s="216">
        <v>0.5</v>
      </c>
      <c r="Z20" s="216">
        <v>0.1</v>
      </c>
      <c r="AA20" s="216">
        <v>0.1</v>
      </c>
      <c r="AB20" s="216">
        <v>0.1</v>
      </c>
      <c r="AC20" s="216">
        <v>0.1</v>
      </c>
      <c r="AD20" s="216">
        <v>0.1</v>
      </c>
      <c r="AE20" s="216">
        <v>0.1</v>
      </c>
      <c r="AF20" s="216">
        <v>0.1</v>
      </c>
      <c r="AG20" s="216">
        <v>0.5</v>
      </c>
      <c r="AH20" s="216">
        <v>0.5</v>
      </c>
      <c r="AI20" s="216">
        <v>0.5</v>
      </c>
      <c r="AJ20" s="216">
        <v>0.5</v>
      </c>
      <c r="AK20" s="216">
        <v>0.5</v>
      </c>
      <c r="AL20" s="216">
        <v>0.5</v>
      </c>
      <c r="AM20" s="216">
        <v>0.5</v>
      </c>
      <c r="AN20" s="216">
        <v>0.5</v>
      </c>
      <c r="AO20" s="216">
        <v>0.5</v>
      </c>
      <c r="AP20" s="216">
        <v>0.5</v>
      </c>
      <c r="AQ20" s="216">
        <v>0.5</v>
      </c>
      <c r="AR20" s="216">
        <v>0.5</v>
      </c>
      <c r="AS20" s="216">
        <v>0.8</v>
      </c>
      <c r="AT20" s="216">
        <v>0.5</v>
      </c>
      <c r="AU20" s="216">
        <v>0.5</v>
      </c>
      <c r="AV20" s="216">
        <v>0.8</v>
      </c>
      <c r="AW20" s="216">
        <v>0.5</v>
      </c>
      <c r="AX20" s="216">
        <v>0.8</v>
      </c>
      <c r="AY20" s="216">
        <v>0.8</v>
      </c>
      <c r="AZ20" s="216">
        <v>0.8</v>
      </c>
      <c r="BA20" s="216">
        <v>0.8</v>
      </c>
      <c r="BB20" s="216">
        <v>0.5</v>
      </c>
      <c r="BC20" s="216">
        <v>0.8</v>
      </c>
      <c r="BD20" s="216">
        <v>0.8</v>
      </c>
      <c r="BE20" s="216">
        <v>0.8</v>
      </c>
      <c r="BF20" s="216">
        <v>0.8</v>
      </c>
      <c r="BG20" s="216">
        <v>0.8</v>
      </c>
      <c r="BH20" s="216">
        <v>0.8</v>
      </c>
      <c r="BI20" s="216">
        <v>0.8</v>
      </c>
      <c r="BJ20" s="216">
        <v>0.8</v>
      </c>
      <c r="BK20" s="216">
        <v>0.8</v>
      </c>
      <c r="BL20" s="216">
        <v>0.8</v>
      </c>
      <c r="BM20" s="216">
        <v>0.8</v>
      </c>
      <c r="BN20" s="216">
        <v>0.8</v>
      </c>
      <c r="BO20" s="216">
        <v>0.8</v>
      </c>
      <c r="BP20" s="216">
        <v>0.8</v>
      </c>
      <c r="BQ20" s="216">
        <v>0.8</v>
      </c>
      <c r="BR20" s="216">
        <v>0.8</v>
      </c>
      <c r="BS20" s="216">
        <v>0.8</v>
      </c>
      <c r="BT20" s="216">
        <v>0.8</v>
      </c>
      <c r="BU20" s="216">
        <v>0.8</v>
      </c>
      <c r="BV20" s="216">
        <v>0.8</v>
      </c>
      <c r="BW20" s="216">
        <v>0.8</v>
      </c>
      <c r="BX20" s="216">
        <v>0.8</v>
      </c>
      <c r="BY20" s="216">
        <v>0.8</v>
      </c>
      <c r="BZ20" s="216">
        <v>0.8</v>
      </c>
      <c r="CA20" s="216">
        <v>0.8</v>
      </c>
      <c r="CB20" s="216">
        <v>0.5</v>
      </c>
      <c r="CC20" s="216">
        <v>0.5</v>
      </c>
      <c r="CD20" s="216">
        <v>0.8</v>
      </c>
      <c r="CE20" s="216">
        <v>0.8</v>
      </c>
      <c r="CF20" s="216">
        <v>0.8</v>
      </c>
      <c r="CG20" s="216">
        <v>0.8</v>
      </c>
      <c r="CH20" s="216">
        <v>0.5</v>
      </c>
      <c r="CI20" s="216">
        <v>0</v>
      </c>
      <c r="CJ20" s="216">
        <v>0</v>
      </c>
      <c r="CK20" s="216">
        <v>0</v>
      </c>
      <c r="CL20" s="216">
        <v>0</v>
      </c>
      <c r="CM20" s="216">
        <v>0</v>
      </c>
    </row>
    <row r="21" spans="1:91" s="216" customFormat="1" ht="15" x14ac:dyDescent="0.5">
      <c r="A21" s="245" t="s">
        <v>195</v>
      </c>
      <c r="B21" s="216">
        <v>0</v>
      </c>
      <c r="C21" s="216">
        <v>0</v>
      </c>
      <c r="D21" s="216">
        <v>0.8</v>
      </c>
      <c r="E21" s="216">
        <v>0.8</v>
      </c>
      <c r="F21" s="216">
        <v>0.8</v>
      </c>
      <c r="G21" s="216">
        <v>0.8</v>
      </c>
      <c r="H21" s="216">
        <v>0.8</v>
      </c>
      <c r="I21" s="216">
        <v>0.8</v>
      </c>
      <c r="J21" s="216">
        <v>0.8</v>
      </c>
      <c r="K21" s="216">
        <v>0.8</v>
      </c>
      <c r="L21" s="216">
        <v>0.8</v>
      </c>
      <c r="M21" s="216">
        <v>0.8</v>
      </c>
      <c r="N21" s="216">
        <v>0.5</v>
      </c>
      <c r="O21" s="216">
        <v>0.8</v>
      </c>
      <c r="P21" s="216">
        <v>0.8</v>
      </c>
      <c r="Q21" s="216">
        <v>0.8</v>
      </c>
      <c r="R21" s="216">
        <v>0.5</v>
      </c>
      <c r="S21" s="216">
        <v>0.5</v>
      </c>
      <c r="T21" s="216">
        <v>0.5</v>
      </c>
      <c r="U21" s="216">
        <v>0.5</v>
      </c>
      <c r="V21" s="216">
        <v>0.5</v>
      </c>
      <c r="W21" s="216">
        <v>0.5</v>
      </c>
      <c r="X21" s="216">
        <v>0.5</v>
      </c>
      <c r="Y21" s="216">
        <v>0.5</v>
      </c>
      <c r="Z21" s="216">
        <v>0.1</v>
      </c>
      <c r="AA21" s="216">
        <v>0.1</v>
      </c>
      <c r="AB21" s="216">
        <v>0.1</v>
      </c>
      <c r="AC21" s="216">
        <v>0.1</v>
      </c>
      <c r="AD21" s="216">
        <v>0.1</v>
      </c>
      <c r="AE21" s="216">
        <v>0.1</v>
      </c>
      <c r="AF21" s="216">
        <v>0.1</v>
      </c>
      <c r="AG21" s="216">
        <v>0.5</v>
      </c>
      <c r="AH21" s="216">
        <v>0.5</v>
      </c>
      <c r="AI21" s="216">
        <v>0.5</v>
      </c>
      <c r="AJ21" s="216">
        <v>0.5</v>
      </c>
      <c r="AK21" s="216">
        <v>0.5</v>
      </c>
      <c r="AL21" s="216">
        <v>0.5</v>
      </c>
      <c r="AM21" s="216">
        <v>0.5</v>
      </c>
      <c r="AN21" s="216">
        <v>0.5</v>
      </c>
      <c r="AO21" s="216">
        <v>0.5</v>
      </c>
      <c r="AP21" s="216">
        <v>0.5</v>
      </c>
      <c r="AQ21" s="216">
        <v>0.5</v>
      </c>
      <c r="AR21" s="216">
        <v>0.5</v>
      </c>
      <c r="AS21" s="216">
        <v>0.8</v>
      </c>
      <c r="AT21" s="216">
        <v>0.5</v>
      </c>
      <c r="AU21" s="216">
        <v>0.5</v>
      </c>
      <c r="AV21" s="216">
        <v>0.8</v>
      </c>
      <c r="AW21" s="216">
        <v>0.5</v>
      </c>
      <c r="AX21" s="216">
        <v>0.8</v>
      </c>
      <c r="AY21" s="216">
        <v>0.8</v>
      </c>
      <c r="AZ21" s="216">
        <v>0.8</v>
      </c>
      <c r="BA21" s="216">
        <v>0.8</v>
      </c>
      <c r="BB21" s="216">
        <v>0.5</v>
      </c>
      <c r="BC21" s="216">
        <v>0.8</v>
      </c>
      <c r="BD21" s="216">
        <v>0.8</v>
      </c>
      <c r="BE21" s="216">
        <v>0.8</v>
      </c>
      <c r="BF21" s="216">
        <v>0.8</v>
      </c>
      <c r="BG21" s="216">
        <v>0.8</v>
      </c>
      <c r="BH21" s="216">
        <v>0.8</v>
      </c>
      <c r="BI21" s="216">
        <v>0.8</v>
      </c>
      <c r="BJ21" s="216">
        <v>0.8</v>
      </c>
      <c r="BK21" s="216">
        <v>0.8</v>
      </c>
      <c r="BL21" s="216">
        <v>0.8</v>
      </c>
      <c r="BM21" s="216">
        <v>0.8</v>
      </c>
      <c r="BN21" s="216">
        <v>0.8</v>
      </c>
      <c r="BO21" s="216">
        <v>0.8</v>
      </c>
      <c r="BP21" s="216">
        <v>0.8</v>
      </c>
      <c r="BQ21" s="216">
        <v>0.8</v>
      </c>
      <c r="BR21" s="216">
        <v>0.8</v>
      </c>
      <c r="BS21" s="216">
        <v>0.8</v>
      </c>
      <c r="BT21" s="216">
        <v>0.8</v>
      </c>
      <c r="BU21" s="216">
        <v>0.8</v>
      </c>
      <c r="BV21" s="216">
        <v>0.8</v>
      </c>
      <c r="BW21" s="216">
        <v>0.8</v>
      </c>
      <c r="BX21" s="216">
        <v>0.8</v>
      </c>
      <c r="BY21" s="216">
        <v>0.8</v>
      </c>
      <c r="BZ21" s="216">
        <v>0.8</v>
      </c>
      <c r="CA21" s="216">
        <v>0.8</v>
      </c>
      <c r="CB21" s="216">
        <v>0.5</v>
      </c>
      <c r="CC21" s="216">
        <v>0.5</v>
      </c>
      <c r="CD21" s="216">
        <v>0.8</v>
      </c>
      <c r="CE21" s="216">
        <v>0.8</v>
      </c>
      <c r="CF21" s="216">
        <v>0.8</v>
      </c>
      <c r="CG21" s="216">
        <v>0.8</v>
      </c>
      <c r="CH21" s="216">
        <v>0.5</v>
      </c>
      <c r="CI21" s="216">
        <v>0</v>
      </c>
      <c r="CJ21" s="216">
        <v>0</v>
      </c>
      <c r="CK21" s="216">
        <v>0</v>
      </c>
      <c r="CL21" s="216">
        <v>0</v>
      </c>
      <c r="CM21" s="216">
        <v>0</v>
      </c>
    </row>
    <row r="22" spans="1:91" s="216" customFormat="1" ht="15" x14ac:dyDescent="0.5">
      <c r="A22" s="245" t="s">
        <v>196</v>
      </c>
      <c r="B22" s="216">
        <v>0</v>
      </c>
      <c r="C22" s="216">
        <v>0</v>
      </c>
      <c r="D22" s="216">
        <v>0.8</v>
      </c>
      <c r="E22" s="216">
        <v>0.8</v>
      </c>
      <c r="F22" s="216">
        <v>0.8</v>
      </c>
      <c r="G22" s="216">
        <v>0.8</v>
      </c>
      <c r="H22" s="216">
        <v>0.8</v>
      </c>
      <c r="I22" s="216">
        <v>0.8</v>
      </c>
      <c r="J22" s="216">
        <v>0.8</v>
      </c>
      <c r="K22" s="216">
        <v>0.8</v>
      </c>
      <c r="L22" s="216">
        <v>0.8</v>
      </c>
      <c r="M22" s="216">
        <v>0.8</v>
      </c>
      <c r="N22" s="216">
        <v>0.5</v>
      </c>
      <c r="O22" s="216">
        <v>0.8</v>
      </c>
      <c r="P22" s="216">
        <v>0.8</v>
      </c>
      <c r="Q22" s="216">
        <v>0.8</v>
      </c>
      <c r="R22" s="216">
        <v>0.5</v>
      </c>
      <c r="S22" s="216">
        <v>0.5</v>
      </c>
      <c r="T22" s="216">
        <v>0.5</v>
      </c>
      <c r="U22" s="216">
        <v>0.5</v>
      </c>
      <c r="V22" s="216">
        <v>0.5</v>
      </c>
      <c r="W22" s="216">
        <v>0.5</v>
      </c>
      <c r="X22" s="216">
        <v>0.5</v>
      </c>
      <c r="Y22" s="216">
        <v>0.5</v>
      </c>
      <c r="Z22" s="216">
        <v>0.1</v>
      </c>
      <c r="AA22" s="216">
        <v>0.1</v>
      </c>
      <c r="AB22" s="216">
        <v>0.1</v>
      </c>
      <c r="AC22" s="216">
        <v>0.1</v>
      </c>
      <c r="AD22" s="216">
        <v>0.1</v>
      </c>
      <c r="AE22" s="216">
        <v>0.1</v>
      </c>
      <c r="AF22" s="216">
        <v>0.1</v>
      </c>
      <c r="AG22" s="216">
        <v>0.5</v>
      </c>
      <c r="AH22" s="216">
        <v>0.5</v>
      </c>
      <c r="AI22" s="216">
        <v>0.5</v>
      </c>
      <c r="AJ22" s="216">
        <v>0.5</v>
      </c>
      <c r="AK22" s="216">
        <v>0.5</v>
      </c>
      <c r="AL22" s="216">
        <v>0.5</v>
      </c>
      <c r="AM22" s="216">
        <v>0.5</v>
      </c>
      <c r="AN22" s="216">
        <v>0.5</v>
      </c>
      <c r="AO22" s="216">
        <v>0.5</v>
      </c>
      <c r="AP22" s="216">
        <v>0.5</v>
      </c>
      <c r="AQ22" s="216">
        <v>0.5</v>
      </c>
      <c r="AR22" s="216">
        <v>0.5</v>
      </c>
      <c r="AS22" s="216">
        <v>0.8</v>
      </c>
      <c r="AT22" s="216">
        <v>0.5</v>
      </c>
      <c r="AU22" s="216">
        <v>0.5</v>
      </c>
      <c r="AV22" s="216">
        <v>0.8</v>
      </c>
      <c r="AW22" s="216">
        <v>0.5</v>
      </c>
      <c r="AX22" s="216">
        <v>0.8</v>
      </c>
      <c r="AY22" s="216">
        <v>0.8</v>
      </c>
      <c r="AZ22" s="216">
        <v>0.8</v>
      </c>
      <c r="BA22" s="216">
        <v>0.8</v>
      </c>
      <c r="BB22" s="216">
        <v>0.5</v>
      </c>
      <c r="BC22" s="216">
        <v>0.8</v>
      </c>
      <c r="BD22" s="216">
        <v>0.8</v>
      </c>
      <c r="BE22" s="216">
        <v>0.8</v>
      </c>
      <c r="BF22" s="216">
        <v>0.8</v>
      </c>
      <c r="BG22" s="216">
        <v>0.8</v>
      </c>
      <c r="BH22" s="216">
        <v>0.8</v>
      </c>
      <c r="BI22" s="216">
        <v>0.8</v>
      </c>
      <c r="BJ22" s="216">
        <v>0.8</v>
      </c>
      <c r="BK22" s="216">
        <v>0.8</v>
      </c>
      <c r="BL22" s="216">
        <v>0.8</v>
      </c>
      <c r="BM22" s="216">
        <v>0.8</v>
      </c>
      <c r="BN22" s="216">
        <v>0.8</v>
      </c>
      <c r="BO22" s="216">
        <v>0.8</v>
      </c>
      <c r="BP22" s="216">
        <v>0.8</v>
      </c>
      <c r="BQ22" s="216">
        <v>0.8</v>
      </c>
      <c r="BR22" s="216">
        <v>0.8</v>
      </c>
      <c r="BS22" s="216">
        <v>0.8</v>
      </c>
      <c r="BT22" s="216">
        <v>0.8</v>
      </c>
      <c r="BU22" s="216">
        <v>0.8</v>
      </c>
      <c r="BV22" s="216">
        <v>0.8</v>
      </c>
      <c r="BW22" s="216">
        <v>0.8</v>
      </c>
      <c r="BX22" s="216">
        <v>0.8</v>
      </c>
      <c r="BY22" s="216">
        <v>0.8</v>
      </c>
      <c r="BZ22" s="216">
        <v>0.8</v>
      </c>
      <c r="CA22" s="216">
        <v>0.8</v>
      </c>
      <c r="CB22" s="216">
        <v>0.5</v>
      </c>
      <c r="CC22" s="216">
        <v>0.5</v>
      </c>
      <c r="CD22" s="216">
        <v>0.8</v>
      </c>
      <c r="CE22" s="216">
        <v>0.8</v>
      </c>
      <c r="CF22" s="216">
        <v>0.8</v>
      </c>
      <c r="CG22" s="216">
        <v>0.8</v>
      </c>
      <c r="CH22" s="216">
        <v>0.5</v>
      </c>
      <c r="CI22" s="216">
        <v>0</v>
      </c>
      <c r="CJ22" s="216">
        <v>0</v>
      </c>
      <c r="CK22" s="216">
        <v>0</v>
      </c>
      <c r="CL22" s="216">
        <v>0</v>
      </c>
      <c r="CM22" s="216">
        <v>0</v>
      </c>
    </row>
    <row r="23" spans="1:91" s="216" customFormat="1" ht="15" x14ac:dyDescent="0.5">
      <c r="A23" s="245" t="s">
        <v>197</v>
      </c>
      <c r="B23" s="216">
        <v>0</v>
      </c>
      <c r="C23" s="216">
        <v>0</v>
      </c>
      <c r="D23" s="216">
        <v>0.8</v>
      </c>
      <c r="E23" s="216">
        <v>0.8</v>
      </c>
      <c r="F23" s="216">
        <v>0.8</v>
      </c>
      <c r="G23" s="216">
        <v>0.8</v>
      </c>
      <c r="H23" s="216">
        <v>0.8</v>
      </c>
      <c r="I23" s="216">
        <v>0.8</v>
      </c>
      <c r="J23" s="216">
        <v>0.8</v>
      </c>
      <c r="K23" s="216">
        <v>0.8</v>
      </c>
      <c r="L23" s="216">
        <v>0.8</v>
      </c>
      <c r="M23" s="216">
        <v>0.8</v>
      </c>
      <c r="N23" s="216">
        <v>0.5</v>
      </c>
      <c r="O23" s="216">
        <v>0.8</v>
      </c>
      <c r="P23" s="216">
        <v>0.8</v>
      </c>
      <c r="Q23" s="216">
        <v>0.8</v>
      </c>
      <c r="R23" s="216">
        <v>0.5</v>
      </c>
      <c r="S23" s="216">
        <v>0.5</v>
      </c>
      <c r="T23" s="216">
        <v>0.5</v>
      </c>
      <c r="U23" s="216">
        <v>0.5</v>
      </c>
      <c r="V23" s="216">
        <v>0.5</v>
      </c>
      <c r="W23" s="216">
        <v>0.5</v>
      </c>
      <c r="X23" s="216">
        <v>0.5</v>
      </c>
      <c r="Y23" s="216">
        <v>0.5</v>
      </c>
      <c r="Z23" s="216">
        <v>0.1</v>
      </c>
      <c r="AA23" s="216">
        <v>0.1</v>
      </c>
      <c r="AB23" s="216">
        <v>0.1</v>
      </c>
      <c r="AC23" s="216">
        <v>0.1</v>
      </c>
      <c r="AD23" s="216">
        <v>0.1</v>
      </c>
      <c r="AE23" s="216">
        <v>0.1</v>
      </c>
      <c r="AF23" s="216">
        <v>0.1</v>
      </c>
      <c r="AG23" s="216">
        <v>0.5</v>
      </c>
      <c r="AH23" s="216">
        <v>0.5</v>
      </c>
      <c r="AI23" s="216">
        <v>0.5</v>
      </c>
      <c r="AJ23" s="216">
        <v>0.5</v>
      </c>
      <c r="AK23" s="216">
        <v>0.5</v>
      </c>
      <c r="AL23" s="216">
        <v>0.5</v>
      </c>
      <c r="AM23" s="216">
        <v>0.5</v>
      </c>
      <c r="AN23" s="216">
        <v>0.5</v>
      </c>
      <c r="AO23" s="216">
        <v>0.5</v>
      </c>
      <c r="AP23" s="216">
        <v>0.5</v>
      </c>
      <c r="AQ23" s="216">
        <v>0.5</v>
      </c>
      <c r="AR23" s="216">
        <v>0.5</v>
      </c>
      <c r="AS23" s="216">
        <v>0.8</v>
      </c>
      <c r="AT23" s="216">
        <v>0.5</v>
      </c>
      <c r="AU23" s="216">
        <v>0.5</v>
      </c>
      <c r="AV23" s="216">
        <v>0.8</v>
      </c>
      <c r="AW23" s="216">
        <v>0.5</v>
      </c>
      <c r="AX23" s="216">
        <v>0.8</v>
      </c>
      <c r="AY23" s="216">
        <v>0.8</v>
      </c>
      <c r="AZ23" s="216">
        <v>0.8</v>
      </c>
      <c r="BA23" s="216">
        <v>0.8</v>
      </c>
      <c r="BB23" s="216">
        <v>0.5</v>
      </c>
      <c r="BC23" s="216">
        <v>0.8</v>
      </c>
      <c r="BD23" s="216">
        <v>0.8</v>
      </c>
      <c r="BE23" s="216">
        <v>0.8</v>
      </c>
      <c r="BF23" s="216">
        <v>0.8</v>
      </c>
      <c r="BG23" s="216">
        <v>0.8</v>
      </c>
      <c r="BH23" s="216">
        <v>0.8</v>
      </c>
      <c r="BI23" s="216">
        <v>0.8</v>
      </c>
      <c r="BJ23" s="216">
        <v>0.8</v>
      </c>
      <c r="BK23" s="216">
        <v>0.8</v>
      </c>
      <c r="BL23" s="216">
        <v>0.8</v>
      </c>
      <c r="BM23" s="216">
        <v>0.8</v>
      </c>
      <c r="BN23" s="216">
        <v>0.8</v>
      </c>
      <c r="BO23" s="216">
        <v>0.8</v>
      </c>
      <c r="BP23" s="216">
        <v>0.8</v>
      </c>
      <c r="BQ23" s="216">
        <v>0.8</v>
      </c>
      <c r="BR23" s="216">
        <v>0.8</v>
      </c>
      <c r="BS23" s="216">
        <v>0.8</v>
      </c>
      <c r="BT23" s="216">
        <v>0.8</v>
      </c>
      <c r="BU23" s="216">
        <v>0.8</v>
      </c>
      <c r="BV23" s="216">
        <v>0.8</v>
      </c>
      <c r="BW23" s="216">
        <v>0.8</v>
      </c>
      <c r="BX23" s="216">
        <v>0.8</v>
      </c>
      <c r="BY23" s="216">
        <v>0.8</v>
      </c>
      <c r="BZ23" s="216">
        <v>0.8</v>
      </c>
      <c r="CA23" s="216">
        <v>0.8</v>
      </c>
      <c r="CB23" s="216">
        <v>0.5</v>
      </c>
      <c r="CC23" s="216">
        <v>0.5</v>
      </c>
      <c r="CD23" s="216">
        <v>0.8</v>
      </c>
      <c r="CE23" s="216">
        <v>0.8</v>
      </c>
      <c r="CF23" s="216">
        <v>0.8</v>
      </c>
      <c r="CG23" s="216">
        <v>0.8</v>
      </c>
      <c r="CH23" s="216">
        <v>0.5</v>
      </c>
      <c r="CI23" s="216">
        <v>0</v>
      </c>
      <c r="CJ23" s="216">
        <v>0</v>
      </c>
      <c r="CK23" s="216">
        <v>0</v>
      </c>
      <c r="CL23" s="216">
        <v>0</v>
      </c>
      <c r="CM23" s="216">
        <v>0</v>
      </c>
    </row>
    <row r="24" spans="1:91" s="216" customFormat="1" ht="15" x14ac:dyDescent="0.5">
      <c r="A24" s="245" t="s">
        <v>198</v>
      </c>
      <c r="B24" s="216">
        <v>0</v>
      </c>
      <c r="C24" s="216">
        <v>0</v>
      </c>
      <c r="D24" s="216">
        <v>0.8</v>
      </c>
      <c r="E24" s="216">
        <v>0.8</v>
      </c>
      <c r="F24" s="216">
        <v>0.8</v>
      </c>
      <c r="G24" s="216">
        <v>0.8</v>
      </c>
      <c r="H24" s="216">
        <v>0.8</v>
      </c>
      <c r="I24" s="216">
        <v>0.8</v>
      </c>
      <c r="J24" s="216">
        <v>0.8</v>
      </c>
      <c r="K24" s="216">
        <v>0.8</v>
      </c>
      <c r="L24" s="216">
        <v>0.8</v>
      </c>
      <c r="M24" s="216">
        <v>0.8</v>
      </c>
      <c r="N24" s="216">
        <v>0.5</v>
      </c>
      <c r="O24" s="216">
        <v>0.8</v>
      </c>
      <c r="P24" s="216">
        <v>0.8</v>
      </c>
      <c r="Q24" s="216">
        <v>0.8</v>
      </c>
      <c r="R24" s="216">
        <v>0.5</v>
      </c>
      <c r="S24" s="216">
        <v>0.5</v>
      </c>
      <c r="T24" s="216">
        <v>0.5</v>
      </c>
      <c r="U24" s="216">
        <v>0.5</v>
      </c>
      <c r="V24" s="216">
        <v>0.5</v>
      </c>
      <c r="W24" s="216">
        <v>0.5</v>
      </c>
      <c r="X24" s="216">
        <v>0.5</v>
      </c>
      <c r="Y24" s="216">
        <v>0.5</v>
      </c>
      <c r="Z24" s="216">
        <v>0.1</v>
      </c>
      <c r="AA24" s="216">
        <v>0.1</v>
      </c>
      <c r="AB24" s="216">
        <v>0.1</v>
      </c>
      <c r="AC24" s="216">
        <v>0.1</v>
      </c>
      <c r="AD24" s="216">
        <v>0.1</v>
      </c>
      <c r="AE24" s="216">
        <v>0.1</v>
      </c>
      <c r="AF24" s="216">
        <v>0.1</v>
      </c>
      <c r="AG24" s="216">
        <v>0.5</v>
      </c>
      <c r="AH24" s="216">
        <v>0.5</v>
      </c>
      <c r="AI24" s="216">
        <v>0.5</v>
      </c>
      <c r="AJ24" s="216">
        <v>0.5</v>
      </c>
      <c r="AK24" s="216">
        <v>0.5</v>
      </c>
      <c r="AL24" s="216">
        <v>0.5</v>
      </c>
      <c r="AM24" s="216">
        <v>0.5</v>
      </c>
      <c r="AN24" s="216">
        <v>0.5</v>
      </c>
      <c r="AO24" s="216">
        <v>0.5</v>
      </c>
      <c r="AP24" s="216">
        <v>0.5</v>
      </c>
      <c r="AQ24" s="216">
        <v>0.5</v>
      </c>
      <c r="AR24" s="216">
        <v>0.5</v>
      </c>
      <c r="AS24" s="216">
        <v>0.8</v>
      </c>
      <c r="AT24" s="216">
        <v>0.5</v>
      </c>
      <c r="AU24" s="216">
        <v>0.5</v>
      </c>
      <c r="AV24" s="216">
        <v>0.8</v>
      </c>
      <c r="AW24" s="216">
        <v>0.5</v>
      </c>
      <c r="AX24" s="216">
        <v>0.8</v>
      </c>
      <c r="AY24" s="216">
        <v>0.8</v>
      </c>
      <c r="AZ24" s="216">
        <v>0.8</v>
      </c>
      <c r="BA24" s="216">
        <v>0.8</v>
      </c>
      <c r="BB24" s="216">
        <v>0.5</v>
      </c>
      <c r="BC24" s="216">
        <v>0.8</v>
      </c>
      <c r="BD24" s="216">
        <v>0.8</v>
      </c>
      <c r="BE24" s="216">
        <v>0.8</v>
      </c>
      <c r="BF24" s="216">
        <v>0.8</v>
      </c>
      <c r="BG24" s="216">
        <v>0.8</v>
      </c>
      <c r="BH24" s="216">
        <v>0.8</v>
      </c>
      <c r="BI24" s="216">
        <v>0.8</v>
      </c>
      <c r="BJ24" s="216">
        <v>0.8</v>
      </c>
      <c r="BK24" s="216">
        <v>0.8</v>
      </c>
      <c r="BL24" s="216">
        <v>0.8</v>
      </c>
      <c r="BM24" s="216">
        <v>0.8</v>
      </c>
      <c r="BN24" s="216">
        <v>0.8</v>
      </c>
      <c r="BO24" s="216">
        <v>0.8</v>
      </c>
      <c r="BP24" s="216">
        <v>0.8</v>
      </c>
      <c r="BQ24" s="216">
        <v>0.8</v>
      </c>
      <c r="BR24" s="216">
        <v>0.8</v>
      </c>
      <c r="BS24" s="216">
        <v>0.8</v>
      </c>
      <c r="BT24" s="216">
        <v>0.8</v>
      </c>
      <c r="BU24" s="216">
        <v>0.8</v>
      </c>
      <c r="BV24" s="216">
        <v>0.8</v>
      </c>
      <c r="BW24" s="216">
        <v>0.8</v>
      </c>
      <c r="BX24" s="216">
        <v>0.8</v>
      </c>
      <c r="BY24" s="216">
        <v>0.8</v>
      </c>
      <c r="BZ24" s="216">
        <v>0.8</v>
      </c>
      <c r="CA24" s="216">
        <v>0.8</v>
      </c>
      <c r="CB24" s="216">
        <v>0.5</v>
      </c>
      <c r="CC24" s="216">
        <v>0.5</v>
      </c>
      <c r="CD24" s="216">
        <v>0.8</v>
      </c>
      <c r="CE24" s="216">
        <v>0.8</v>
      </c>
      <c r="CF24" s="216">
        <v>0.8</v>
      </c>
      <c r="CG24" s="216">
        <v>0.8</v>
      </c>
      <c r="CH24" s="216">
        <v>0.5</v>
      </c>
      <c r="CI24" s="216">
        <v>0</v>
      </c>
      <c r="CJ24" s="216">
        <v>0</v>
      </c>
      <c r="CK24" s="216">
        <v>0</v>
      </c>
      <c r="CL24" s="216">
        <v>0</v>
      </c>
      <c r="CM24" s="216">
        <v>0</v>
      </c>
    </row>
    <row r="25" spans="1:91" s="216" customFormat="1" ht="15" x14ac:dyDescent="0.5">
      <c r="A25" s="245" t="s">
        <v>199</v>
      </c>
      <c r="B25" s="216">
        <v>0</v>
      </c>
      <c r="C25" s="216">
        <v>0</v>
      </c>
      <c r="D25" s="216">
        <v>0.8</v>
      </c>
      <c r="E25" s="216">
        <v>0.8</v>
      </c>
      <c r="F25" s="216">
        <v>0.8</v>
      </c>
      <c r="G25" s="216">
        <v>0.8</v>
      </c>
      <c r="H25" s="216">
        <v>0.8</v>
      </c>
      <c r="I25" s="216">
        <v>0.8</v>
      </c>
      <c r="J25" s="216">
        <v>0.8</v>
      </c>
      <c r="K25" s="216">
        <v>0.8</v>
      </c>
      <c r="L25" s="216">
        <v>0.8</v>
      </c>
      <c r="M25" s="216">
        <v>0.8</v>
      </c>
      <c r="N25" s="216">
        <v>0.5</v>
      </c>
      <c r="O25" s="216">
        <v>0.8</v>
      </c>
      <c r="P25" s="216">
        <v>0.8</v>
      </c>
      <c r="Q25" s="216">
        <v>0.8</v>
      </c>
      <c r="R25" s="216">
        <v>0.5</v>
      </c>
      <c r="S25" s="216">
        <v>0.5</v>
      </c>
      <c r="T25" s="216">
        <v>0.5</v>
      </c>
      <c r="U25" s="216">
        <v>0.5</v>
      </c>
      <c r="V25" s="216">
        <v>0.5</v>
      </c>
      <c r="W25" s="216">
        <v>0.5</v>
      </c>
      <c r="X25" s="216">
        <v>0.5</v>
      </c>
      <c r="Y25" s="216">
        <v>0.5</v>
      </c>
      <c r="Z25" s="216">
        <v>0.1</v>
      </c>
      <c r="AA25" s="216">
        <v>0.1</v>
      </c>
      <c r="AB25" s="216">
        <v>0.1</v>
      </c>
      <c r="AC25" s="216">
        <v>0.1</v>
      </c>
      <c r="AD25" s="216">
        <v>0.1</v>
      </c>
      <c r="AE25" s="216">
        <v>0.1</v>
      </c>
      <c r="AF25" s="216">
        <v>0.1</v>
      </c>
      <c r="AG25" s="216">
        <v>0.5</v>
      </c>
      <c r="AH25" s="216">
        <v>0.5</v>
      </c>
      <c r="AI25" s="216">
        <v>0.5</v>
      </c>
      <c r="AJ25" s="216">
        <v>0.5</v>
      </c>
      <c r="AK25" s="216">
        <v>0.5</v>
      </c>
      <c r="AL25" s="216">
        <v>0.5</v>
      </c>
      <c r="AM25" s="216">
        <v>0.5</v>
      </c>
      <c r="AN25" s="216">
        <v>0.5</v>
      </c>
      <c r="AO25" s="216">
        <v>0.5</v>
      </c>
      <c r="AP25" s="216">
        <v>0.5</v>
      </c>
      <c r="AQ25" s="216">
        <v>0.5</v>
      </c>
      <c r="AR25" s="216">
        <v>0.5</v>
      </c>
      <c r="AS25" s="216">
        <v>0.8</v>
      </c>
      <c r="AT25" s="216">
        <v>0.5</v>
      </c>
      <c r="AU25" s="216">
        <v>0.5</v>
      </c>
      <c r="AV25" s="216">
        <v>0.8</v>
      </c>
      <c r="AW25" s="216">
        <v>0.5</v>
      </c>
      <c r="AX25" s="216">
        <v>0.8</v>
      </c>
      <c r="AY25" s="216">
        <v>0.8</v>
      </c>
      <c r="AZ25" s="216">
        <v>0.8</v>
      </c>
      <c r="BA25" s="216">
        <v>0.8</v>
      </c>
      <c r="BB25" s="216">
        <v>0.5</v>
      </c>
      <c r="BC25" s="216">
        <v>0.8</v>
      </c>
      <c r="BD25" s="216">
        <v>0.8</v>
      </c>
      <c r="BE25" s="216">
        <v>0.8</v>
      </c>
      <c r="BF25" s="216">
        <v>0.8</v>
      </c>
      <c r="BG25" s="216">
        <v>0.8</v>
      </c>
      <c r="BH25" s="216">
        <v>0.8</v>
      </c>
      <c r="BI25" s="216">
        <v>0.8</v>
      </c>
      <c r="BJ25" s="216">
        <v>0.8</v>
      </c>
      <c r="BK25" s="216">
        <v>0.8</v>
      </c>
      <c r="BL25" s="216">
        <v>0.8</v>
      </c>
      <c r="BM25" s="216">
        <v>0.8</v>
      </c>
      <c r="BN25" s="216">
        <v>0.8</v>
      </c>
      <c r="BO25" s="216">
        <v>0.8</v>
      </c>
      <c r="BP25" s="216">
        <v>0.8</v>
      </c>
      <c r="BQ25" s="216">
        <v>0.8</v>
      </c>
      <c r="BR25" s="216">
        <v>0.8</v>
      </c>
      <c r="BS25" s="216">
        <v>0.8</v>
      </c>
      <c r="BT25" s="216">
        <v>0.8</v>
      </c>
      <c r="BU25" s="216">
        <v>0.8</v>
      </c>
      <c r="BV25" s="216">
        <v>0.8</v>
      </c>
      <c r="BW25" s="216">
        <v>0.8</v>
      </c>
      <c r="BX25" s="216">
        <v>0.8</v>
      </c>
      <c r="BY25" s="216">
        <v>0.8</v>
      </c>
      <c r="BZ25" s="216">
        <v>0.8</v>
      </c>
      <c r="CA25" s="216">
        <v>0.8</v>
      </c>
      <c r="CB25" s="216">
        <v>0.5</v>
      </c>
      <c r="CC25" s="216">
        <v>0.5</v>
      </c>
      <c r="CD25" s="216">
        <v>0.8</v>
      </c>
      <c r="CE25" s="216">
        <v>0.8</v>
      </c>
      <c r="CF25" s="216">
        <v>0.8</v>
      </c>
      <c r="CG25" s="216">
        <v>0.8</v>
      </c>
      <c r="CH25" s="216">
        <v>0.5</v>
      </c>
      <c r="CI25" s="216">
        <v>0</v>
      </c>
      <c r="CJ25" s="216">
        <v>0</v>
      </c>
      <c r="CK25" s="216">
        <v>0</v>
      </c>
      <c r="CL25" s="216">
        <v>0</v>
      </c>
      <c r="CM25" s="216">
        <v>0</v>
      </c>
    </row>
    <row r="26" spans="1:91" s="216" customFormat="1" ht="15" x14ac:dyDescent="0.5">
      <c r="A26" s="246" t="s">
        <v>265</v>
      </c>
      <c r="B26" s="216">
        <v>0</v>
      </c>
      <c r="C26" s="216">
        <v>0</v>
      </c>
      <c r="D26" s="216">
        <v>0.8</v>
      </c>
      <c r="E26" s="216">
        <v>0.8</v>
      </c>
      <c r="F26" s="216">
        <v>0.8</v>
      </c>
      <c r="G26" s="216">
        <v>0.8</v>
      </c>
      <c r="H26" s="216">
        <v>0.8</v>
      </c>
      <c r="I26" s="216">
        <v>0.8</v>
      </c>
      <c r="J26" s="216">
        <v>0.8</v>
      </c>
      <c r="K26" s="216">
        <v>0.8</v>
      </c>
      <c r="L26" s="216">
        <v>0.8</v>
      </c>
      <c r="M26" s="216">
        <v>0.8</v>
      </c>
      <c r="N26" s="216">
        <v>0.5</v>
      </c>
      <c r="O26" s="216">
        <v>0.8</v>
      </c>
      <c r="P26" s="216">
        <v>0.8</v>
      </c>
      <c r="Q26" s="216">
        <v>0.8</v>
      </c>
      <c r="R26" s="216">
        <v>0.5</v>
      </c>
      <c r="S26" s="216">
        <v>0.5</v>
      </c>
      <c r="T26" s="216">
        <v>0.5</v>
      </c>
      <c r="U26" s="216">
        <v>0.5</v>
      </c>
      <c r="V26" s="216">
        <v>0.5</v>
      </c>
      <c r="W26" s="216">
        <v>0.5</v>
      </c>
      <c r="X26" s="216">
        <v>0.5</v>
      </c>
      <c r="Y26" s="216">
        <v>0.5</v>
      </c>
      <c r="Z26" s="216">
        <v>0.1</v>
      </c>
      <c r="AA26" s="216">
        <v>0.1</v>
      </c>
      <c r="AB26" s="216">
        <v>0.1</v>
      </c>
      <c r="AC26" s="216">
        <v>0.1</v>
      </c>
      <c r="AD26" s="216">
        <v>0.1</v>
      </c>
      <c r="AE26" s="216">
        <v>0.1</v>
      </c>
      <c r="AF26" s="216">
        <v>0.1</v>
      </c>
      <c r="AG26" s="216">
        <v>0.5</v>
      </c>
      <c r="AH26" s="216">
        <v>0.5</v>
      </c>
      <c r="AI26" s="216">
        <v>0.5</v>
      </c>
      <c r="AJ26" s="216">
        <v>0.5</v>
      </c>
      <c r="AK26" s="216">
        <v>0.5</v>
      </c>
      <c r="AL26" s="216">
        <v>0.5</v>
      </c>
      <c r="AM26" s="216">
        <v>0.5</v>
      </c>
      <c r="AN26" s="216">
        <v>0.5</v>
      </c>
      <c r="AO26" s="216">
        <v>0.5</v>
      </c>
      <c r="AP26" s="216">
        <v>0.5</v>
      </c>
      <c r="AQ26" s="216">
        <v>0.5</v>
      </c>
      <c r="AR26" s="216">
        <v>0.5</v>
      </c>
      <c r="AS26" s="216">
        <v>0.8</v>
      </c>
      <c r="AT26" s="216">
        <v>0.5</v>
      </c>
      <c r="AU26" s="216">
        <v>0.5</v>
      </c>
      <c r="AV26" s="216">
        <v>0.8</v>
      </c>
      <c r="AW26" s="216">
        <v>0.5</v>
      </c>
      <c r="AX26" s="216">
        <v>0.8</v>
      </c>
      <c r="AY26" s="216">
        <v>0.8</v>
      </c>
      <c r="AZ26" s="216">
        <v>0.8</v>
      </c>
      <c r="BA26" s="216">
        <v>0.8</v>
      </c>
      <c r="BB26" s="216">
        <v>0.5</v>
      </c>
      <c r="BC26" s="216">
        <v>0.8</v>
      </c>
      <c r="BD26" s="216">
        <v>0.8</v>
      </c>
      <c r="BE26" s="216">
        <v>0.8</v>
      </c>
      <c r="BF26" s="216">
        <v>0.8</v>
      </c>
      <c r="BG26" s="216">
        <v>0.8</v>
      </c>
      <c r="BH26" s="216">
        <v>0.8</v>
      </c>
      <c r="BI26" s="216">
        <v>0.8</v>
      </c>
      <c r="BJ26" s="216">
        <v>0.8</v>
      </c>
      <c r="BK26" s="216">
        <v>0.8</v>
      </c>
      <c r="BL26" s="216">
        <v>0.8</v>
      </c>
      <c r="BM26" s="216">
        <v>0.8</v>
      </c>
      <c r="BN26" s="216">
        <v>0.8</v>
      </c>
      <c r="BO26" s="216">
        <v>0.8</v>
      </c>
      <c r="BP26" s="216">
        <v>0.8</v>
      </c>
      <c r="BQ26" s="216">
        <v>0.8</v>
      </c>
      <c r="BR26" s="216">
        <v>0.8</v>
      </c>
      <c r="BS26" s="216">
        <v>0.8</v>
      </c>
      <c r="BT26" s="216">
        <v>0.8</v>
      </c>
      <c r="BU26" s="216">
        <v>0.8</v>
      </c>
      <c r="BV26" s="216">
        <v>0.8</v>
      </c>
      <c r="BW26" s="216">
        <v>0.8</v>
      </c>
      <c r="BX26" s="216">
        <v>0.8</v>
      </c>
      <c r="BY26" s="216">
        <v>0.8</v>
      </c>
      <c r="BZ26" s="216">
        <v>0.8</v>
      </c>
      <c r="CA26" s="216">
        <v>0.8</v>
      </c>
      <c r="CB26" s="216">
        <v>0.5</v>
      </c>
      <c r="CC26" s="216">
        <v>0.5</v>
      </c>
      <c r="CD26" s="216">
        <v>0.8</v>
      </c>
      <c r="CE26" s="216">
        <v>0.8</v>
      </c>
      <c r="CF26" s="216">
        <v>0.8</v>
      </c>
      <c r="CG26" s="216">
        <v>0.8</v>
      </c>
      <c r="CH26" s="216">
        <v>0.5</v>
      </c>
      <c r="CI26" s="216">
        <v>0</v>
      </c>
      <c r="CJ26" s="216">
        <v>0</v>
      </c>
      <c r="CK26" s="216">
        <v>0</v>
      </c>
      <c r="CL26" s="216">
        <v>0</v>
      </c>
      <c r="CM26" s="216">
        <v>0</v>
      </c>
    </row>
    <row r="27" spans="1:91" s="216" customFormat="1" ht="15" x14ac:dyDescent="0.5">
      <c r="A27" s="246" t="s">
        <v>274</v>
      </c>
      <c r="B27" s="216">
        <v>0</v>
      </c>
      <c r="C27" s="216">
        <v>0</v>
      </c>
      <c r="D27" s="216">
        <v>0.8</v>
      </c>
      <c r="E27" s="216">
        <v>0.8</v>
      </c>
      <c r="F27" s="216">
        <v>0.8</v>
      </c>
      <c r="G27" s="216">
        <v>0.8</v>
      </c>
      <c r="H27" s="216">
        <v>0.8</v>
      </c>
      <c r="I27" s="216">
        <v>0.8</v>
      </c>
      <c r="J27" s="216">
        <v>0.8</v>
      </c>
      <c r="K27" s="216">
        <v>0.8</v>
      </c>
      <c r="L27" s="216">
        <v>0.8</v>
      </c>
      <c r="M27" s="216">
        <v>0.8</v>
      </c>
      <c r="N27" s="216">
        <v>0.5</v>
      </c>
      <c r="O27" s="216">
        <v>0.8</v>
      </c>
      <c r="P27" s="216">
        <v>0.8</v>
      </c>
      <c r="Q27" s="216">
        <v>0.8</v>
      </c>
      <c r="R27" s="216">
        <v>0.5</v>
      </c>
      <c r="S27" s="216">
        <v>0.5</v>
      </c>
      <c r="T27" s="216">
        <v>0.5</v>
      </c>
      <c r="U27" s="216">
        <v>0.5</v>
      </c>
      <c r="V27" s="216">
        <v>0.5</v>
      </c>
      <c r="W27" s="216">
        <v>0.5</v>
      </c>
      <c r="X27" s="216">
        <v>0.5</v>
      </c>
      <c r="Y27" s="216">
        <v>0.5</v>
      </c>
      <c r="Z27" s="216">
        <v>0.1</v>
      </c>
      <c r="AA27" s="216">
        <v>0.1</v>
      </c>
      <c r="AB27" s="216">
        <v>0.1</v>
      </c>
      <c r="AC27" s="216">
        <v>0.1</v>
      </c>
      <c r="AD27" s="216">
        <v>0.1</v>
      </c>
      <c r="AE27" s="216">
        <v>0.1</v>
      </c>
      <c r="AF27" s="216">
        <v>0.1</v>
      </c>
      <c r="AG27" s="216">
        <v>0.5</v>
      </c>
      <c r="AH27" s="216">
        <v>0.5</v>
      </c>
      <c r="AI27" s="216">
        <v>0.5</v>
      </c>
      <c r="AJ27" s="216">
        <v>0.5</v>
      </c>
      <c r="AK27" s="216">
        <v>0.5</v>
      </c>
      <c r="AL27" s="216">
        <v>0.5</v>
      </c>
      <c r="AM27" s="216">
        <v>0.5</v>
      </c>
      <c r="AN27" s="216">
        <v>0.5</v>
      </c>
      <c r="AO27" s="216">
        <v>0.5</v>
      </c>
      <c r="AP27" s="216">
        <v>0.5</v>
      </c>
      <c r="AQ27" s="216">
        <v>0.5</v>
      </c>
      <c r="AR27" s="216">
        <v>0.5</v>
      </c>
      <c r="AS27" s="216">
        <v>0.8</v>
      </c>
      <c r="AT27" s="216">
        <v>0.5</v>
      </c>
      <c r="AU27" s="216">
        <v>0.5</v>
      </c>
      <c r="AV27" s="216">
        <v>0.8</v>
      </c>
      <c r="AW27" s="216">
        <v>0.5</v>
      </c>
      <c r="AX27" s="216">
        <v>0.8</v>
      </c>
      <c r="AY27" s="216">
        <v>0.8</v>
      </c>
      <c r="AZ27" s="216">
        <v>0.8</v>
      </c>
      <c r="BA27" s="216">
        <v>0.8</v>
      </c>
      <c r="BB27" s="216">
        <v>0.5</v>
      </c>
      <c r="BC27" s="216">
        <v>0.8</v>
      </c>
      <c r="BD27" s="216">
        <v>0.8</v>
      </c>
      <c r="BE27" s="216">
        <v>0.8</v>
      </c>
      <c r="BF27" s="216">
        <v>0.8</v>
      </c>
      <c r="BG27" s="216">
        <v>0.8</v>
      </c>
      <c r="BH27" s="216">
        <v>0.8</v>
      </c>
      <c r="BI27" s="216">
        <v>0.8</v>
      </c>
      <c r="BJ27" s="216">
        <v>0.8</v>
      </c>
      <c r="BK27" s="216">
        <v>0.8</v>
      </c>
      <c r="BL27" s="216">
        <v>0.8</v>
      </c>
      <c r="BM27" s="216">
        <v>0.8</v>
      </c>
      <c r="BN27" s="216">
        <v>0.8</v>
      </c>
      <c r="BO27" s="216">
        <v>0.8</v>
      </c>
      <c r="BP27" s="216">
        <v>0.8</v>
      </c>
      <c r="BQ27" s="216">
        <v>0.8</v>
      </c>
      <c r="BR27" s="216">
        <v>0.8</v>
      </c>
      <c r="BS27" s="216">
        <v>0.8</v>
      </c>
      <c r="BT27" s="216">
        <v>0.8</v>
      </c>
      <c r="BU27" s="216">
        <v>0.8</v>
      </c>
      <c r="BV27" s="216">
        <v>0.8</v>
      </c>
      <c r="BW27" s="216">
        <v>0.8</v>
      </c>
      <c r="BX27" s="216">
        <v>0.8</v>
      </c>
      <c r="BY27" s="216">
        <v>0.8</v>
      </c>
      <c r="BZ27" s="216">
        <v>0.8</v>
      </c>
      <c r="CA27" s="216">
        <v>0.8</v>
      </c>
      <c r="CB27" s="216">
        <v>0.5</v>
      </c>
      <c r="CC27" s="216">
        <v>0.5</v>
      </c>
      <c r="CD27" s="216">
        <v>0.8</v>
      </c>
      <c r="CE27" s="216">
        <v>0.8</v>
      </c>
      <c r="CF27" s="216">
        <v>0.8</v>
      </c>
      <c r="CG27" s="216">
        <v>0.8</v>
      </c>
      <c r="CH27" s="216">
        <v>0.5</v>
      </c>
      <c r="CI27" s="216">
        <v>0</v>
      </c>
      <c r="CJ27" s="216">
        <v>0</v>
      </c>
      <c r="CK27" s="216">
        <v>0</v>
      </c>
      <c r="CL27" s="216">
        <v>0</v>
      </c>
      <c r="CM27" s="216">
        <v>0</v>
      </c>
    </row>
    <row r="28" spans="1:91" s="216" customFormat="1" ht="15" x14ac:dyDescent="0.5">
      <c r="A28" s="246" t="s">
        <v>275</v>
      </c>
      <c r="B28" s="216">
        <v>0</v>
      </c>
      <c r="C28" s="216">
        <v>0</v>
      </c>
      <c r="D28" s="216">
        <v>0.8</v>
      </c>
      <c r="E28" s="216">
        <v>0.8</v>
      </c>
      <c r="F28" s="216">
        <v>0.8</v>
      </c>
      <c r="G28" s="216">
        <v>0.8</v>
      </c>
      <c r="H28" s="216">
        <v>0.8</v>
      </c>
      <c r="I28" s="216">
        <v>0.8</v>
      </c>
      <c r="J28" s="216">
        <v>0.8</v>
      </c>
      <c r="K28" s="216">
        <v>0.8</v>
      </c>
      <c r="L28" s="216">
        <v>0.8</v>
      </c>
      <c r="M28" s="216">
        <v>0.8</v>
      </c>
      <c r="N28" s="216">
        <v>0.5</v>
      </c>
      <c r="O28" s="216">
        <v>0.8</v>
      </c>
      <c r="P28" s="216">
        <v>0.8</v>
      </c>
      <c r="Q28" s="216">
        <v>0.8</v>
      </c>
      <c r="R28" s="216">
        <v>0.5</v>
      </c>
      <c r="S28" s="216">
        <v>0.5</v>
      </c>
      <c r="T28" s="216">
        <v>0.5</v>
      </c>
      <c r="U28" s="216">
        <v>0.5</v>
      </c>
      <c r="V28" s="216">
        <v>0.5</v>
      </c>
      <c r="W28" s="216">
        <v>0.5</v>
      </c>
      <c r="X28" s="216">
        <v>0.5</v>
      </c>
      <c r="Y28" s="216">
        <v>0.5</v>
      </c>
      <c r="Z28" s="216">
        <v>0.1</v>
      </c>
      <c r="AA28" s="216">
        <v>0.1</v>
      </c>
      <c r="AB28" s="216">
        <v>0.1</v>
      </c>
      <c r="AC28" s="216">
        <v>0.1</v>
      </c>
      <c r="AD28" s="216">
        <v>0.1</v>
      </c>
      <c r="AE28" s="216">
        <v>0.1</v>
      </c>
      <c r="AF28" s="216">
        <v>0.1</v>
      </c>
      <c r="AG28" s="216">
        <v>0.5</v>
      </c>
      <c r="AH28" s="216">
        <v>0.5</v>
      </c>
      <c r="AI28" s="216">
        <v>0.5</v>
      </c>
      <c r="AJ28" s="216">
        <v>0.5</v>
      </c>
      <c r="AK28" s="216">
        <v>0.5</v>
      </c>
      <c r="AL28" s="216">
        <v>0.5</v>
      </c>
      <c r="AM28" s="216">
        <v>0.5</v>
      </c>
      <c r="AN28" s="216">
        <v>0.5</v>
      </c>
      <c r="AO28" s="216">
        <v>0.5</v>
      </c>
      <c r="AP28" s="216">
        <v>0.5</v>
      </c>
      <c r="AQ28" s="216">
        <v>0.5</v>
      </c>
      <c r="AR28" s="216">
        <v>0.5</v>
      </c>
      <c r="AS28" s="216">
        <v>0.8</v>
      </c>
      <c r="AT28" s="216">
        <v>0.5</v>
      </c>
      <c r="AU28" s="216">
        <v>0.5</v>
      </c>
      <c r="AV28" s="216">
        <v>0.8</v>
      </c>
      <c r="AW28" s="216">
        <v>0.5</v>
      </c>
      <c r="AX28" s="216">
        <v>0.8</v>
      </c>
      <c r="AY28" s="216">
        <v>0.8</v>
      </c>
      <c r="AZ28" s="216">
        <v>0.8</v>
      </c>
      <c r="BA28" s="216">
        <v>0.8</v>
      </c>
      <c r="BB28" s="216">
        <v>0.5</v>
      </c>
      <c r="BC28" s="216">
        <v>0.8</v>
      </c>
      <c r="BD28" s="216">
        <v>0.8</v>
      </c>
      <c r="BE28" s="216">
        <v>0.8</v>
      </c>
      <c r="BF28" s="216">
        <v>0.8</v>
      </c>
      <c r="BG28" s="216">
        <v>0.8</v>
      </c>
      <c r="BH28" s="216">
        <v>0.8</v>
      </c>
      <c r="BI28" s="216">
        <v>0.8</v>
      </c>
      <c r="BJ28" s="216">
        <v>0.8</v>
      </c>
      <c r="BK28" s="216">
        <v>0.8</v>
      </c>
      <c r="BL28" s="216">
        <v>0.8</v>
      </c>
      <c r="BM28" s="216">
        <v>0.8</v>
      </c>
      <c r="BN28" s="216">
        <v>0.8</v>
      </c>
      <c r="BO28" s="216">
        <v>0.8</v>
      </c>
      <c r="BP28" s="216">
        <v>0.8</v>
      </c>
      <c r="BQ28" s="216">
        <v>0.8</v>
      </c>
      <c r="BR28" s="216">
        <v>0.8</v>
      </c>
      <c r="BS28" s="216">
        <v>0.8</v>
      </c>
      <c r="BT28" s="216">
        <v>0.8</v>
      </c>
      <c r="BU28" s="216">
        <v>0.8</v>
      </c>
      <c r="BV28" s="216">
        <v>0.8</v>
      </c>
      <c r="BW28" s="216">
        <v>0.8</v>
      </c>
      <c r="BX28" s="216">
        <v>0.8</v>
      </c>
      <c r="BY28" s="216">
        <v>0.8</v>
      </c>
      <c r="BZ28" s="216">
        <v>0.8</v>
      </c>
      <c r="CA28" s="216">
        <v>0.8</v>
      </c>
      <c r="CB28" s="216">
        <v>0.5</v>
      </c>
      <c r="CC28" s="216">
        <v>0.5</v>
      </c>
      <c r="CD28" s="216">
        <v>0.8</v>
      </c>
      <c r="CE28" s="216">
        <v>0.8</v>
      </c>
      <c r="CF28" s="216">
        <v>0.8</v>
      </c>
      <c r="CG28" s="216">
        <v>0.8</v>
      </c>
      <c r="CH28" s="216">
        <v>0.5</v>
      </c>
      <c r="CI28" s="216">
        <v>0</v>
      </c>
      <c r="CJ28" s="216">
        <v>0</v>
      </c>
      <c r="CK28" s="216">
        <v>0</v>
      </c>
      <c r="CL28" s="216">
        <v>0</v>
      </c>
      <c r="CM28" s="216">
        <v>0</v>
      </c>
    </row>
    <row r="29" spans="1:91" s="216" customFormat="1" ht="15" x14ac:dyDescent="0.5">
      <c r="A29" s="246" t="s">
        <v>276</v>
      </c>
      <c r="B29" s="216">
        <v>0</v>
      </c>
      <c r="C29" s="216">
        <v>0</v>
      </c>
      <c r="D29" s="216">
        <v>0.8</v>
      </c>
      <c r="E29" s="216">
        <v>0.8</v>
      </c>
      <c r="F29" s="216">
        <v>0.8</v>
      </c>
      <c r="G29" s="216">
        <v>0.8</v>
      </c>
      <c r="H29" s="216">
        <v>0.8</v>
      </c>
      <c r="I29" s="216">
        <v>0.8</v>
      </c>
      <c r="J29" s="216">
        <v>0.8</v>
      </c>
      <c r="K29" s="216">
        <v>0.8</v>
      </c>
      <c r="L29" s="216">
        <v>0.8</v>
      </c>
      <c r="M29" s="216">
        <v>0.8</v>
      </c>
      <c r="N29" s="216">
        <v>0.5</v>
      </c>
      <c r="O29" s="216">
        <v>0.8</v>
      </c>
      <c r="P29" s="216">
        <v>0.8</v>
      </c>
      <c r="Q29" s="216">
        <v>0.8</v>
      </c>
      <c r="R29" s="216">
        <v>0.5</v>
      </c>
      <c r="S29" s="216">
        <v>0.5</v>
      </c>
      <c r="T29" s="216">
        <v>0.5</v>
      </c>
      <c r="U29" s="216">
        <v>0.5</v>
      </c>
      <c r="V29" s="216">
        <v>0.5</v>
      </c>
      <c r="W29" s="216">
        <v>0.5</v>
      </c>
      <c r="X29" s="216">
        <v>0.5</v>
      </c>
      <c r="Y29" s="216">
        <v>0.5</v>
      </c>
      <c r="Z29" s="216">
        <v>0.1</v>
      </c>
      <c r="AA29" s="216">
        <v>0.1</v>
      </c>
      <c r="AB29" s="216">
        <v>0.1</v>
      </c>
      <c r="AC29" s="216">
        <v>0.1</v>
      </c>
      <c r="AD29" s="216">
        <v>0.1</v>
      </c>
      <c r="AE29" s="216">
        <v>0.1</v>
      </c>
      <c r="AF29" s="216">
        <v>0.1</v>
      </c>
      <c r="AG29" s="216">
        <v>0.5</v>
      </c>
      <c r="AH29" s="216">
        <v>0.5</v>
      </c>
      <c r="AI29" s="216">
        <v>0.5</v>
      </c>
      <c r="AJ29" s="216">
        <v>0.5</v>
      </c>
      <c r="AK29" s="216">
        <v>0.5</v>
      </c>
      <c r="AL29" s="216">
        <v>0.5</v>
      </c>
      <c r="AM29" s="216">
        <v>0.5</v>
      </c>
      <c r="AN29" s="216">
        <v>0.5</v>
      </c>
      <c r="AO29" s="216">
        <v>0.5</v>
      </c>
      <c r="AP29" s="216">
        <v>0.5</v>
      </c>
      <c r="AQ29" s="216">
        <v>0.5</v>
      </c>
      <c r="AR29" s="216">
        <v>0.5</v>
      </c>
      <c r="AS29" s="216">
        <v>0.8</v>
      </c>
      <c r="AT29" s="216">
        <v>0.5</v>
      </c>
      <c r="AU29" s="216">
        <v>0.5</v>
      </c>
      <c r="AV29" s="216">
        <v>0.8</v>
      </c>
      <c r="AW29" s="216">
        <v>0.5</v>
      </c>
      <c r="AX29" s="216">
        <v>0.8</v>
      </c>
      <c r="AY29" s="216">
        <v>0.8</v>
      </c>
      <c r="AZ29" s="216">
        <v>0.8</v>
      </c>
      <c r="BA29" s="216">
        <v>0.8</v>
      </c>
      <c r="BB29" s="216">
        <v>0.5</v>
      </c>
      <c r="BC29" s="216">
        <v>0.8</v>
      </c>
      <c r="BD29" s="216">
        <v>0.8</v>
      </c>
      <c r="BE29" s="216">
        <v>0.8</v>
      </c>
      <c r="BF29" s="216">
        <v>0.8</v>
      </c>
      <c r="BG29" s="216">
        <v>0.8</v>
      </c>
      <c r="BH29" s="216">
        <v>0.8</v>
      </c>
      <c r="BI29" s="216">
        <v>0.8</v>
      </c>
      <c r="BJ29" s="216">
        <v>0.8</v>
      </c>
      <c r="BK29" s="216">
        <v>0.8</v>
      </c>
      <c r="BL29" s="216">
        <v>0.8</v>
      </c>
      <c r="BM29" s="216">
        <v>0.8</v>
      </c>
      <c r="BN29" s="216">
        <v>0.8</v>
      </c>
      <c r="BO29" s="216">
        <v>0.8</v>
      </c>
      <c r="BP29" s="216">
        <v>0.8</v>
      </c>
      <c r="BQ29" s="216">
        <v>0.8</v>
      </c>
      <c r="BR29" s="216">
        <v>0.8</v>
      </c>
      <c r="BS29" s="216">
        <v>0.8</v>
      </c>
      <c r="BT29" s="216">
        <v>0.8</v>
      </c>
      <c r="BU29" s="216">
        <v>0.8</v>
      </c>
      <c r="BV29" s="216">
        <v>0.8</v>
      </c>
      <c r="BW29" s="216">
        <v>0.8</v>
      </c>
      <c r="BX29" s="216">
        <v>0.8</v>
      </c>
      <c r="BY29" s="216">
        <v>0.8</v>
      </c>
      <c r="BZ29" s="216">
        <v>0.8</v>
      </c>
      <c r="CA29" s="216">
        <v>0.8</v>
      </c>
      <c r="CB29" s="216">
        <v>0.5</v>
      </c>
      <c r="CC29" s="216">
        <v>0.5</v>
      </c>
      <c r="CD29" s="216">
        <v>0.8</v>
      </c>
      <c r="CE29" s="216">
        <v>0.8</v>
      </c>
      <c r="CF29" s="216">
        <v>0.8</v>
      </c>
      <c r="CG29" s="216">
        <v>0.8</v>
      </c>
      <c r="CH29" s="216">
        <v>0.5</v>
      </c>
      <c r="CI29" s="216">
        <v>0</v>
      </c>
      <c r="CJ29" s="216">
        <v>0</v>
      </c>
      <c r="CK29" s="216">
        <v>0</v>
      </c>
      <c r="CL29" s="216">
        <v>0</v>
      </c>
      <c r="CM29" s="216">
        <v>0</v>
      </c>
    </row>
    <row r="30" spans="1:91" s="216" customFormat="1" ht="15" x14ac:dyDescent="0.5">
      <c r="A30" s="246" t="s">
        <v>277</v>
      </c>
      <c r="B30" s="216">
        <v>0</v>
      </c>
      <c r="C30" s="216">
        <v>0</v>
      </c>
      <c r="D30" s="216">
        <v>0.8</v>
      </c>
      <c r="E30" s="216">
        <v>0.8</v>
      </c>
      <c r="F30" s="216">
        <v>0.8</v>
      </c>
      <c r="G30" s="216">
        <v>0.8</v>
      </c>
      <c r="H30" s="216">
        <v>0.8</v>
      </c>
      <c r="I30" s="216">
        <v>0.8</v>
      </c>
      <c r="J30" s="216">
        <v>0.8</v>
      </c>
      <c r="K30" s="216">
        <v>0.8</v>
      </c>
      <c r="L30" s="216">
        <v>0.8</v>
      </c>
      <c r="M30" s="216">
        <v>0.8</v>
      </c>
      <c r="N30" s="216">
        <v>0.5</v>
      </c>
      <c r="O30" s="216">
        <v>0.8</v>
      </c>
      <c r="P30" s="216">
        <v>0.8</v>
      </c>
      <c r="Q30" s="216">
        <v>0.8</v>
      </c>
      <c r="R30" s="216">
        <v>0.5</v>
      </c>
      <c r="S30" s="216">
        <v>0.5</v>
      </c>
      <c r="T30" s="216">
        <v>0.5</v>
      </c>
      <c r="U30" s="216">
        <v>0.5</v>
      </c>
      <c r="V30" s="216">
        <v>0.5</v>
      </c>
      <c r="W30" s="216">
        <v>0.5</v>
      </c>
      <c r="X30" s="216">
        <v>0.5</v>
      </c>
      <c r="Y30" s="216">
        <v>0.5</v>
      </c>
      <c r="Z30" s="216">
        <v>0.1</v>
      </c>
      <c r="AA30" s="216">
        <v>0.1</v>
      </c>
      <c r="AB30" s="216">
        <v>0.1</v>
      </c>
      <c r="AC30" s="216">
        <v>0.1</v>
      </c>
      <c r="AD30" s="216">
        <v>0.1</v>
      </c>
      <c r="AE30" s="216">
        <v>0.1</v>
      </c>
      <c r="AF30" s="216">
        <v>0.1</v>
      </c>
      <c r="AG30" s="216">
        <v>0.5</v>
      </c>
      <c r="AH30" s="216">
        <v>0.5</v>
      </c>
      <c r="AI30" s="216">
        <v>0.5</v>
      </c>
      <c r="AJ30" s="216">
        <v>0.5</v>
      </c>
      <c r="AK30" s="216">
        <v>0.5</v>
      </c>
      <c r="AL30" s="216">
        <v>0.5</v>
      </c>
      <c r="AM30" s="216">
        <v>0.5</v>
      </c>
      <c r="AN30" s="216">
        <v>0.5</v>
      </c>
      <c r="AO30" s="216">
        <v>0.5</v>
      </c>
      <c r="AP30" s="216">
        <v>0.5</v>
      </c>
      <c r="AQ30" s="216">
        <v>0.5</v>
      </c>
      <c r="AR30" s="216">
        <v>0.5</v>
      </c>
      <c r="AS30" s="216">
        <v>0.8</v>
      </c>
      <c r="AT30" s="216">
        <v>0.5</v>
      </c>
      <c r="AU30" s="216">
        <v>0.5</v>
      </c>
      <c r="AV30" s="216">
        <v>0.8</v>
      </c>
      <c r="AW30" s="216">
        <v>0.5</v>
      </c>
      <c r="AX30" s="216">
        <v>0.8</v>
      </c>
      <c r="AY30" s="216">
        <v>0.8</v>
      </c>
      <c r="AZ30" s="216">
        <v>0.8</v>
      </c>
      <c r="BA30" s="216">
        <v>0.8</v>
      </c>
      <c r="BB30" s="216">
        <v>0.5</v>
      </c>
      <c r="BC30" s="216">
        <v>0.8</v>
      </c>
      <c r="BD30" s="216">
        <v>0.8</v>
      </c>
      <c r="BE30" s="216">
        <v>0.8</v>
      </c>
      <c r="BF30" s="216">
        <v>0.8</v>
      </c>
      <c r="BG30" s="216">
        <v>0.8</v>
      </c>
      <c r="BH30" s="216">
        <v>0.8</v>
      </c>
      <c r="BI30" s="216">
        <v>0.8</v>
      </c>
      <c r="BJ30" s="216">
        <v>0.8</v>
      </c>
      <c r="BK30" s="216">
        <v>0.8</v>
      </c>
      <c r="BL30" s="216">
        <v>0.8</v>
      </c>
      <c r="BM30" s="216">
        <v>0.8</v>
      </c>
      <c r="BN30" s="216">
        <v>0.8</v>
      </c>
      <c r="BO30" s="216">
        <v>0.8</v>
      </c>
      <c r="BP30" s="216">
        <v>0.8</v>
      </c>
      <c r="BQ30" s="216">
        <v>0.8</v>
      </c>
      <c r="BR30" s="216">
        <v>0.8</v>
      </c>
      <c r="BS30" s="216">
        <v>0.8</v>
      </c>
      <c r="BT30" s="216">
        <v>0.8</v>
      </c>
      <c r="BU30" s="216">
        <v>0.8</v>
      </c>
      <c r="BV30" s="216">
        <v>0.8</v>
      </c>
      <c r="BW30" s="216">
        <v>0.8</v>
      </c>
      <c r="BX30" s="216">
        <v>0.8</v>
      </c>
      <c r="BY30" s="216">
        <v>0.8</v>
      </c>
      <c r="BZ30" s="216">
        <v>0.8</v>
      </c>
      <c r="CA30" s="216">
        <v>0.8</v>
      </c>
      <c r="CB30" s="216">
        <v>0.5</v>
      </c>
      <c r="CC30" s="216">
        <v>0.5</v>
      </c>
      <c r="CD30" s="216">
        <v>0.8</v>
      </c>
      <c r="CE30" s="216">
        <v>0.8</v>
      </c>
      <c r="CF30" s="216">
        <v>0.8</v>
      </c>
      <c r="CG30" s="216">
        <v>0.8</v>
      </c>
      <c r="CH30" s="216">
        <v>0.5</v>
      </c>
      <c r="CI30" s="216">
        <v>0</v>
      </c>
      <c r="CJ30" s="216">
        <v>0</v>
      </c>
      <c r="CK30" s="216">
        <v>0</v>
      </c>
      <c r="CL30" s="216">
        <v>0</v>
      </c>
      <c r="CM30" s="216">
        <v>0</v>
      </c>
    </row>
    <row r="31" spans="1:91" s="216" customFormat="1" ht="15" x14ac:dyDescent="0.5">
      <c r="A31" s="246" t="s">
        <v>278</v>
      </c>
      <c r="B31" s="216">
        <v>0</v>
      </c>
      <c r="C31" s="216">
        <v>0</v>
      </c>
      <c r="D31" s="216">
        <v>0.8</v>
      </c>
      <c r="E31" s="216">
        <v>0.8</v>
      </c>
      <c r="F31" s="216">
        <v>0.8</v>
      </c>
      <c r="G31" s="216">
        <v>0.8</v>
      </c>
      <c r="H31" s="216">
        <v>0.8</v>
      </c>
      <c r="I31" s="216">
        <v>0.8</v>
      </c>
      <c r="J31" s="216">
        <v>0.8</v>
      </c>
      <c r="K31" s="216">
        <v>0.8</v>
      </c>
      <c r="L31" s="216">
        <v>0.8</v>
      </c>
      <c r="M31" s="216">
        <v>0.8</v>
      </c>
      <c r="N31" s="216">
        <v>0.5</v>
      </c>
      <c r="O31" s="216">
        <v>0.8</v>
      </c>
      <c r="P31" s="216">
        <v>0.8</v>
      </c>
      <c r="Q31" s="216">
        <v>0.8</v>
      </c>
      <c r="R31" s="216">
        <v>0.5</v>
      </c>
      <c r="S31" s="216">
        <v>0.5</v>
      </c>
      <c r="T31" s="216">
        <v>0.5</v>
      </c>
      <c r="U31" s="216">
        <v>0.5</v>
      </c>
      <c r="V31" s="216">
        <v>0.5</v>
      </c>
      <c r="W31" s="216">
        <v>0.5</v>
      </c>
      <c r="X31" s="216">
        <v>0.5</v>
      </c>
      <c r="Y31" s="216">
        <v>0.5</v>
      </c>
      <c r="Z31" s="216">
        <v>0.1</v>
      </c>
      <c r="AA31" s="216">
        <v>0.1</v>
      </c>
      <c r="AB31" s="216">
        <v>0.1</v>
      </c>
      <c r="AC31" s="216">
        <v>0.1</v>
      </c>
      <c r="AD31" s="216">
        <v>0.1</v>
      </c>
      <c r="AE31" s="216">
        <v>0.1</v>
      </c>
      <c r="AF31" s="216">
        <v>0.1</v>
      </c>
      <c r="AG31" s="216">
        <v>0.5</v>
      </c>
      <c r="AH31" s="216">
        <v>0.5</v>
      </c>
      <c r="AI31" s="216">
        <v>0.5</v>
      </c>
      <c r="AJ31" s="216">
        <v>0.5</v>
      </c>
      <c r="AK31" s="216">
        <v>0.5</v>
      </c>
      <c r="AL31" s="216">
        <v>0.5</v>
      </c>
      <c r="AM31" s="216">
        <v>0.5</v>
      </c>
      <c r="AN31" s="216">
        <v>0.5</v>
      </c>
      <c r="AO31" s="216">
        <v>0.5</v>
      </c>
      <c r="AP31" s="216">
        <v>0.5</v>
      </c>
      <c r="AQ31" s="216">
        <v>0.5</v>
      </c>
      <c r="AR31" s="216">
        <v>0.5</v>
      </c>
      <c r="AS31" s="216">
        <v>0.8</v>
      </c>
      <c r="AT31" s="216">
        <v>0.5</v>
      </c>
      <c r="AU31" s="216">
        <v>0.5</v>
      </c>
      <c r="AV31" s="216">
        <v>0.8</v>
      </c>
      <c r="AW31" s="216">
        <v>0.5</v>
      </c>
      <c r="AX31" s="216">
        <v>0.8</v>
      </c>
      <c r="AY31" s="216">
        <v>0.8</v>
      </c>
      <c r="AZ31" s="216">
        <v>0.8</v>
      </c>
      <c r="BA31" s="216">
        <v>0.8</v>
      </c>
      <c r="BB31" s="216">
        <v>0.5</v>
      </c>
      <c r="BC31" s="216">
        <v>0.8</v>
      </c>
      <c r="BD31" s="216">
        <v>0.8</v>
      </c>
      <c r="BE31" s="216">
        <v>0.8</v>
      </c>
      <c r="BF31" s="216">
        <v>0.8</v>
      </c>
      <c r="BG31" s="216">
        <v>0.8</v>
      </c>
      <c r="BH31" s="216">
        <v>0.8</v>
      </c>
      <c r="BI31" s="216">
        <v>0.8</v>
      </c>
      <c r="BJ31" s="216">
        <v>0.8</v>
      </c>
      <c r="BK31" s="216">
        <v>0.8</v>
      </c>
      <c r="BL31" s="216">
        <v>0.8</v>
      </c>
      <c r="BM31" s="216">
        <v>0.8</v>
      </c>
      <c r="BN31" s="216">
        <v>0.8</v>
      </c>
      <c r="BO31" s="216">
        <v>0.8</v>
      </c>
      <c r="BP31" s="216">
        <v>0.8</v>
      </c>
      <c r="BQ31" s="216">
        <v>0.8</v>
      </c>
      <c r="BR31" s="216">
        <v>0.8</v>
      </c>
      <c r="BS31" s="216">
        <v>0.8</v>
      </c>
      <c r="BT31" s="216">
        <v>0.8</v>
      </c>
      <c r="BU31" s="216">
        <v>0.8</v>
      </c>
      <c r="BV31" s="216">
        <v>0.8</v>
      </c>
      <c r="BW31" s="216">
        <v>0.8</v>
      </c>
      <c r="BX31" s="216">
        <v>0.8</v>
      </c>
      <c r="BY31" s="216">
        <v>0.8</v>
      </c>
      <c r="BZ31" s="216">
        <v>0.8</v>
      </c>
      <c r="CA31" s="216">
        <v>0.8</v>
      </c>
      <c r="CB31" s="216">
        <v>0.5</v>
      </c>
      <c r="CC31" s="216">
        <v>0.5</v>
      </c>
      <c r="CD31" s="216">
        <v>0.8</v>
      </c>
      <c r="CE31" s="216">
        <v>0.8</v>
      </c>
      <c r="CF31" s="216">
        <v>0.8</v>
      </c>
      <c r="CG31" s="216">
        <v>0.8</v>
      </c>
      <c r="CH31" s="216">
        <v>0.5</v>
      </c>
      <c r="CI31" s="216">
        <v>0</v>
      </c>
      <c r="CJ31" s="216">
        <v>0</v>
      </c>
      <c r="CK31" s="216">
        <v>0</v>
      </c>
      <c r="CL31" s="216">
        <v>0</v>
      </c>
      <c r="CM31" s="216">
        <v>0</v>
      </c>
    </row>
    <row r="32" spans="1:91" s="216" customFormat="1" ht="15" x14ac:dyDescent="0.5">
      <c r="A32" s="246" t="s">
        <v>279</v>
      </c>
      <c r="B32" s="216">
        <v>0</v>
      </c>
      <c r="C32" s="216">
        <v>0</v>
      </c>
      <c r="D32" s="216">
        <v>0.8</v>
      </c>
      <c r="E32" s="216">
        <v>0.8</v>
      </c>
      <c r="F32" s="216">
        <v>0.8</v>
      </c>
      <c r="G32" s="216">
        <v>0.8</v>
      </c>
      <c r="H32" s="216">
        <v>0.8</v>
      </c>
      <c r="I32" s="216">
        <v>0.8</v>
      </c>
      <c r="J32" s="216">
        <v>0.8</v>
      </c>
      <c r="K32" s="216">
        <v>0.8</v>
      </c>
      <c r="L32" s="216">
        <v>0.8</v>
      </c>
      <c r="M32" s="216">
        <v>0.8</v>
      </c>
      <c r="N32" s="216">
        <v>0.5</v>
      </c>
      <c r="O32" s="216">
        <v>0.8</v>
      </c>
      <c r="P32" s="216">
        <v>0.8</v>
      </c>
      <c r="Q32" s="216">
        <v>0.8</v>
      </c>
      <c r="R32" s="216">
        <v>0.5</v>
      </c>
      <c r="S32" s="216">
        <v>0.5</v>
      </c>
      <c r="T32" s="216">
        <v>0.5</v>
      </c>
      <c r="U32" s="216">
        <v>0.5</v>
      </c>
      <c r="V32" s="216">
        <v>0.5</v>
      </c>
      <c r="W32" s="216">
        <v>0.5</v>
      </c>
      <c r="X32" s="216">
        <v>0.5</v>
      </c>
      <c r="Y32" s="216">
        <v>0.5</v>
      </c>
      <c r="Z32" s="216">
        <v>0.1</v>
      </c>
      <c r="AA32" s="216">
        <v>0.1</v>
      </c>
      <c r="AB32" s="216">
        <v>0.1</v>
      </c>
      <c r="AC32" s="216">
        <v>0.1</v>
      </c>
      <c r="AD32" s="216">
        <v>0.1</v>
      </c>
      <c r="AE32" s="216">
        <v>0.1</v>
      </c>
      <c r="AF32" s="216">
        <v>0.1</v>
      </c>
      <c r="AG32" s="216">
        <v>0.5</v>
      </c>
      <c r="AH32" s="216">
        <v>0.5</v>
      </c>
      <c r="AI32" s="216">
        <v>0.5</v>
      </c>
      <c r="AJ32" s="216">
        <v>0.5</v>
      </c>
      <c r="AK32" s="216">
        <v>0.5</v>
      </c>
      <c r="AL32" s="216">
        <v>0.5</v>
      </c>
      <c r="AM32" s="216">
        <v>0.5</v>
      </c>
      <c r="AN32" s="216">
        <v>0.5</v>
      </c>
      <c r="AO32" s="216">
        <v>0.5</v>
      </c>
      <c r="AP32" s="216">
        <v>0.5</v>
      </c>
      <c r="AQ32" s="216">
        <v>0.5</v>
      </c>
      <c r="AR32" s="216">
        <v>0.5</v>
      </c>
      <c r="AS32" s="216">
        <v>0.8</v>
      </c>
      <c r="AT32" s="216">
        <v>0.5</v>
      </c>
      <c r="AU32" s="216">
        <v>0.5</v>
      </c>
      <c r="AV32" s="216">
        <v>0.8</v>
      </c>
      <c r="AW32" s="216">
        <v>0.5</v>
      </c>
      <c r="AX32" s="216">
        <v>0.8</v>
      </c>
      <c r="AY32" s="216">
        <v>0.8</v>
      </c>
      <c r="AZ32" s="216">
        <v>0.8</v>
      </c>
      <c r="BA32" s="216">
        <v>0.8</v>
      </c>
      <c r="BB32" s="216">
        <v>0.5</v>
      </c>
      <c r="BC32" s="216">
        <v>0.8</v>
      </c>
      <c r="BD32" s="216">
        <v>0.8</v>
      </c>
      <c r="BE32" s="216">
        <v>0.8</v>
      </c>
      <c r="BF32" s="216">
        <v>0.8</v>
      </c>
      <c r="BG32" s="216">
        <v>0.8</v>
      </c>
      <c r="BH32" s="216">
        <v>0.8</v>
      </c>
      <c r="BI32" s="216">
        <v>0.8</v>
      </c>
      <c r="BJ32" s="216">
        <v>0.8</v>
      </c>
      <c r="BK32" s="216">
        <v>0.8</v>
      </c>
      <c r="BL32" s="216">
        <v>0.8</v>
      </c>
      <c r="BM32" s="216">
        <v>0.8</v>
      </c>
      <c r="BN32" s="216">
        <v>0.8</v>
      </c>
      <c r="BO32" s="216">
        <v>0.8</v>
      </c>
      <c r="BP32" s="216">
        <v>0.8</v>
      </c>
      <c r="BQ32" s="216">
        <v>0.8</v>
      </c>
      <c r="BR32" s="216">
        <v>0.8</v>
      </c>
      <c r="BS32" s="216">
        <v>0.8</v>
      </c>
      <c r="BT32" s="216">
        <v>0.8</v>
      </c>
      <c r="BU32" s="216">
        <v>0.8</v>
      </c>
      <c r="BV32" s="216">
        <v>0.8</v>
      </c>
      <c r="BW32" s="216">
        <v>0.8</v>
      </c>
      <c r="BX32" s="216">
        <v>0.8</v>
      </c>
      <c r="BY32" s="216">
        <v>0.8</v>
      </c>
      <c r="BZ32" s="216">
        <v>0.8</v>
      </c>
      <c r="CA32" s="216">
        <v>0.8</v>
      </c>
      <c r="CB32" s="216">
        <v>0.5</v>
      </c>
      <c r="CC32" s="216">
        <v>0.5</v>
      </c>
      <c r="CD32" s="216">
        <v>0.8</v>
      </c>
      <c r="CE32" s="216">
        <v>0.8</v>
      </c>
      <c r="CF32" s="216">
        <v>0.8</v>
      </c>
      <c r="CG32" s="216">
        <v>0.8</v>
      </c>
      <c r="CH32" s="216">
        <v>0.5</v>
      </c>
      <c r="CI32" s="216">
        <v>0</v>
      </c>
      <c r="CJ32" s="216">
        <v>0</v>
      </c>
      <c r="CK32" s="216">
        <v>0</v>
      </c>
      <c r="CL32" s="216">
        <v>0</v>
      </c>
      <c r="CM32" s="216">
        <v>0</v>
      </c>
    </row>
    <row r="33" spans="1:91" s="216" customFormat="1" ht="15" x14ac:dyDescent="0.5">
      <c r="A33" s="245" t="s">
        <v>200</v>
      </c>
      <c r="B33" s="216">
        <v>0</v>
      </c>
      <c r="C33" s="216">
        <v>0</v>
      </c>
      <c r="D33" s="216">
        <v>0.8</v>
      </c>
      <c r="E33" s="216">
        <v>0.8</v>
      </c>
      <c r="F33" s="216">
        <v>0.8</v>
      </c>
      <c r="G33" s="216">
        <v>0.8</v>
      </c>
      <c r="H33" s="216">
        <v>0.8</v>
      </c>
      <c r="I33" s="216">
        <v>0.8</v>
      </c>
      <c r="J33" s="216">
        <v>0.8</v>
      </c>
      <c r="K33" s="216">
        <v>0.8</v>
      </c>
      <c r="L33" s="216">
        <v>0.8</v>
      </c>
      <c r="M33" s="216">
        <v>0.8</v>
      </c>
      <c r="N33" s="216">
        <v>0.5</v>
      </c>
      <c r="O33" s="216">
        <v>0.8</v>
      </c>
      <c r="P33" s="216">
        <v>0.8</v>
      </c>
      <c r="Q33" s="216">
        <v>0.8</v>
      </c>
      <c r="R33" s="216">
        <v>0.5</v>
      </c>
      <c r="S33" s="216">
        <v>0.5</v>
      </c>
      <c r="T33" s="216">
        <v>0.5</v>
      </c>
      <c r="U33" s="216">
        <v>0.5</v>
      </c>
      <c r="V33" s="216">
        <v>0.5</v>
      </c>
      <c r="W33" s="216">
        <v>0.5</v>
      </c>
      <c r="X33" s="216">
        <v>0.5</v>
      </c>
      <c r="Y33" s="216">
        <v>0.5</v>
      </c>
      <c r="Z33" s="216">
        <v>0.1</v>
      </c>
      <c r="AA33" s="216">
        <v>0.1</v>
      </c>
      <c r="AB33" s="216">
        <v>0.1</v>
      </c>
      <c r="AC33" s="216">
        <v>0.1</v>
      </c>
      <c r="AD33" s="216">
        <v>0.1</v>
      </c>
      <c r="AE33" s="216">
        <v>0.1</v>
      </c>
      <c r="AF33" s="216">
        <v>0.1</v>
      </c>
      <c r="AG33" s="216">
        <v>0.5</v>
      </c>
      <c r="AH33" s="216">
        <v>0.5</v>
      </c>
      <c r="AI33" s="216">
        <v>0.5</v>
      </c>
      <c r="AJ33" s="216">
        <v>0.5</v>
      </c>
      <c r="AK33" s="216">
        <v>0.5</v>
      </c>
      <c r="AL33" s="216">
        <v>0.5</v>
      </c>
      <c r="AM33" s="216">
        <v>0.5</v>
      </c>
      <c r="AN33" s="216">
        <v>0.5</v>
      </c>
      <c r="AO33" s="216">
        <v>0.5</v>
      </c>
      <c r="AP33" s="216">
        <v>0.5</v>
      </c>
      <c r="AQ33" s="216">
        <v>0.5</v>
      </c>
      <c r="AR33" s="216">
        <v>0.5</v>
      </c>
      <c r="AS33" s="216">
        <v>0.8</v>
      </c>
      <c r="AT33" s="216">
        <v>0.5</v>
      </c>
      <c r="AU33" s="216">
        <v>0.5</v>
      </c>
      <c r="AV33" s="216">
        <v>0.8</v>
      </c>
      <c r="AW33" s="216">
        <v>0.5</v>
      </c>
      <c r="AX33" s="216">
        <v>0.8</v>
      </c>
      <c r="AY33" s="216">
        <v>0.8</v>
      </c>
      <c r="AZ33" s="216">
        <v>0.8</v>
      </c>
      <c r="BA33" s="216">
        <v>0.8</v>
      </c>
      <c r="BB33" s="216">
        <v>0.5</v>
      </c>
      <c r="BC33" s="216">
        <v>0.8</v>
      </c>
      <c r="BD33" s="216">
        <v>0.8</v>
      </c>
      <c r="BE33" s="216">
        <v>0.8</v>
      </c>
      <c r="BF33" s="216">
        <v>0.8</v>
      </c>
      <c r="BG33" s="216">
        <v>0.8</v>
      </c>
      <c r="BH33" s="216">
        <v>0.8</v>
      </c>
      <c r="BI33" s="216">
        <v>0.8</v>
      </c>
      <c r="BJ33" s="216">
        <v>0.8</v>
      </c>
      <c r="BK33" s="216">
        <v>0.8</v>
      </c>
      <c r="BL33" s="216">
        <v>0.8</v>
      </c>
      <c r="BM33" s="216">
        <v>0.8</v>
      </c>
      <c r="BN33" s="216">
        <v>0.8</v>
      </c>
      <c r="BO33" s="216">
        <v>0.8</v>
      </c>
      <c r="BP33" s="216">
        <v>0.8</v>
      </c>
      <c r="BQ33" s="216">
        <v>0.8</v>
      </c>
      <c r="BR33" s="216">
        <v>0.8</v>
      </c>
      <c r="BS33" s="216">
        <v>0.8</v>
      </c>
      <c r="BT33" s="216">
        <v>0.8</v>
      </c>
      <c r="BU33" s="216">
        <v>0.8</v>
      </c>
      <c r="BV33" s="216">
        <v>0.8</v>
      </c>
      <c r="BW33" s="216">
        <v>0.8</v>
      </c>
      <c r="BX33" s="216">
        <v>0.8</v>
      </c>
      <c r="BY33" s="216">
        <v>0.8</v>
      </c>
      <c r="BZ33" s="216">
        <v>0.8</v>
      </c>
      <c r="CA33" s="216">
        <v>0.8</v>
      </c>
      <c r="CB33" s="216">
        <v>0.5</v>
      </c>
      <c r="CC33" s="216">
        <v>0.5</v>
      </c>
      <c r="CD33" s="216">
        <v>0.8</v>
      </c>
      <c r="CE33" s="216">
        <v>0.8</v>
      </c>
      <c r="CF33" s="216">
        <v>0.8</v>
      </c>
      <c r="CG33" s="216">
        <v>0.8</v>
      </c>
      <c r="CH33" s="216">
        <v>0.5</v>
      </c>
      <c r="CI33" s="216">
        <v>0</v>
      </c>
      <c r="CJ33" s="216">
        <v>0</v>
      </c>
      <c r="CK33" s="216">
        <v>0</v>
      </c>
      <c r="CL33" s="216">
        <v>0</v>
      </c>
      <c r="CM33" s="216">
        <v>0</v>
      </c>
    </row>
    <row r="34" spans="1:91" s="216" customFormat="1" ht="15" x14ac:dyDescent="0.5">
      <c r="A34" s="245" t="s">
        <v>201</v>
      </c>
      <c r="B34" s="216">
        <v>0</v>
      </c>
      <c r="C34" s="216">
        <v>0</v>
      </c>
      <c r="D34" s="216">
        <v>0.8</v>
      </c>
      <c r="E34" s="216">
        <v>0.8</v>
      </c>
      <c r="F34" s="216">
        <v>0.8</v>
      </c>
      <c r="G34" s="216">
        <v>0.8</v>
      </c>
      <c r="H34" s="216">
        <v>0.8</v>
      </c>
      <c r="I34" s="216">
        <v>0.8</v>
      </c>
      <c r="J34" s="216">
        <v>0.8</v>
      </c>
      <c r="K34" s="216">
        <v>0.8</v>
      </c>
      <c r="L34" s="216">
        <v>0.8</v>
      </c>
      <c r="M34" s="216">
        <v>0.8</v>
      </c>
      <c r="N34" s="216">
        <v>0.5</v>
      </c>
      <c r="O34" s="216">
        <v>0.8</v>
      </c>
      <c r="P34" s="216">
        <v>0.8</v>
      </c>
      <c r="Q34" s="216">
        <v>0.8</v>
      </c>
      <c r="R34" s="216">
        <v>0.5</v>
      </c>
      <c r="S34" s="216">
        <v>0.5</v>
      </c>
      <c r="T34" s="216">
        <v>0.5</v>
      </c>
      <c r="U34" s="216">
        <v>0.5</v>
      </c>
      <c r="V34" s="216">
        <v>0.5</v>
      </c>
      <c r="W34" s="216">
        <v>0.5</v>
      </c>
      <c r="X34" s="216">
        <v>0.5</v>
      </c>
      <c r="Y34" s="216">
        <v>0.5</v>
      </c>
      <c r="Z34" s="216">
        <v>0.1</v>
      </c>
      <c r="AA34" s="216">
        <v>0.1</v>
      </c>
      <c r="AB34" s="216">
        <v>0.1</v>
      </c>
      <c r="AC34" s="216">
        <v>0.1</v>
      </c>
      <c r="AD34" s="216">
        <v>0.1</v>
      </c>
      <c r="AE34" s="216">
        <v>0.1</v>
      </c>
      <c r="AF34" s="216">
        <v>0.1</v>
      </c>
      <c r="AG34" s="216">
        <v>0.5</v>
      </c>
      <c r="AH34" s="216">
        <v>0.5</v>
      </c>
      <c r="AI34" s="216">
        <v>0.5</v>
      </c>
      <c r="AJ34" s="216">
        <v>0.5</v>
      </c>
      <c r="AK34" s="216">
        <v>0.5</v>
      </c>
      <c r="AL34" s="216">
        <v>0.5</v>
      </c>
      <c r="AM34" s="216">
        <v>0.5</v>
      </c>
      <c r="AN34" s="216">
        <v>0.5</v>
      </c>
      <c r="AO34" s="216">
        <v>0.5</v>
      </c>
      <c r="AP34" s="216">
        <v>0.5</v>
      </c>
      <c r="AQ34" s="216">
        <v>0.5</v>
      </c>
      <c r="AR34" s="216">
        <v>0.5</v>
      </c>
      <c r="AS34" s="216">
        <v>0.8</v>
      </c>
      <c r="AT34" s="216">
        <v>0.5</v>
      </c>
      <c r="AU34" s="216">
        <v>0.5</v>
      </c>
      <c r="AV34" s="216">
        <v>0.8</v>
      </c>
      <c r="AW34" s="216">
        <v>0.5</v>
      </c>
      <c r="AX34" s="216">
        <v>0.8</v>
      </c>
      <c r="AY34" s="216">
        <v>0.8</v>
      </c>
      <c r="AZ34" s="216">
        <v>0.8</v>
      </c>
      <c r="BA34" s="216">
        <v>0.8</v>
      </c>
      <c r="BB34" s="216">
        <v>0.5</v>
      </c>
      <c r="BC34" s="216">
        <v>0.8</v>
      </c>
      <c r="BD34" s="216">
        <v>0.8</v>
      </c>
      <c r="BE34" s="216">
        <v>0.8</v>
      </c>
      <c r="BF34" s="216">
        <v>0.8</v>
      </c>
      <c r="BG34" s="216">
        <v>0.8</v>
      </c>
      <c r="BH34" s="216">
        <v>0.8</v>
      </c>
      <c r="BI34" s="216">
        <v>0.8</v>
      </c>
      <c r="BJ34" s="216">
        <v>0.8</v>
      </c>
      <c r="BK34" s="216">
        <v>0.8</v>
      </c>
      <c r="BL34" s="216">
        <v>0.8</v>
      </c>
      <c r="BM34" s="216">
        <v>0.8</v>
      </c>
      <c r="BN34" s="216">
        <v>0.8</v>
      </c>
      <c r="BO34" s="216">
        <v>0.8</v>
      </c>
      <c r="BP34" s="216">
        <v>0.8</v>
      </c>
      <c r="BQ34" s="216">
        <v>0.8</v>
      </c>
      <c r="BR34" s="216">
        <v>0.8</v>
      </c>
      <c r="BS34" s="216">
        <v>0.8</v>
      </c>
      <c r="BT34" s="216">
        <v>0.8</v>
      </c>
      <c r="BU34" s="216">
        <v>0.8</v>
      </c>
      <c r="BV34" s="216">
        <v>0.8</v>
      </c>
      <c r="BW34" s="216">
        <v>0.8</v>
      </c>
      <c r="BX34" s="216">
        <v>0.8</v>
      </c>
      <c r="BY34" s="216">
        <v>0.8</v>
      </c>
      <c r="BZ34" s="216">
        <v>0.8</v>
      </c>
      <c r="CA34" s="216">
        <v>0.8</v>
      </c>
      <c r="CB34" s="216">
        <v>0.5</v>
      </c>
      <c r="CC34" s="216">
        <v>0.5</v>
      </c>
      <c r="CD34" s="216">
        <v>0.8</v>
      </c>
      <c r="CE34" s="216">
        <v>0.8</v>
      </c>
      <c r="CF34" s="216">
        <v>0.8</v>
      </c>
      <c r="CG34" s="216">
        <v>0.8</v>
      </c>
      <c r="CH34" s="216">
        <v>0.5</v>
      </c>
      <c r="CI34" s="216">
        <v>0</v>
      </c>
      <c r="CJ34" s="216">
        <v>0</v>
      </c>
      <c r="CK34" s="216">
        <v>0</v>
      </c>
      <c r="CL34" s="216">
        <v>0</v>
      </c>
      <c r="CM34" s="216">
        <v>0</v>
      </c>
    </row>
    <row r="35" spans="1:91" s="216" customFormat="1" ht="15" x14ac:dyDescent="0.5">
      <c r="A35" s="245" t="s">
        <v>202</v>
      </c>
      <c r="B35" s="216">
        <v>0</v>
      </c>
      <c r="C35" s="216">
        <v>0</v>
      </c>
      <c r="D35" s="216">
        <v>0.8</v>
      </c>
      <c r="E35" s="216">
        <v>0.8</v>
      </c>
      <c r="F35" s="216">
        <v>0.8</v>
      </c>
      <c r="G35" s="216">
        <v>0.8</v>
      </c>
      <c r="H35" s="216">
        <v>0.8</v>
      </c>
      <c r="I35" s="216">
        <v>0.8</v>
      </c>
      <c r="J35" s="216">
        <v>0.8</v>
      </c>
      <c r="K35" s="216">
        <v>0.8</v>
      </c>
      <c r="L35" s="216">
        <v>0.8</v>
      </c>
      <c r="M35" s="216">
        <v>0.8</v>
      </c>
      <c r="N35" s="216">
        <v>0.5</v>
      </c>
      <c r="O35" s="216">
        <v>0.8</v>
      </c>
      <c r="P35" s="216">
        <v>0.8</v>
      </c>
      <c r="Q35" s="216">
        <v>0.8</v>
      </c>
      <c r="R35" s="216">
        <v>0.5</v>
      </c>
      <c r="S35" s="216">
        <v>0.5</v>
      </c>
      <c r="T35" s="216">
        <v>0.5</v>
      </c>
      <c r="U35" s="216">
        <v>0.5</v>
      </c>
      <c r="V35" s="216">
        <v>0.5</v>
      </c>
      <c r="W35" s="216">
        <v>0.5</v>
      </c>
      <c r="X35" s="216">
        <v>0.5</v>
      </c>
      <c r="Y35" s="216">
        <v>0.5</v>
      </c>
      <c r="Z35" s="216">
        <v>0.1</v>
      </c>
      <c r="AA35" s="216">
        <v>0.1</v>
      </c>
      <c r="AB35" s="216">
        <v>0.1</v>
      </c>
      <c r="AC35" s="216">
        <v>0.1</v>
      </c>
      <c r="AD35" s="216">
        <v>0.1</v>
      </c>
      <c r="AE35" s="216">
        <v>0.1</v>
      </c>
      <c r="AF35" s="216">
        <v>0.1</v>
      </c>
      <c r="AG35" s="216">
        <v>0.5</v>
      </c>
      <c r="AH35" s="216">
        <v>0.5</v>
      </c>
      <c r="AI35" s="216">
        <v>0.5</v>
      </c>
      <c r="AJ35" s="216">
        <v>0.5</v>
      </c>
      <c r="AK35" s="216">
        <v>0.5</v>
      </c>
      <c r="AL35" s="216">
        <v>0.5</v>
      </c>
      <c r="AM35" s="216">
        <v>0.5</v>
      </c>
      <c r="AN35" s="216">
        <v>0.5</v>
      </c>
      <c r="AO35" s="216">
        <v>0.5</v>
      </c>
      <c r="AP35" s="216">
        <v>0.5</v>
      </c>
      <c r="AQ35" s="216">
        <v>0.5</v>
      </c>
      <c r="AR35" s="216">
        <v>0.5</v>
      </c>
      <c r="AS35" s="216">
        <v>0.8</v>
      </c>
      <c r="AT35" s="216">
        <v>0.5</v>
      </c>
      <c r="AU35" s="216">
        <v>0.5</v>
      </c>
      <c r="AV35" s="216">
        <v>0.8</v>
      </c>
      <c r="AW35" s="216">
        <v>0.5</v>
      </c>
      <c r="AX35" s="216">
        <v>0.8</v>
      </c>
      <c r="AY35" s="216">
        <v>0.8</v>
      </c>
      <c r="AZ35" s="216">
        <v>0.8</v>
      </c>
      <c r="BA35" s="216">
        <v>0.8</v>
      </c>
      <c r="BB35" s="216">
        <v>0.5</v>
      </c>
      <c r="BC35" s="216">
        <v>0.8</v>
      </c>
      <c r="BD35" s="216">
        <v>0.8</v>
      </c>
      <c r="BE35" s="216">
        <v>0.8</v>
      </c>
      <c r="BF35" s="216">
        <v>0.8</v>
      </c>
      <c r="BG35" s="216">
        <v>0.8</v>
      </c>
      <c r="BH35" s="216">
        <v>0.8</v>
      </c>
      <c r="BI35" s="216">
        <v>0.8</v>
      </c>
      <c r="BJ35" s="216">
        <v>0.8</v>
      </c>
      <c r="BK35" s="216">
        <v>0.8</v>
      </c>
      <c r="BL35" s="216">
        <v>0.8</v>
      </c>
      <c r="BM35" s="216">
        <v>0.8</v>
      </c>
      <c r="BN35" s="216">
        <v>0.8</v>
      </c>
      <c r="BO35" s="216">
        <v>0.8</v>
      </c>
      <c r="BP35" s="216">
        <v>0.8</v>
      </c>
      <c r="BQ35" s="216">
        <v>0.8</v>
      </c>
      <c r="BR35" s="216">
        <v>0.8</v>
      </c>
      <c r="BS35" s="216">
        <v>0.8</v>
      </c>
      <c r="BT35" s="216">
        <v>0.8</v>
      </c>
      <c r="BU35" s="216">
        <v>0.8</v>
      </c>
      <c r="BV35" s="216">
        <v>0.8</v>
      </c>
      <c r="BW35" s="216">
        <v>0.8</v>
      </c>
      <c r="BX35" s="216">
        <v>0.8</v>
      </c>
      <c r="BY35" s="216">
        <v>0.8</v>
      </c>
      <c r="BZ35" s="216">
        <v>0.8</v>
      </c>
      <c r="CA35" s="216">
        <v>0.8</v>
      </c>
      <c r="CB35" s="216">
        <v>0.5</v>
      </c>
      <c r="CC35" s="216">
        <v>0.5</v>
      </c>
      <c r="CD35" s="216">
        <v>0.8</v>
      </c>
      <c r="CE35" s="216">
        <v>0.8</v>
      </c>
      <c r="CF35" s="216">
        <v>0.8</v>
      </c>
      <c r="CG35" s="216">
        <v>0.8</v>
      </c>
      <c r="CH35" s="216">
        <v>0.5</v>
      </c>
      <c r="CI35" s="216">
        <v>0</v>
      </c>
      <c r="CJ35" s="216">
        <v>0</v>
      </c>
      <c r="CK35" s="216">
        <v>0</v>
      </c>
      <c r="CL35" s="216">
        <v>0</v>
      </c>
      <c r="CM35" s="216">
        <v>0</v>
      </c>
    </row>
    <row r="36" spans="1:91" s="216" customFormat="1" ht="15" x14ac:dyDescent="0.5">
      <c r="A36" s="245" t="s">
        <v>203</v>
      </c>
      <c r="B36" s="216">
        <v>0</v>
      </c>
      <c r="C36" s="216">
        <v>0</v>
      </c>
      <c r="D36" s="216">
        <v>0.8</v>
      </c>
      <c r="E36" s="216">
        <v>0.8</v>
      </c>
      <c r="F36" s="216">
        <v>0.8</v>
      </c>
      <c r="G36" s="216">
        <v>0.8</v>
      </c>
      <c r="H36" s="216">
        <v>0.8</v>
      </c>
      <c r="I36" s="216">
        <v>0.8</v>
      </c>
      <c r="J36" s="216">
        <v>0.8</v>
      </c>
      <c r="K36" s="216">
        <v>0.8</v>
      </c>
      <c r="L36" s="216">
        <v>0.8</v>
      </c>
      <c r="M36" s="216">
        <v>0.8</v>
      </c>
      <c r="N36" s="216">
        <v>0.5</v>
      </c>
      <c r="O36" s="216">
        <v>0.8</v>
      </c>
      <c r="P36" s="216">
        <v>0.8</v>
      </c>
      <c r="Q36" s="216">
        <v>0.8</v>
      </c>
      <c r="R36" s="216">
        <v>0.5</v>
      </c>
      <c r="S36" s="216">
        <v>0.5</v>
      </c>
      <c r="T36" s="216">
        <v>0.5</v>
      </c>
      <c r="U36" s="216">
        <v>0.5</v>
      </c>
      <c r="V36" s="216">
        <v>0.5</v>
      </c>
      <c r="W36" s="216">
        <v>0.5</v>
      </c>
      <c r="X36" s="216">
        <v>0.5</v>
      </c>
      <c r="Y36" s="216">
        <v>0.5</v>
      </c>
      <c r="Z36" s="216">
        <v>0.1</v>
      </c>
      <c r="AA36" s="216">
        <v>0.1</v>
      </c>
      <c r="AB36" s="216">
        <v>0.1</v>
      </c>
      <c r="AC36" s="216">
        <v>0.1</v>
      </c>
      <c r="AD36" s="216">
        <v>0.1</v>
      </c>
      <c r="AE36" s="216">
        <v>0.1</v>
      </c>
      <c r="AF36" s="216">
        <v>0.1</v>
      </c>
      <c r="AG36" s="216">
        <v>0.5</v>
      </c>
      <c r="AH36" s="216">
        <v>0.5</v>
      </c>
      <c r="AI36" s="216">
        <v>0.5</v>
      </c>
      <c r="AJ36" s="216">
        <v>0.5</v>
      </c>
      <c r="AK36" s="216">
        <v>0.5</v>
      </c>
      <c r="AL36" s="216">
        <v>0.5</v>
      </c>
      <c r="AM36" s="216">
        <v>0.5</v>
      </c>
      <c r="AN36" s="216">
        <v>0.5</v>
      </c>
      <c r="AO36" s="216">
        <v>0.5</v>
      </c>
      <c r="AP36" s="216">
        <v>0.5</v>
      </c>
      <c r="AQ36" s="216">
        <v>0.5</v>
      </c>
      <c r="AR36" s="216">
        <v>0.5</v>
      </c>
      <c r="AS36" s="216">
        <v>0.8</v>
      </c>
      <c r="AT36" s="216">
        <v>0.5</v>
      </c>
      <c r="AU36" s="216">
        <v>0.5</v>
      </c>
      <c r="AV36" s="216">
        <v>0.8</v>
      </c>
      <c r="AW36" s="216">
        <v>0.5</v>
      </c>
      <c r="AX36" s="216">
        <v>0.8</v>
      </c>
      <c r="AY36" s="216">
        <v>0.8</v>
      </c>
      <c r="AZ36" s="216">
        <v>0.8</v>
      </c>
      <c r="BA36" s="216">
        <v>0.8</v>
      </c>
      <c r="BB36" s="216">
        <v>0.5</v>
      </c>
      <c r="BC36" s="216">
        <v>0.8</v>
      </c>
      <c r="BD36" s="216">
        <v>0.8</v>
      </c>
      <c r="BE36" s="216">
        <v>0.8</v>
      </c>
      <c r="BF36" s="216">
        <v>0.8</v>
      </c>
      <c r="BG36" s="216">
        <v>0.8</v>
      </c>
      <c r="BH36" s="216">
        <v>0.8</v>
      </c>
      <c r="BI36" s="216">
        <v>0.8</v>
      </c>
      <c r="BJ36" s="216">
        <v>0.8</v>
      </c>
      <c r="BK36" s="216">
        <v>0.8</v>
      </c>
      <c r="BL36" s="216">
        <v>0.8</v>
      </c>
      <c r="BM36" s="216">
        <v>0.8</v>
      </c>
      <c r="BN36" s="216">
        <v>0.8</v>
      </c>
      <c r="BO36" s="216">
        <v>0.8</v>
      </c>
      <c r="BP36" s="216">
        <v>0.8</v>
      </c>
      <c r="BQ36" s="216">
        <v>0.8</v>
      </c>
      <c r="BR36" s="216">
        <v>0.8</v>
      </c>
      <c r="BS36" s="216">
        <v>0.8</v>
      </c>
      <c r="BT36" s="216">
        <v>0.8</v>
      </c>
      <c r="BU36" s="216">
        <v>0.8</v>
      </c>
      <c r="BV36" s="216">
        <v>0.8</v>
      </c>
      <c r="BW36" s="216">
        <v>0.8</v>
      </c>
      <c r="BX36" s="216">
        <v>0.8</v>
      </c>
      <c r="BY36" s="216">
        <v>0.8</v>
      </c>
      <c r="BZ36" s="216">
        <v>0.8</v>
      </c>
      <c r="CA36" s="216">
        <v>0.8</v>
      </c>
      <c r="CB36" s="216">
        <v>0.5</v>
      </c>
      <c r="CC36" s="216">
        <v>0.5</v>
      </c>
      <c r="CD36" s="216">
        <v>0.8</v>
      </c>
      <c r="CE36" s="216">
        <v>0.8</v>
      </c>
      <c r="CF36" s="216">
        <v>0.8</v>
      </c>
      <c r="CG36" s="216">
        <v>0.8</v>
      </c>
      <c r="CH36" s="216">
        <v>0.5</v>
      </c>
      <c r="CI36" s="216">
        <v>0</v>
      </c>
      <c r="CJ36" s="216">
        <v>0</v>
      </c>
      <c r="CK36" s="216">
        <v>0</v>
      </c>
      <c r="CL36" s="216">
        <v>0</v>
      </c>
      <c r="CM36" s="216">
        <v>0</v>
      </c>
    </row>
    <row r="37" spans="1:91" s="216" customFormat="1" ht="15" x14ac:dyDescent="0.5">
      <c r="A37" s="245" t="s">
        <v>204</v>
      </c>
      <c r="B37" s="216">
        <v>0</v>
      </c>
      <c r="C37" s="216">
        <v>0</v>
      </c>
      <c r="D37" s="216">
        <v>0.8</v>
      </c>
      <c r="E37" s="216">
        <v>0.8</v>
      </c>
      <c r="F37" s="216">
        <v>0.8</v>
      </c>
      <c r="G37" s="216">
        <v>0.8</v>
      </c>
      <c r="H37" s="216">
        <v>0.8</v>
      </c>
      <c r="I37" s="216">
        <v>0.8</v>
      </c>
      <c r="J37" s="216">
        <v>0.8</v>
      </c>
      <c r="K37" s="216">
        <v>0.8</v>
      </c>
      <c r="L37" s="216">
        <v>0.8</v>
      </c>
      <c r="M37" s="216">
        <v>0.8</v>
      </c>
      <c r="N37" s="216">
        <v>0.5</v>
      </c>
      <c r="O37" s="216">
        <v>0.8</v>
      </c>
      <c r="P37" s="216">
        <v>0.8</v>
      </c>
      <c r="Q37" s="216">
        <v>0.8</v>
      </c>
      <c r="R37" s="216">
        <v>0.5</v>
      </c>
      <c r="S37" s="216">
        <v>0.5</v>
      </c>
      <c r="T37" s="216">
        <v>0.5</v>
      </c>
      <c r="U37" s="216">
        <v>0.5</v>
      </c>
      <c r="V37" s="216">
        <v>0.5</v>
      </c>
      <c r="W37" s="216">
        <v>0.5</v>
      </c>
      <c r="X37" s="216">
        <v>0.5</v>
      </c>
      <c r="Y37" s="216">
        <v>0.5</v>
      </c>
      <c r="Z37" s="216">
        <v>0.1</v>
      </c>
      <c r="AA37" s="216">
        <v>0.1</v>
      </c>
      <c r="AB37" s="216">
        <v>0.1</v>
      </c>
      <c r="AC37" s="216">
        <v>0.1</v>
      </c>
      <c r="AD37" s="216">
        <v>0.1</v>
      </c>
      <c r="AE37" s="216">
        <v>0.1</v>
      </c>
      <c r="AF37" s="216">
        <v>0.1</v>
      </c>
      <c r="AG37" s="216">
        <v>0.5</v>
      </c>
      <c r="AH37" s="216">
        <v>0.5</v>
      </c>
      <c r="AI37" s="216">
        <v>0.5</v>
      </c>
      <c r="AJ37" s="216">
        <v>0.5</v>
      </c>
      <c r="AK37" s="216">
        <v>0.5</v>
      </c>
      <c r="AL37" s="216">
        <v>0.5</v>
      </c>
      <c r="AM37" s="216">
        <v>0.5</v>
      </c>
      <c r="AN37" s="216">
        <v>0.5</v>
      </c>
      <c r="AO37" s="216">
        <v>0.5</v>
      </c>
      <c r="AP37" s="216">
        <v>0.5</v>
      </c>
      <c r="AQ37" s="216">
        <v>0.5</v>
      </c>
      <c r="AR37" s="216">
        <v>0.5</v>
      </c>
      <c r="AS37" s="216">
        <v>0.8</v>
      </c>
      <c r="AT37" s="216">
        <v>0.5</v>
      </c>
      <c r="AU37" s="216">
        <v>0.5</v>
      </c>
      <c r="AV37" s="216">
        <v>0.8</v>
      </c>
      <c r="AW37" s="216">
        <v>0.5</v>
      </c>
      <c r="AX37" s="216">
        <v>0.8</v>
      </c>
      <c r="AY37" s="216">
        <v>0.8</v>
      </c>
      <c r="AZ37" s="216">
        <v>0.8</v>
      </c>
      <c r="BA37" s="216">
        <v>0.8</v>
      </c>
      <c r="BB37" s="216">
        <v>0.5</v>
      </c>
      <c r="BC37" s="216">
        <v>0.8</v>
      </c>
      <c r="BD37" s="216">
        <v>0.8</v>
      </c>
      <c r="BE37" s="216">
        <v>0.8</v>
      </c>
      <c r="BF37" s="216">
        <v>0.8</v>
      </c>
      <c r="BG37" s="216">
        <v>0.8</v>
      </c>
      <c r="BH37" s="216">
        <v>0.8</v>
      </c>
      <c r="BI37" s="216">
        <v>0.8</v>
      </c>
      <c r="BJ37" s="216">
        <v>0.8</v>
      </c>
      <c r="BK37" s="216">
        <v>0.8</v>
      </c>
      <c r="BL37" s="216">
        <v>0.8</v>
      </c>
      <c r="BM37" s="216">
        <v>0.8</v>
      </c>
      <c r="BN37" s="216">
        <v>0.8</v>
      </c>
      <c r="BO37" s="216">
        <v>0.8</v>
      </c>
      <c r="BP37" s="216">
        <v>0.8</v>
      </c>
      <c r="BQ37" s="216">
        <v>0.8</v>
      </c>
      <c r="BR37" s="216">
        <v>0.8</v>
      </c>
      <c r="BS37" s="216">
        <v>0.8</v>
      </c>
      <c r="BT37" s="216">
        <v>0.8</v>
      </c>
      <c r="BU37" s="216">
        <v>0.8</v>
      </c>
      <c r="BV37" s="216">
        <v>0.8</v>
      </c>
      <c r="BW37" s="216">
        <v>0.8</v>
      </c>
      <c r="BX37" s="216">
        <v>0.8</v>
      </c>
      <c r="BY37" s="216">
        <v>0.8</v>
      </c>
      <c r="BZ37" s="216">
        <v>0.8</v>
      </c>
      <c r="CA37" s="216">
        <v>0.8</v>
      </c>
      <c r="CB37" s="216">
        <v>0.5</v>
      </c>
      <c r="CC37" s="216">
        <v>0.5</v>
      </c>
      <c r="CD37" s="216">
        <v>0.8</v>
      </c>
      <c r="CE37" s="216">
        <v>0.8</v>
      </c>
      <c r="CF37" s="216">
        <v>0.8</v>
      </c>
      <c r="CG37" s="216">
        <v>0.8</v>
      </c>
      <c r="CH37" s="216">
        <v>0.5</v>
      </c>
      <c r="CI37" s="216">
        <v>0</v>
      </c>
      <c r="CJ37" s="216">
        <v>0</v>
      </c>
      <c r="CK37" s="216">
        <v>0</v>
      </c>
      <c r="CL37" s="216">
        <v>0</v>
      </c>
      <c r="CM37" s="216">
        <v>0</v>
      </c>
    </row>
    <row r="38" spans="1:91" s="216" customFormat="1" ht="15" x14ac:dyDescent="0.5">
      <c r="A38" s="245" t="s">
        <v>205</v>
      </c>
      <c r="B38" s="216">
        <v>0</v>
      </c>
      <c r="C38" s="216">
        <v>0</v>
      </c>
      <c r="D38" s="216">
        <v>0.8</v>
      </c>
      <c r="E38" s="216">
        <v>0.8</v>
      </c>
      <c r="F38" s="216">
        <v>0.8</v>
      </c>
      <c r="G38" s="216">
        <v>0.8</v>
      </c>
      <c r="H38" s="216">
        <v>0.8</v>
      </c>
      <c r="I38" s="216">
        <v>0.8</v>
      </c>
      <c r="J38" s="216">
        <v>0.8</v>
      </c>
      <c r="K38" s="216">
        <v>0.8</v>
      </c>
      <c r="L38" s="216">
        <v>0.8</v>
      </c>
      <c r="M38" s="216">
        <v>0.8</v>
      </c>
      <c r="N38" s="216">
        <v>0.5</v>
      </c>
      <c r="O38" s="216">
        <v>0.8</v>
      </c>
      <c r="P38" s="216">
        <v>0.8</v>
      </c>
      <c r="Q38" s="216">
        <v>0.8</v>
      </c>
      <c r="R38" s="216">
        <v>0.5</v>
      </c>
      <c r="S38" s="216">
        <v>0.5</v>
      </c>
      <c r="T38" s="216">
        <v>0.5</v>
      </c>
      <c r="U38" s="216">
        <v>0.5</v>
      </c>
      <c r="V38" s="216">
        <v>0.5</v>
      </c>
      <c r="W38" s="216">
        <v>0.5</v>
      </c>
      <c r="X38" s="216">
        <v>0.5</v>
      </c>
      <c r="Y38" s="216">
        <v>0.5</v>
      </c>
      <c r="Z38" s="216">
        <v>0.1</v>
      </c>
      <c r="AA38" s="216">
        <v>0.1</v>
      </c>
      <c r="AB38" s="216">
        <v>0.1</v>
      </c>
      <c r="AC38" s="216">
        <v>0.1</v>
      </c>
      <c r="AD38" s="216">
        <v>0.1</v>
      </c>
      <c r="AE38" s="216">
        <v>0.1</v>
      </c>
      <c r="AF38" s="216">
        <v>0.1</v>
      </c>
      <c r="AG38" s="216">
        <v>0.5</v>
      </c>
      <c r="AH38" s="216">
        <v>0.5</v>
      </c>
      <c r="AI38" s="216">
        <v>0.5</v>
      </c>
      <c r="AJ38" s="216">
        <v>0.5</v>
      </c>
      <c r="AK38" s="216">
        <v>0.5</v>
      </c>
      <c r="AL38" s="216">
        <v>0.5</v>
      </c>
      <c r="AM38" s="216">
        <v>0.5</v>
      </c>
      <c r="AN38" s="216">
        <v>0.5</v>
      </c>
      <c r="AO38" s="216">
        <v>0.5</v>
      </c>
      <c r="AP38" s="216">
        <v>0.5</v>
      </c>
      <c r="AQ38" s="216">
        <v>0.5</v>
      </c>
      <c r="AR38" s="216">
        <v>0.5</v>
      </c>
      <c r="AS38" s="216">
        <v>0.8</v>
      </c>
      <c r="AT38" s="216">
        <v>0.5</v>
      </c>
      <c r="AU38" s="216">
        <v>0.5</v>
      </c>
      <c r="AV38" s="216">
        <v>0.8</v>
      </c>
      <c r="AW38" s="216">
        <v>0.5</v>
      </c>
      <c r="AX38" s="216">
        <v>0.8</v>
      </c>
      <c r="AY38" s="216">
        <v>0.8</v>
      </c>
      <c r="AZ38" s="216">
        <v>0.8</v>
      </c>
      <c r="BA38" s="216">
        <v>0.8</v>
      </c>
      <c r="BB38" s="216">
        <v>0.5</v>
      </c>
      <c r="BC38" s="216">
        <v>0.8</v>
      </c>
      <c r="BD38" s="216">
        <v>0.8</v>
      </c>
      <c r="BE38" s="216">
        <v>0.8</v>
      </c>
      <c r="BF38" s="216">
        <v>0.8</v>
      </c>
      <c r="BG38" s="216">
        <v>0.8</v>
      </c>
      <c r="BH38" s="216">
        <v>0.8</v>
      </c>
      <c r="BI38" s="216">
        <v>0.8</v>
      </c>
      <c r="BJ38" s="216">
        <v>0.8</v>
      </c>
      <c r="BK38" s="216">
        <v>0.8</v>
      </c>
      <c r="BL38" s="216">
        <v>0.8</v>
      </c>
      <c r="BM38" s="216">
        <v>0.8</v>
      </c>
      <c r="BN38" s="216">
        <v>0.8</v>
      </c>
      <c r="BO38" s="216">
        <v>0.8</v>
      </c>
      <c r="BP38" s="216">
        <v>0.8</v>
      </c>
      <c r="BQ38" s="216">
        <v>0.8</v>
      </c>
      <c r="BR38" s="216">
        <v>0.8</v>
      </c>
      <c r="BS38" s="216">
        <v>0.8</v>
      </c>
      <c r="BT38" s="216">
        <v>0.8</v>
      </c>
      <c r="BU38" s="216">
        <v>0.8</v>
      </c>
      <c r="BV38" s="216">
        <v>0.8</v>
      </c>
      <c r="BW38" s="216">
        <v>0.8</v>
      </c>
      <c r="BX38" s="216">
        <v>0.8</v>
      </c>
      <c r="BY38" s="216">
        <v>0.8</v>
      </c>
      <c r="BZ38" s="216">
        <v>0.8</v>
      </c>
      <c r="CA38" s="216">
        <v>0.8</v>
      </c>
      <c r="CB38" s="216">
        <v>0.5</v>
      </c>
      <c r="CC38" s="216">
        <v>0.5</v>
      </c>
      <c r="CD38" s="216">
        <v>0.8</v>
      </c>
      <c r="CE38" s="216">
        <v>0.8</v>
      </c>
      <c r="CF38" s="216">
        <v>0.8</v>
      </c>
      <c r="CG38" s="216">
        <v>0.8</v>
      </c>
      <c r="CH38" s="216">
        <v>0.5</v>
      </c>
      <c r="CI38" s="216">
        <v>0</v>
      </c>
      <c r="CJ38" s="216">
        <v>0</v>
      </c>
      <c r="CK38" s="216">
        <v>0</v>
      </c>
      <c r="CL38" s="216">
        <v>0</v>
      </c>
      <c r="CM38" s="216">
        <v>0</v>
      </c>
    </row>
    <row r="39" spans="1:91" s="216" customFormat="1" ht="15" x14ac:dyDescent="0.5">
      <c r="A39" s="245" t="s">
        <v>206</v>
      </c>
      <c r="B39" s="216">
        <v>0</v>
      </c>
      <c r="C39" s="216">
        <v>0</v>
      </c>
      <c r="D39" s="216">
        <v>0.8</v>
      </c>
      <c r="E39" s="216">
        <v>0.8</v>
      </c>
      <c r="F39" s="216">
        <v>0.8</v>
      </c>
      <c r="G39" s="216">
        <v>0.8</v>
      </c>
      <c r="H39" s="216">
        <v>0.8</v>
      </c>
      <c r="I39" s="216">
        <v>0.8</v>
      </c>
      <c r="J39" s="216">
        <v>0.8</v>
      </c>
      <c r="K39" s="216">
        <v>0.8</v>
      </c>
      <c r="L39" s="216">
        <v>0.8</v>
      </c>
      <c r="M39" s="216">
        <v>0.8</v>
      </c>
      <c r="N39" s="216">
        <v>0.5</v>
      </c>
      <c r="O39" s="216">
        <v>0.8</v>
      </c>
      <c r="P39" s="216">
        <v>0.8</v>
      </c>
      <c r="Q39" s="216">
        <v>0.8</v>
      </c>
      <c r="R39" s="216">
        <v>0.5</v>
      </c>
      <c r="S39" s="216">
        <v>0.5</v>
      </c>
      <c r="T39" s="216">
        <v>0.5</v>
      </c>
      <c r="U39" s="216">
        <v>0.5</v>
      </c>
      <c r="V39" s="216">
        <v>0.5</v>
      </c>
      <c r="W39" s="216">
        <v>0.5</v>
      </c>
      <c r="X39" s="216">
        <v>0.5</v>
      </c>
      <c r="Y39" s="216">
        <v>0.5</v>
      </c>
      <c r="Z39" s="216">
        <v>0.1</v>
      </c>
      <c r="AA39" s="216">
        <v>0.1</v>
      </c>
      <c r="AB39" s="216">
        <v>0.1</v>
      </c>
      <c r="AC39" s="216">
        <v>0.1</v>
      </c>
      <c r="AD39" s="216">
        <v>0.1</v>
      </c>
      <c r="AE39" s="216">
        <v>0.1</v>
      </c>
      <c r="AF39" s="216">
        <v>0.1</v>
      </c>
      <c r="AG39" s="216">
        <v>0.5</v>
      </c>
      <c r="AH39" s="216">
        <v>0.5</v>
      </c>
      <c r="AI39" s="216">
        <v>0.5</v>
      </c>
      <c r="AJ39" s="216">
        <v>0.5</v>
      </c>
      <c r="AK39" s="216">
        <v>0.5</v>
      </c>
      <c r="AL39" s="216">
        <v>0.5</v>
      </c>
      <c r="AM39" s="216">
        <v>0.5</v>
      </c>
      <c r="AN39" s="216">
        <v>0.5</v>
      </c>
      <c r="AO39" s="216">
        <v>0.5</v>
      </c>
      <c r="AP39" s="216">
        <v>0.5</v>
      </c>
      <c r="AQ39" s="216">
        <v>0.5</v>
      </c>
      <c r="AR39" s="216">
        <v>0.5</v>
      </c>
      <c r="AS39" s="216">
        <v>0.8</v>
      </c>
      <c r="AT39" s="216">
        <v>0.5</v>
      </c>
      <c r="AU39" s="216">
        <v>0.5</v>
      </c>
      <c r="AV39" s="216">
        <v>0.8</v>
      </c>
      <c r="AW39" s="216">
        <v>0.5</v>
      </c>
      <c r="AX39" s="216">
        <v>0.8</v>
      </c>
      <c r="AY39" s="216">
        <v>0.8</v>
      </c>
      <c r="AZ39" s="216">
        <v>0.8</v>
      </c>
      <c r="BA39" s="216">
        <v>0.8</v>
      </c>
      <c r="BB39" s="216">
        <v>0.5</v>
      </c>
      <c r="BC39" s="216">
        <v>0.8</v>
      </c>
      <c r="BD39" s="216">
        <v>0.8</v>
      </c>
      <c r="BE39" s="216">
        <v>0.8</v>
      </c>
      <c r="BF39" s="216">
        <v>0.8</v>
      </c>
      <c r="BG39" s="216">
        <v>0.8</v>
      </c>
      <c r="BH39" s="216">
        <v>0.8</v>
      </c>
      <c r="BI39" s="216">
        <v>0.8</v>
      </c>
      <c r="BJ39" s="216">
        <v>0.8</v>
      </c>
      <c r="BK39" s="216">
        <v>0.8</v>
      </c>
      <c r="BL39" s="216">
        <v>0.8</v>
      </c>
      <c r="BM39" s="216">
        <v>0.8</v>
      </c>
      <c r="BN39" s="216">
        <v>0.8</v>
      </c>
      <c r="BO39" s="216">
        <v>0.8</v>
      </c>
      <c r="BP39" s="216">
        <v>0.8</v>
      </c>
      <c r="BQ39" s="216">
        <v>0.8</v>
      </c>
      <c r="BR39" s="216">
        <v>0.8</v>
      </c>
      <c r="BS39" s="216">
        <v>0.8</v>
      </c>
      <c r="BT39" s="216">
        <v>0.8</v>
      </c>
      <c r="BU39" s="216">
        <v>0.8</v>
      </c>
      <c r="BV39" s="216">
        <v>0.8</v>
      </c>
      <c r="BW39" s="216">
        <v>0.8</v>
      </c>
      <c r="BX39" s="216">
        <v>0.8</v>
      </c>
      <c r="BY39" s="216">
        <v>0.8</v>
      </c>
      <c r="BZ39" s="216">
        <v>0.8</v>
      </c>
      <c r="CA39" s="216">
        <v>0.8</v>
      </c>
      <c r="CB39" s="216">
        <v>0.5</v>
      </c>
      <c r="CC39" s="216">
        <v>0.5</v>
      </c>
      <c r="CD39" s="216">
        <v>0.8</v>
      </c>
      <c r="CE39" s="216">
        <v>0.8</v>
      </c>
      <c r="CF39" s="216">
        <v>0.8</v>
      </c>
      <c r="CG39" s="216">
        <v>0.8</v>
      </c>
      <c r="CH39" s="216">
        <v>0.5</v>
      </c>
      <c r="CI39" s="216">
        <v>0</v>
      </c>
      <c r="CJ39" s="216">
        <v>0</v>
      </c>
      <c r="CK39" s="216">
        <v>0</v>
      </c>
      <c r="CL39" s="216">
        <v>0</v>
      </c>
      <c r="CM39" s="216">
        <v>0</v>
      </c>
    </row>
    <row r="40" spans="1:91" s="216" customFormat="1" ht="15" x14ac:dyDescent="0.5">
      <c r="A40" s="245" t="s">
        <v>207</v>
      </c>
      <c r="B40" s="216">
        <v>0</v>
      </c>
      <c r="C40" s="216">
        <v>0</v>
      </c>
      <c r="D40" s="216">
        <v>0.8</v>
      </c>
      <c r="E40" s="216">
        <v>0.8</v>
      </c>
      <c r="F40" s="216">
        <v>0.8</v>
      </c>
      <c r="G40" s="216">
        <v>0.8</v>
      </c>
      <c r="H40" s="216">
        <v>0.8</v>
      </c>
      <c r="I40" s="216">
        <v>0.8</v>
      </c>
      <c r="J40" s="216">
        <v>0.8</v>
      </c>
      <c r="K40" s="216">
        <v>0.8</v>
      </c>
      <c r="L40" s="216">
        <v>0.8</v>
      </c>
      <c r="M40" s="216">
        <v>0.8</v>
      </c>
      <c r="N40" s="216">
        <v>0.5</v>
      </c>
      <c r="O40" s="216">
        <v>0.8</v>
      </c>
      <c r="P40" s="216">
        <v>0.8</v>
      </c>
      <c r="Q40" s="216">
        <v>0.8</v>
      </c>
      <c r="R40" s="216">
        <v>0.5</v>
      </c>
      <c r="S40" s="216">
        <v>0.5</v>
      </c>
      <c r="T40" s="216">
        <v>0.5</v>
      </c>
      <c r="U40" s="216">
        <v>0.5</v>
      </c>
      <c r="V40" s="216">
        <v>0.5</v>
      </c>
      <c r="W40" s="216">
        <v>0.5</v>
      </c>
      <c r="X40" s="216">
        <v>0.5</v>
      </c>
      <c r="Y40" s="216">
        <v>0.5</v>
      </c>
      <c r="Z40" s="216">
        <v>0.1</v>
      </c>
      <c r="AA40" s="216">
        <v>0.1</v>
      </c>
      <c r="AB40" s="216">
        <v>0.1</v>
      </c>
      <c r="AC40" s="216">
        <v>0.1</v>
      </c>
      <c r="AD40" s="216">
        <v>0.1</v>
      </c>
      <c r="AE40" s="216">
        <v>0.1</v>
      </c>
      <c r="AF40" s="216">
        <v>0.1</v>
      </c>
      <c r="AG40" s="216">
        <v>0.5</v>
      </c>
      <c r="AH40" s="216">
        <v>0.5</v>
      </c>
      <c r="AI40" s="216">
        <v>0.5</v>
      </c>
      <c r="AJ40" s="216">
        <v>0.5</v>
      </c>
      <c r="AK40" s="216">
        <v>0.5</v>
      </c>
      <c r="AL40" s="216">
        <v>0.5</v>
      </c>
      <c r="AM40" s="216">
        <v>0.5</v>
      </c>
      <c r="AN40" s="216">
        <v>0.5</v>
      </c>
      <c r="AO40" s="216">
        <v>0.5</v>
      </c>
      <c r="AP40" s="216">
        <v>0.5</v>
      </c>
      <c r="AQ40" s="216">
        <v>0.5</v>
      </c>
      <c r="AR40" s="216">
        <v>0.5</v>
      </c>
      <c r="AS40" s="216">
        <v>0.8</v>
      </c>
      <c r="AT40" s="216">
        <v>0.5</v>
      </c>
      <c r="AU40" s="216">
        <v>0.5</v>
      </c>
      <c r="AV40" s="216">
        <v>0.8</v>
      </c>
      <c r="AW40" s="216">
        <v>0.5</v>
      </c>
      <c r="AX40" s="216">
        <v>0.8</v>
      </c>
      <c r="AY40" s="216">
        <v>0.8</v>
      </c>
      <c r="AZ40" s="216">
        <v>0.8</v>
      </c>
      <c r="BA40" s="216">
        <v>0.8</v>
      </c>
      <c r="BB40" s="216">
        <v>0.5</v>
      </c>
      <c r="BC40" s="216">
        <v>0.8</v>
      </c>
      <c r="BD40" s="216">
        <v>0.8</v>
      </c>
      <c r="BE40" s="216">
        <v>0.8</v>
      </c>
      <c r="BF40" s="216">
        <v>0.8</v>
      </c>
      <c r="BG40" s="216">
        <v>0.8</v>
      </c>
      <c r="BH40" s="216">
        <v>0.8</v>
      </c>
      <c r="BI40" s="216">
        <v>0.8</v>
      </c>
      <c r="BJ40" s="216">
        <v>0.8</v>
      </c>
      <c r="BK40" s="216">
        <v>0.8</v>
      </c>
      <c r="BL40" s="216">
        <v>0.8</v>
      </c>
      <c r="BM40" s="216">
        <v>0.8</v>
      </c>
      <c r="BN40" s="216">
        <v>0.8</v>
      </c>
      <c r="BO40" s="216">
        <v>0.8</v>
      </c>
      <c r="BP40" s="216">
        <v>0.8</v>
      </c>
      <c r="BQ40" s="216">
        <v>0.8</v>
      </c>
      <c r="BR40" s="216">
        <v>0.8</v>
      </c>
      <c r="BS40" s="216">
        <v>0.8</v>
      </c>
      <c r="BT40" s="216">
        <v>0.8</v>
      </c>
      <c r="BU40" s="216">
        <v>0.8</v>
      </c>
      <c r="BV40" s="216">
        <v>0.8</v>
      </c>
      <c r="BW40" s="216">
        <v>0.8</v>
      </c>
      <c r="BX40" s="216">
        <v>0.8</v>
      </c>
      <c r="BY40" s="216">
        <v>0.8</v>
      </c>
      <c r="BZ40" s="216">
        <v>0.8</v>
      </c>
      <c r="CA40" s="216">
        <v>0.8</v>
      </c>
      <c r="CB40" s="216">
        <v>0.5</v>
      </c>
      <c r="CC40" s="216">
        <v>0.5</v>
      </c>
      <c r="CD40" s="216">
        <v>0.8</v>
      </c>
      <c r="CE40" s="216">
        <v>0.8</v>
      </c>
      <c r="CF40" s="216">
        <v>0.8</v>
      </c>
      <c r="CG40" s="216">
        <v>0.8</v>
      </c>
      <c r="CH40" s="216">
        <v>0.5</v>
      </c>
      <c r="CI40" s="216">
        <v>0</v>
      </c>
      <c r="CJ40" s="216">
        <v>0</v>
      </c>
      <c r="CK40" s="216">
        <v>0</v>
      </c>
      <c r="CL40" s="216">
        <v>0</v>
      </c>
      <c r="CM40" s="216">
        <v>0</v>
      </c>
    </row>
    <row r="41" spans="1:91" s="216" customFormat="1" ht="15" x14ac:dyDescent="0.5">
      <c r="A41" s="245" t="s">
        <v>208</v>
      </c>
      <c r="B41" s="216">
        <v>0</v>
      </c>
      <c r="C41" s="216">
        <v>0</v>
      </c>
      <c r="D41" s="216">
        <v>0.8</v>
      </c>
      <c r="E41" s="216">
        <v>0.8</v>
      </c>
      <c r="F41" s="216">
        <v>0.8</v>
      </c>
      <c r="G41" s="216">
        <v>0.8</v>
      </c>
      <c r="H41" s="216">
        <v>0.8</v>
      </c>
      <c r="I41" s="216">
        <v>0.8</v>
      </c>
      <c r="J41" s="216">
        <v>0.8</v>
      </c>
      <c r="K41" s="216">
        <v>0.8</v>
      </c>
      <c r="L41" s="216">
        <v>0.8</v>
      </c>
      <c r="M41" s="216">
        <v>0.8</v>
      </c>
      <c r="N41" s="216">
        <v>0.5</v>
      </c>
      <c r="O41" s="216">
        <v>0.8</v>
      </c>
      <c r="P41" s="216">
        <v>0.8</v>
      </c>
      <c r="Q41" s="216">
        <v>0.8</v>
      </c>
      <c r="R41" s="216">
        <v>0.5</v>
      </c>
      <c r="S41" s="216">
        <v>0.5</v>
      </c>
      <c r="T41" s="216">
        <v>0.5</v>
      </c>
      <c r="U41" s="216">
        <v>0.5</v>
      </c>
      <c r="V41" s="216">
        <v>0.5</v>
      </c>
      <c r="W41" s="216">
        <v>0.5</v>
      </c>
      <c r="X41" s="216">
        <v>0.5</v>
      </c>
      <c r="Y41" s="216">
        <v>0.5</v>
      </c>
      <c r="Z41" s="216">
        <v>0.1</v>
      </c>
      <c r="AA41" s="216">
        <v>0.1</v>
      </c>
      <c r="AB41" s="216">
        <v>0.1</v>
      </c>
      <c r="AC41" s="216">
        <v>0.1</v>
      </c>
      <c r="AD41" s="216">
        <v>0.1</v>
      </c>
      <c r="AE41" s="216">
        <v>0.1</v>
      </c>
      <c r="AF41" s="216">
        <v>0.1</v>
      </c>
      <c r="AG41" s="216">
        <v>0.5</v>
      </c>
      <c r="AH41" s="216">
        <v>0.5</v>
      </c>
      <c r="AI41" s="216">
        <v>0.5</v>
      </c>
      <c r="AJ41" s="216">
        <v>0.5</v>
      </c>
      <c r="AK41" s="216">
        <v>0.5</v>
      </c>
      <c r="AL41" s="216">
        <v>0.5</v>
      </c>
      <c r="AM41" s="216">
        <v>0.5</v>
      </c>
      <c r="AN41" s="216">
        <v>0.5</v>
      </c>
      <c r="AO41" s="216">
        <v>0.5</v>
      </c>
      <c r="AP41" s="216">
        <v>0.5</v>
      </c>
      <c r="AQ41" s="216">
        <v>0.5</v>
      </c>
      <c r="AR41" s="216">
        <v>0.5</v>
      </c>
      <c r="AS41" s="216">
        <v>0.8</v>
      </c>
      <c r="AT41" s="216">
        <v>0.5</v>
      </c>
      <c r="AU41" s="216">
        <v>0.5</v>
      </c>
      <c r="AV41" s="216">
        <v>0.8</v>
      </c>
      <c r="AW41" s="216">
        <v>0.5</v>
      </c>
      <c r="AX41" s="216">
        <v>0.8</v>
      </c>
      <c r="AY41" s="216">
        <v>0.8</v>
      </c>
      <c r="AZ41" s="216">
        <v>0.8</v>
      </c>
      <c r="BA41" s="216">
        <v>0.8</v>
      </c>
      <c r="BB41" s="216">
        <v>0.5</v>
      </c>
      <c r="BC41" s="216">
        <v>0.8</v>
      </c>
      <c r="BD41" s="216">
        <v>0.8</v>
      </c>
      <c r="BE41" s="216">
        <v>0.8</v>
      </c>
      <c r="BF41" s="216">
        <v>0.8</v>
      </c>
      <c r="BG41" s="216">
        <v>0.8</v>
      </c>
      <c r="BH41" s="216">
        <v>0.8</v>
      </c>
      <c r="BI41" s="216">
        <v>0.8</v>
      </c>
      <c r="BJ41" s="216">
        <v>0.8</v>
      </c>
      <c r="BK41" s="216">
        <v>0.8</v>
      </c>
      <c r="BL41" s="216">
        <v>0.8</v>
      </c>
      <c r="BM41" s="216">
        <v>0.8</v>
      </c>
      <c r="BN41" s="216">
        <v>0.8</v>
      </c>
      <c r="BO41" s="216">
        <v>0.8</v>
      </c>
      <c r="BP41" s="216">
        <v>0.8</v>
      </c>
      <c r="BQ41" s="216">
        <v>0.8</v>
      </c>
      <c r="BR41" s="216">
        <v>0.8</v>
      </c>
      <c r="BS41" s="216">
        <v>0.8</v>
      </c>
      <c r="BT41" s="216">
        <v>0.8</v>
      </c>
      <c r="BU41" s="216">
        <v>0.8</v>
      </c>
      <c r="BV41" s="216">
        <v>0.8</v>
      </c>
      <c r="BW41" s="216">
        <v>0.8</v>
      </c>
      <c r="BX41" s="216">
        <v>0.8</v>
      </c>
      <c r="BY41" s="216">
        <v>0.8</v>
      </c>
      <c r="BZ41" s="216">
        <v>0.8</v>
      </c>
      <c r="CA41" s="216">
        <v>0.8</v>
      </c>
      <c r="CB41" s="216">
        <v>0.5</v>
      </c>
      <c r="CC41" s="216">
        <v>0.5</v>
      </c>
      <c r="CD41" s="216">
        <v>0.8</v>
      </c>
      <c r="CE41" s="216">
        <v>0.8</v>
      </c>
      <c r="CF41" s="216">
        <v>0.8</v>
      </c>
      <c r="CG41" s="216">
        <v>0.8</v>
      </c>
      <c r="CH41" s="216">
        <v>0.5</v>
      </c>
      <c r="CI41" s="216">
        <v>0</v>
      </c>
      <c r="CJ41" s="216">
        <v>0</v>
      </c>
      <c r="CK41" s="216">
        <v>0</v>
      </c>
      <c r="CL41" s="216">
        <v>0</v>
      </c>
      <c r="CM41" s="216">
        <v>0</v>
      </c>
    </row>
    <row r="42" spans="1:91" s="216" customFormat="1" ht="15" x14ac:dyDescent="0.5">
      <c r="A42" s="245" t="s">
        <v>209</v>
      </c>
      <c r="B42" s="216">
        <v>0</v>
      </c>
      <c r="C42" s="216">
        <v>0</v>
      </c>
      <c r="D42" s="216">
        <v>0.8</v>
      </c>
      <c r="E42" s="216">
        <v>0.8</v>
      </c>
      <c r="F42" s="216">
        <v>0.8</v>
      </c>
      <c r="G42" s="216">
        <v>0.8</v>
      </c>
      <c r="H42" s="216">
        <v>0.8</v>
      </c>
      <c r="I42" s="216">
        <v>0.8</v>
      </c>
      <c r="J42" s="216">
        <v>0.8</v>
      </c>
      <c r="K42" s="216">
        <v>0.8</v>
      </c>
      <c r="L42" s="216">
        <v>0.8</v>
      </c>
      <c r="M42" s="216">
        <v>0.8</v>
      </c>
      <c r="N42" s="216">
        <v>0.5</v>
      </c>
      <c r="O42" s="216">
        <v>0.8</v>
      </c>
      <c r="P42" s="216">
        <v>0.8</v>
      </c>
      <c r="Q42" s="216">
        <v>0.8</v>
      </c>
      <c r="R42" s="216">
        <v>0.5</v>
      </c>
      <c r="S42" s="216">
        <v>0.5</v>
      </c>
      <c r="T42" s="216">
        <v>0.5</v>
      </c>
      <c r="U42" s="216">
        <v>0.5</v>
      </c>
      <c r="V42" s="216">
        <v>0.5</v>
      </c>
      <c r="W42" s="216">
        <v>0.5</v>
      </c>
      <c r="X42" s="216">
        <v>0.5</v>
      </c>
      <c r="Y42" s="216">
        <v>0.5</v>
      </c>
      <c r="Z42" s="216">
        <v>0.1</v>
      </c>
      <c r="AA42" s="216">
        <v>0.1</v>
      </c>
      <c r="AB42" s="216">
        <v>0.1</v>
      </c>
      <c r="AC42" s="216">
        <v>0.1</v>
      </c>
      <c r="AD42" s="216">
        <v>0.1</v>
      </c>
      <c r="AE42" s="216">
        <v>0.1</v>
      </c>
      <c r="AF42" s="216">
        <v>0.1</v>
      </c>
      <c r="AG42" s="216">
        <v>0.5</v>
      </c>
      <c r="AH42" s="216">
        <v>0.5</v>
      </c>
      <c r="AI42" s="216">
        <v>0.5</v>
      </c>
      <c r="AJ42" s="216">
        <v>0.5</v>
      </c>
      <c r="AK42" s="216">
        <v>0.5</v>
      </c>
      <c r="AL42" s="216">
        <v>0.5</v>
      </c>
      <c r="AM42" s="216">
        <v>0.5</v>
      </c>
      <c r="AN42" s="216">
        <v>0.5</v>
      </c>
      <c r="AO42" s="216">
        <v>0.5</v>
      </c>
      <c r="AP42" s="216">
        <v>0.5</v>
      </c>
      <c r="AQ42" s="216">
        <v>0.5</v>
      </c>
      <c r="AR42" s="216">
        <v>0.5</v>
      </c>
      <c r="AS42" s="216">
        <v>0.8</v>
      </c>
      <c r="AT42" s="216">
        <v>0.5</v>
      </c>
      <c r="AU42" s="216">
        <v>0.5</v>
      </c>
      <c r="AV42" s="216">
        <v>0.8</v>
      </c>
      <c r="AW42" s="216">
        <v>0.5</v>
      </c>
      <c r="AX42" s="216">
        <v>0.8</v>
      </c>
      <c r="AY42" s="216">
        <v>0.8</v>
      </c>
      <c r="AZ42" s="216">
        <v>0.8</v>
      </c>
      <c r="BA42" s="216">
        <v>0.8</v>
      </c>
      <c r="BB42" s="216">
        <v>0.5</v>
      </c>
      <c r="BC42" s="216">
        <v>0.8</v>
      </c>
      <c r="BD42" s="216">
        <v>0.8</v>
      </c>
      <c r="BE42" s="216">
        <v>0.8</v>
      </c>
      <c r="BF42" s="216">
        <v>0.8</v>
      </c>
      <c r="BG42" s="216">
        <v>0.8</v>
      </c>
      <c r="BH42" s="216">
        <v>0.8</v>
      </c>
      <c r="BI42" s="216">
        <v>0.8</v>
      </c>
      <c r="BJ42" s="216">
        <v>0.8</v>
      </c>
      <c r="BK42" s="216">
        <v>0.8</v>
      </c>
      <c r="BL42" s="216">
        <v>0.8</v>
      </c>
      <c r="BM42" s="216">
        <v>0.8</v>
      </c>
      <c r="BN42" s="216">
        <v>0.8</v>
      </c>
      <c r="BO42" s="216">
        <v>0.8</v>
      </c>
      <c r="BP42" s="216">
        <v>0.8</v>
      </c>
      <c r="BQ42" s="216">
        <v>0.8</v>
      </c>
      <c r="BR42" s="216">
        <v>0.8</v>
      </c>
      <c r="BS42" s="216">
        <v>0.8</v>
      </c>
      <c r="BT42" s="216">
        <v>0.8</v>
      </c>
      <c r="BU42" s="216">
        <v>0.8</v>
      </c>
      <c r="BV42" s="216">
        <v>0.8</v>
      </c>
      <c r="BW42" s="216">
        <v>0.8</v>
      </c>
      <c r="BX42" s="216">
        <v>0.8</v>
      </c>
      <c r="BY42" s="216">
        <v>0.8</v>
      </c>
      <c r="BZ42" s="216">
        <v>0.8</v>
      </c>
      <c r="CA42" s="216">
        <v>0.8</v>
      </c>
      <c r="CB42" s="216">
        <v>0.5</v>
      </c>
      <c r="CC42" s="216">
        <v>0.5</v>
      </c>
      <c r="CD42" s="216">
        <v>0.8</v>
      </c>
      <c r="CE42" s="216">
        <v>0.8</v>
      </c>
      <c r="CF42" s="216">
        <v>0.8</v>
      </c>
      <c r="CG42" s="216">
        <v>0.8</v>
      </c>
      <c r="CH42" s="216">
        <v>0.5</v>
      </c>
      <c r="CI42" s="216">
        <v>0</v>
      </c>
      <c r="CJ42" s="216">
        <v>0</v>
      </c>
      <c r="CK42" s="216">
        <v>0</v>
      </c>
      <c r="CL42" s="216">
        <v>0</v>
      </c>
      <c r="CM42" s="216">
        <v>0</v>
      </c>
    </row>
    <row r="43" spans="1:91" s="216" customFormat="1" ht="15" x14ac:dyDescent="0.5">
      <c r="A43" s="245" t="s">
        <v>210</v>
      </c>
      <c r="B43" s="216">
        <v>0</v>
      </c>
      <c r="C43" s="216">
        <v>0</v>
      </c>
      <c r="D43" s="216">
        <v>0.8</v>
      </c>
      <c r="E43" s="216">
        <v>0.8</v>
      </c>
      <c r="F43" s="216">
        <v>0.8</v>
      </c>
      <c r="G43" s="216">
        <v>0.8</v>
      </c>
      <c r="H43" s="216">
        <v>0.8</v>
      </c>
      <c r="I43" s="216">
        <v>0.8</v>
      </c>
      <c r="J43" s="216">
        <v>0.8</v>
      </c>
      <c r="K43" s="216">
        <v>0.8</v>
      </c>
      <c r="L43" s="216">
        <v>0.8</v>
      </c>
      <c r="M43" s="216">
        <v>0.8</v>
      </c>
      <c r="N43" s="216">
        <v>0.5</v>
      </c>
      <c r="O43" s="216">
        <v>0.8</v>
      </c>
      <c r="P43" s="216">
        <v>0.8</v>
      </c>
      <c r="Q43" s="216">
        <v>0.8</v>
      </c>
      <c r="R43" s="216">
        <v>0.5</v>
      </c>
      <c r="S43" s="216">
        <v>0.5</v>
      </c>
      <c r="T43" s="216">
        <v>0.5</v>
      </c>
      <c r="U43" s="216">
        <v>0.5</v>
      </c>
      <c r="V43" s="216">
        <v>0.5</v>
      </c>
      <c r="W43" s="216">
        <v>0.5</v>
      </c>
      <c r="X43" s="216">
        <v>0.5</v>
      </c>
      <c r="Y43" s="216">
        <v>0.5</v>
      </c>
      <c r="Z43" s="216">
        <v>0.1</v>
      </c>
      <c r="AA43" s="216">
        <v>0.1</v>
      </c>
      <c r="AB43" s="216">
        <v>0.1</v>
      </c>
      <c r="AC43" s="216">
        <v>0.1</v>
      </c>
      <c r="AD43" s="216">
        <v>0.1</v>
      </c>
      <c r="AE43" s="216">
        <v>0.1</v>
      </c>
      <c r="AF43" s="216">
        <v>0.1</v>
      </c>
      <c r="AG43" s="216">
        <v>0.5</v>
      </c>
      <c r="AH43" s="216">
        <v>0.5</v>
      </c>
      <c r="AI43" s="216">
        <v>0.5</v>
      </c>
      <c r="AJ43" s="216">
        <v>0.5</v>
      </c>
      <c r="AK43" s="216">
        <v>0.5</v>
      </c>
      <c r="AL43" s="216">
        <v>0.5</v>
      </c>
      <c r="AM43" s="216">
        <v>0.5</v>
      </c>
      <c r="AN43" s="216">
        <v>0.5</v>
      </c>
      <c r="AO43" s="216">
        <v>0.5</v>
      </c>
      <c r="AP43" s="216">
        <v>0.5</v>
      </c>
      <c r="AQ43" s="216">
        <v>0.5</v>
      </c>
      <c r="AR43" s="216">
        <v>0.5</v>
      </c>
      <c r="AS43" s="216">
        <v>0.8</v>
      </c>
      <c r="AT43" s="216">
        <v>0.5</v>
      </c>
      <c r="AU43" s="216">
        <v>0.5</v>
      </c>
      <c r="AV43" s="216">
        <v>0.8</v>
      </c>
      <c r="AW43" s="216">
        <v>0.5</v>
      </c>
      <c r="AX43" s="216">
        <v>0.8</v>
      </c>
      <c r="AY43" s="216">
        <v>0.8</v>
      </c>
      <c r="AZ43" s="216">
        <v>0.8</v>
      </c>
      <c r="BA43" s="216">
        <v>0.8</v>
      </c>
      <c r="BB43" s="216">
        <v>0.5</v>
      </c>
      <c r="BC43" s="216">
        <v>0.8</v>
      </c>
      <c r="BD43" s="216">
        <v>0.8</v>
      </c>
      <c r="BE43" s="216">
        <v>0.8</v>
      </c>
      <c r="BF43" s="216">
        <v>0.8</v>
      </c>
      <c r="BG43" s="216">
        <v>0.8</v>
      </c>
      <c r="BH43" s="216">
        <v>0.8</v>
      </c>
      <c r="BI43" s="216">
        <v>0.8</v>
      </c>
      <c r="BJ43" s="216">
        <v>0.8</v>
      </c>
      <c r="BK43" s="216">
        <v>0.8</v>
      </c>
      <c r="BL43" s="216">
        <v>0.8</v>
      </c>
      <c r="BM43" s="216">
        <v>0.8</v>
      </c>
      <c r="BN43" s="216">
        <v>0.8</v>
      </c>
      <c r="BO43" s="216">
        <v>0.8</v>
      </c>
      <c r="BP43" s="216">
        <v>0.8</v>
      </c>
      <c r="BQ43" s="216">
        <v>0.8</v>
      </c>
      <c r="BR43" s="216">
        <v>0.8</v>
      </c>
      <c r="BS43" s="216">
        <v>0.8</v>
      </c>
      <c r="BT43" s="216">
        <v>0.8</v>
      </c>
      <c r="BU43" s="216">
        <v>0.8</v>
      </c>
      <c r="BV43" s="216">
        <v>0.8</v>
      </c>
      <c r="BW43" s="216">
        <v>0.8</v>
      </c>
      <c r="BX43" s="216">
        <v>0.8</v>
      </c>
      <c r="BY43" s="216">
        <v>0.8</v>
      </c>
      <c r="BZ43" s="216">
        <v>0.8</v>
      </c>
      <c r="CA43" s="216">
        <v>0.8</v>
      </c>
      <c r="CB43" s="216">
        <v>0.5</v>
      </c>
      <c r="CC43" s="216">
        <v>0.5</v>
      </c>
      <c r="CD43" s="216">
        <v>0.8</v>
      </c>
      <c r="CE43" s="216">
        <v>0.8</v>
      </c>
      <c r="CF43" s="216">
        <v>0.8</v>
      </c>
      <c r="CG43" s="216">
        <v>0.8</v>
      </c>
      <c r="CH43" s="216">
        <v>0.5</v>
      </c>
      <c r="CI43" s="216">
        <v>0</v>
      </c>
      <c r="CJ43" s="216">
        <v>0</v>
      </c>
      <c r="CK43" s="216">
        <v>0</v>
      </c>
      <c r="CL43" s="216">
        <v>0</v>
      </c>
      <c r="CM43" s="216">
        <v>0</v>
      </c>
    </row>
    <row r="44" spans="1:91" s="216" customFormat="1" ht="15" x14ac:dyDescent="0.5">
      <c r="A44" s="245" t="s">
        <v>211</v>
      </c>
      <c r="B44" s="216">
        <v>0</v>
      </c>
      <c r="C44" s="216">
        <v>0</v>
      </c>
      <c r="D44" s="216">
        <v>0.8</v>
      </c>
      <c r="E44" s="216">
        <v>0.8</v>
      </c>
      <c r="F44" s="216">
        <v>0.8</v>
      </c>
      <c r="G44" s="216">
        <v>0.8</v>
      </c>
      <c r="H44" s="216">
        <v>0.8</v>
      </c>
      <c r="I44" s="216">
        <v>0.8</v>
      </c>
      <c r="J44" s="216">
        <v>0.8</v>
      </c>
      <c r="K44" s="216">
        <v>0.8</v>
      </c>
      <c r="L44" s="216">
        <v>0.8</v>
      </c>
      <c r="M44" s="216">
        <v>0.8</v>
      </c>
      <c r="N44" s="216">
        <v>0.5</v>
      </c>
      <c r="O44" s="216">
        <v>0.8</v>
      </c>
      <c r="P44" s="216">
        <v>0.8</v>
      </c>
      <c r="Q44" s="216">
        <v>0.8</v>
      </c>
      <c r="R44" s="216">
        <v>0.5</v>
      </c>
      <c r="S44" s="216">
        <v>0.5</v>
      </c>
      <c r="T44" s="216">
        <v>0.5</v>
      </c>
      <c r="U44" s="216">
        <v>0.5</v>
      </c>
      <c r="V44" s="216">
        <v>0.5</v>
      </c>
      <c r="W44" s="216">
        <v>0.5</v>
      </c>
      <c r="X44" s="216">
        <v>0.5</v>
      </c>
      <c r="Y44" s="216">
        <v>0.5</v>
      </c>
      <c r="Z44" s="216">
        <v>0.1</v>
      </c>
      <c r="AA44" s="216">
        <v>0.1</v>
      </c>
      <c r="AB44" s="216">
        <v>0.1</v>
      </c>
      <c r="AC44" s="216">
        <v>0.1</v>
      </c>
      <c r="AD44" s="216">
        <v>0.1</v>
      </c>
      <c r="AE44" s="216">
        <v>0.1</v>
      </c>
      <c r="AF44" s="216">
        <v>0.1</v>
      </c>
      <c r="AG44" s="216">
        <v>0.5</v>
      </c>
      <c r="AH44" s="216">
        <v>0.5</v>
      </c>
      <c r="AI44" s="216">
        <v>0.5</v>
      </c>
      <c r="AJ44" s="216">
        <v>0.5</v>
      </c>
      <c r="AK44" s="216">
        <v>0.5</v>
      </c>
      <c r="AL44" s="216">
        <v>0.5</v>
      </c>
      <c r="AM44" s="216">
        <v>0.5</v>
      </c>
      <c r="AN44" s="216">
        <v>0.5</v>
      </c>
      <c r="AO44" s="216">
        <v>0.5</v>
      </c>
      <c r="AP44" s="216">
        <v>0.5</v>
      </c>
      <c r="AQ44" s="216">
        <v>0.5</v>
      </c>
      <c r="AR44" s="216">
        <v>0.5</v>
      </c>
      <c r="AS44" s="216">
        <v>0.8</v>
      </c>
      <c r="AT44" s="216">
        <v>0.5</v>
      </c>
      <c r="AU44" s="216">
        <v>0.5</v>
      </c>
      <c r="AV44" s="216">
        <v>0.8</v>
      </c>
      <c r="AW44" s="216">
        <v>0.5</v>
      </c>
      <c r="AX44" s="216">
        <v>0.8</v>
      </c>
      <c r="AY44" s="216">
        <v>0.8</v>
      </c>
      <c r="AZ44" s="216">
        <v>0.8</v>
      </c>
      <c r="BA44" s="216">
        <v>0.8</v>
      </c>
      <c r="BB44" s="216">
        <v>0.5</v>
      </c>
      <c r="BC44" s="216">
        <v>0.8</v>
      </c>
      <c r="BD44" s="216">
        <v>0.8</v>
      </c>
      <c r="BE44" s="216">
        <v>0.8</v>
      </c>
      <c r="BF44" s="216">
        <v>0.8</v>
      </c>
      <c r="BG44" s="216">
        <v>0.8</v>
      </c>
      <c r="BH44" s="216">
        <v>0.8</v>
      </c>
      <c r="BI44" s="216">
        <v>0.8</v>
      </c>
      <c r="BJ44" s="216">
        <v>0.8</v>
      </c>
      <c r="BK44" s="216">
        <v>0.8</v>
      </c>
      <c r="BL44" s="216">
        <v>0.8</v>
      </c>
      <c r="BM44" s="216">
        <v>0.8</v>
      </c>
      <c r="BN44" s="216">
        <v>0.8</v>
      </c>
      <c r="BO44" s="216">
        <v>0.8</v>
      </c>
      <c r="BP44" s="216">
        <v>0.8</v>
      </c>
      <c r="BQ44" s="216">
        <v>0.8</v>
      </c>
      <c r="BR44" s="216">
        <v>0.8</v>
      </c>
      <c r="BS44" s="216">
        <v>0.8</v>
      </c>
      <c r="BT44" s="216">
        <v>0.8</v>
      </c>
      <c r="BU44" s="216">
        <v>0.8</v>
      </c>
      <c r="BV44" s="216">
        <v>0.8</v>
      </c>
      <c r="BW44" s="216">
        <v>0.8</v>
      </c>
      <c r="BX44" s="216">
        <v>0.8</v>
      </c>
      <c r="BY44" s="216">
        <v>0.8</v>
      </c>
      <c r="BZ44" s="216">
        <v>0.8</v>
      </c>
      <c r="CA44" s="216">
        <v>0.8</v>
      </c>
      <c r="CB44" s="216">
        <v>0.5</v>
      </c>
      <c r="CC44" s="216">
        <v>0.5</v>
      </c>
      <c r="CD44" s="216">
        <v>0.8</v>
      </c>
      <c r="CE44" s="216">
        <v>0.8</v>
      </c>
      <c r="CF44" s="216">
        <v>0.8</v>
      </c>
      <c r="CG44" s="216">
        <v>0.8</v>
      </c>
      <c r="CH44" s="216">
        <v>0.5</v>
      </c>
      <c r="CI44" s="216">
        <v>0</v>
      </c>
      <c r="CJ44" s="216">
        <v>0</v>
      </c>
      <c r="CK44" s="216">
        <v>0</v>
      </c>
      <c r="CL44" s="216">
        <v>0</v>
      </c>
      <c r="CM44" s="216">
        <v>0</v>
      </c>
    </row>
    <row r="45" spans="1:91" s="216" customFormat="1" ht="15" x14ac:dyDescent="0.5">
      <c r="A45" s="245" t="s">
        <v>212</v>
      </c>
      <c r="B45" s="216">
        <v>0</v>
      </c>
      <c r="C45" s="216">
        <v>0</v>
      </c>
      <c r="D45" s="216">
        <v>0.8</v>
      </c>
      <c r="E45" s="216">
        <v>0.8</v>
      </c>
      <c r="F45" s="216">
        <v>0.8</v>
      </c>
      <c r="G45" s="216">
        <v>0.8</v>
      </c>
      <c r="H45" s="216">
        <v>0.8</v>
      </c>
      <c r="I45" s="216">
        <v>0.8</v>
      </c>
      <c r="J45" s="216">
        <v>0.8</v>
      </c>
      <c r="K45" s="216">
        <v>0.8</v>
      </c>
      <c r="L45" s="216">
        <v>0.8</v>
      </c>
      <c r="M45" s="216">
        <v>0.8</v>
      </c>
      <c r="N45" s="216">
        <v>0.5</v>
      </c>
      <c r="O45" s="216">
        <v>0.8</v>
      </c>
      <c r="P45" s="216">
        <v>0.8</v>
      </c>
      <c r="Q45" s="216">
        <v>0.8</v>
      </c>
      <c r="R45" s="216">
        <v>0.5</v>
      </c>
      <c r="S45" s="216">
        <v>0.5</v>
      </c>
      <c r="T45" s="216">
        <v>0.5</v>
      </c>
      <c r="U45" s="216">
        <v>0.5</v>
      </c>
      <c r="V45" s="216">
        <v>0.5</v>
      </c>
      <c r="W45" s="216">
        <v>0.5</v>
      </c>
      <c r="X45" s="216">
        <v>0.5</v>
      </c>
      <c r="Y45" s="216">
        <v>0.5</v>
      </c>
      <c r="Z45" s="216">
        <v>0.1</v>
      </c>
      <c r="AA45" s="216">
        <v>0.1</v>
      </c>
      <c r="AB45" s="216">
        <v>0.1</v>
      </c>
      <c r="AC45" s="216">
        <v>0.1</v>
      </c>
      <c r="AD45" s="216">
        <v>0.1</v>
      </c>
      <c r="AE45" s="216">
        <v>0.1</v>
      </c>
      <c r="AF45" s="216">
        <v>0.1</v>
      </c>
      <c r="AG45" s="216">
        <v>0.5</v>
      </c>
      <c r="AH45" s="216">
        <v>0.5</v>
      </c>
      <c r="AI45" s="216">
        <v>0.5</v>
      </c>
      <c r="AJ45" s="216">
        <v>0.5</v>
      </c>
      <c r="AK45" s="216">
        <v>0.5</v>
      </c>
      <c r="AL45" s="216">
        <v>0.5</v>
      </c>
      <c r="AM45" s="216">
        <v>0.5</v>
      </c>
      <c r="AN45" s="216">
        <v>0.5</v>
      </c>
      <c r="AO45" s="216">
        <v>0.5</v>
      </c>
      <c r="AP45" s="216">
        <v>0.5</v>
      </c>
      <c r="AQ45" s="216">
        <v>0.5</v>
      </c>
      <c r="AR45" s="216">
        <v>0.5</v>
      </c>
      <c r="AS45" s="216">
        <v>0.8</v>
      </c>
      <c r="AT45" s="216">
        <v>0.5</v>
      </c>
      <c r="AU45" s="216">
        <v>0.5</v>
      </c>
      <c r="AV45" s="216">
        <v>0.8</v>
      </c>
      <c r="AW45" s="216">
        <v>0.5</v>
      </c>
      <c r="AX45" s="216">
        <v>0.8</v>
      </c>
      <c r="AY45" s="216">
        <v>0.8</v>
      </c>
      <c r="AZ45" s="216">
        <v>0.8</v>
      </c>
      <c r="BA45" s="216">
        <v>0.8</v>
      </c>
      <c r="BB45" s="216">
        <v>0.5</v>
      </c>
      <c r="BC45" s="216">
        <v>0.8</v>
      </c>
      <c r="BD45" s="216">
        <v>0.8</v>
      </c>
      <c r="BE45" s="216">
        <v>0.8</v>
      </c>
      <c r="BF45" s="216">
        <v>0.8</v>
      </c>
      <c r="BG45" s="216">
        <v>0.8</v>
      </c>
      <c r="BH45" s="216">
        <v>0.8</v>
      </c>
      <c r="BI45" s="216">
        <v>0.8</v>
      </c>
      <c r="BJ45" s="216">
        <v>0.8</v>
      </c>
      <c r="BK45" s="216">
        <v>0.8</v>
      </c>
      <c r="BL45" s="216">
        <v>0.8</v>
      </c>
      <c r="BM45" s="216">
        <v>0.8</v>
      </c>
      <c r="BN45" s="216">
        <v>0.8</v>
      </c>
      <c r="BO45" s="216">
        <v>0.8</v>
      </c>
      <c r="BP45" s="216">
        <v>0.8</v>
      </c>
      <c r="BQ45" s="216">
        <v>0.8</v>
      </c>
      <c r="BR45" s="216">
        <v>0.8</v>
      </c>
      <c r="BS45" s="216">
        <v>0.8</v>
      </c>
      <c r="BT45" s="216">
        <v>0.8</v>
      </c>
      <c r="BU45" s="216">
        <v>0.8</v>
      </c>
      <c r="BV45" s="216">
        <v>0.8</v>
      </c>
      <c r="BW45" s="216">
        <v>0.8</v>
      </c>
      <c r="BX45" s="216">
        <v>0.8</v>
      </c>
      <c r="BY45" s="216">
        <v>0.8</v>
      </c>
      <c r="BZ45" s="216">
        <v>0.8</v>
      </c>
      <c r="CA45" s="216">
        <v>0.8</v>
      </c>
      <c r="CB45" s="216">
        <v>0.5</v>
      </c>
      <c r="CC45" s="216">
        <v>0.5</v>
      </c>
      <c r="CD45" s="216">
        <v>0.8</v>
      </c>
      <c r="CE45" s="216">
        <v>0.8</v>
      </c>
      <c r="CF45" s="216">
        <v>0.8</v>
      </c>
      <c r="CG45" s="216">
        <v>0.8</v>
      </c>
      <c r="CH45" s="216">
        <v>0.5</v>
      </c>
      <c r="CI45" s="216">
        <v>0</v>
      </c>
      <c r="CJ45" s="216">
        <v>0</v>
      </c>
      <c r="CK45" s="216">
        <v>0</v>
      </c>
      <c r="CL45" s="216">
        <v>0</v>
      </c>
      <c r="CM45" s="216">
        <v>0</v>
      </c>
    </row>
    <row r="46" spans="1:91" s="216" customFormat="1" ht="15" x14ac:dyDescent="0.5">
      <c r="A46" s="245" t="s">
        <v>213</v>
      </c>
      <c r="B46" s="216">
        <v>0</v>
      </c>
      <c r="C46" s="216">
        <v>0</v>
      </c>
      <c r="D46" s="216">
        <v>0.8</v>
      </c>
      <c r="E46" s="216">
        <v>0.8</v>
      </c>
      <c r="F46" s="216">
        <v>0.8</v>
      </c>
      <c r="G46" s="216">
        <v>0.8</v>
      </c>
      <c r="H46" s="216">
        <v>0.8</v>
      </c>
      <c r="I46" s="216">
        <v>0.8</v>
      </c>
      <c r="J46" s="216">
        <v>0.8</v>
      </c>
      <c r="K46" s="216">
        <v>0.8</v>
      </c>
      <c r="L46" s="216">
        <v>0.8</v>
      </c>
      <c r="M46" s="216">
        <v>0.8</v>
      </c>
      <c r="N46" s="216">
        <v>0.5</v>
      </c>
      <c r="O46" s="216">
        <v>0.8</v>
      </c>
      <c r="P46" s="216">
        <v>0.8</v>
      </c>
      <c r="Q46" s="216">
        <v>0.8</v>
      </c>
      <c r="R46" s="216">
        <v>0.5</v>
      </c>
      <c r="S46" s="216">
        <v>0.5</v>
      </c>
      <c r="T46" s="216">
        <v>0.5</v>
      </c>
      <c r="U46" s="216">
        <v>0.5</v>
      </c>
      <c r="V46" s="216">
        <v>0.5</v>
      </c>
      <c r="W46" s="216">
        <v>0.5</v>
      </c>
      <c r="X46" s="216">
        <v>0.5</v>
      </c>
      <c r="Y46" s="216">
        <v>0.5</v>
      </c>
      <c r="Z46" s="216">
        <v>0.1</v>
      </c>
      <c r="AA46" s="216">
        <v>0.1</v>
      </c>
      <c r="AB46" s="216">
        <v>0.1</v>
      </c>
      <c r="AC46" s="216">
        <v>0.1</v>
      </c>
      <c r="AD46" s="216">
        <v>0.1</v>
      </c>
      <c r="AE46" s="216">
        <v>0.1</v>
      </c>
      <c r="AF46" s="216">
        <v>0.1</v>
      </c>
      <c r="AG46" s="216">
        <v>0.5</v>
      </c>
      <c r="AH46" s="216">
        <v>0.5</v>
      </c>
      <c r="AI46" s="216">
        <v>0.5</v>
      </c>
      <c r="AJ46" s="216">
        <v>0.5</v>
      </c>
      <c r="AK46" s="216">
        <v>0.5</v>
      </c>
      <c r="AL46" s="216">
        <v>0.5</v>
      </c>
      <c r="AM46" s="216">
        <v>0.5</v>
      </c>
      <c r="AN46" s="216">
        <v>0.5</v>
      </c>
      <c r="AO46" s="216">
        <v>0.5</v>
      </c>
      <c r="AP46" s="216">
        <v>0.5</v>
      </c>
      <c r="AQ46" s="216">
        <v>0.5</v>
      </c>
      <c r="AR46" s="216">
        <v>0.5</v>
      </c>
      <c r="AS46" s="216">
        <v>0.8</v>
      </c>
      <c r="AT46" s="216">
        <v>0.5</v>
      </c>
      <c r="AU46" s="216">
        <v>0.5</v>
      </c>
      <c r="AV46" s="216">
        <v>0.8</v>
      </c>
      <c r="AW46" s="216">
        <v>0.5</v>
      </c>
      <c r="AX46" s="216">
        <v>0.8</v>
      </c>
      <c r="AY46" s="216">
        <v>0.8</v>
      </c>
      <c r="AZ46" s="216">
        <v>0.8</v>
      </c>
      <c r="BA46" s="216">
        <v>0.8</v>
      </c>
      <c r="BB46" s="216">
        <v>0.5</v>
      </c>
      <c r="BC46" s="216">
        <v>0.8</v>
      </c>
      <c r="BD46" s="216">
        <v>0.8</v>
      </c>
      <c r="BE46" s="216">
        <v>0.8</v>
      </c>
      <c r="BF46" s="216">
        <v>0.8</v>
      </c>
      <c r="BG46" s="216">
        <v>0.8</v>
      </c>
      <c r="BH46" s="216">
        <v>0.8</v>
      </c>
      <c r="BI46" s="216">
        <v>0.8</v>
      </c>
      <c r="BJ46" s="216">
        <v>0.8</v>
      </c>
      <c r="BK46" s="216">
        <v>0.8</v>
      </c>
      <c r="BL46" s="216">
        <v>0.8</v>
      </c>
      <c r="BM46" s="216">
        <v>0.8</v>
      </c>
      <c r="BN46" s="216">
        <v>0.8</v>
      </c>
      <c r="BO46" s="216">
        <v>0.8</v>
      </c>
      <c r="BP46" s="216">
        <v>0.8</v>
      </c>
      <c r="BQ46" s="216">
        <v>0.8</v>
      </c>
      <c r="BR46" s="216">
        <v>0.8</v>
      </c>
      <c r="BS46" s="216">
        <v>0.8</v>
      </c>
      <c r="BT46" s="216">
        <v>0.8</v>
      </c>
      <c r="BU46" s="216">
        <v>0.8</v>
      </c>
      <c r="BV46" s="216">
        <v>0.8</v>
      </c>
      <c r="BW46" s="216">
        <v>0.8</v>
      </c>
      <c r="BX46" s="216">
        <v>0.8</v>
      </c>
      <c r="BY46" s="216">
        <v>0.8</v>
      </c>
      <c r="BZ46" s="216">
        <v>0.8</v>
      </c>
      <c r="CA46" s="216">
        <v>0.8</v>
      </c>
      <c r="CB46" s="216">
        <v>0.5</v>
      </c>
      <c r="CC46" s="216">
        <v>0.5</v>
      </c>
      <c r="CD46" s="216">
        <v>0.8</v>
      </c>
      <c r="CE46" s="216">
        <v>0.8</v>
      </c>
      <c r="CF46" s="216">
        <v>0.8</v>
      </c>
      <c r="CG46" s="216">
        <v>0.8</v>
      </c>
      <c r="CH46" s="216">
        <v>0.5</v>
      </c>
      <c r="CI46" s="216">
        <v>0</v>
      </c>
      <c r="CJ46" s="216">
        <v>0</v>
      </c>
      <c r="CK46" s="216">
        <v>0</v>
      </c>
      <c r="CL46" s="216">
        <v>0</v>
      </c>
      <c r="CM46" s="216">
        <v>0</v>
      </c>
    </row>
    <row r="47" spans="1:91" s="216" customFormat="1" ht="15" x14ac:dyDescent="0.5">
      <c r="A47" s="245" t="s">
        <v>214</v>
      </c>
      <c r="B47" s="216">
        <v>0</v>
      </c>
      <c r="C47" s="216">
        <v>0</v>
      </c>
      <c r="D47" s="216">
        <v>0.8</v>
      </c>
      <c r="E47" s="216">
        <v>0.8</v>
      </c>
      <c r="F47" s="216">
        <v>0.8</v>
      </c>
      <c r="G47" s="216">
        <v>0.8</v>
      </c>
      <c r="H47" s="216">
        <v>0.8</v>
      </c>
      <c r="I47" s="216">
        <v>0.8</v>
      </c>
      <c r="J47" s="216">
        <v>0.8</v>
      </c>
      <c r="K47" s="216">
        <v>0.8</v>
      </c>
      <c r="L47" s="216">
        <v>0.8</v>
      </c>
      <c r="M47" s="216">
        <v>0.8</v>
      </c>
      <c r="N47" s="216">
        <v>0.5</v>
      </c>
      <c r="O47" s="216">
        <v>0.8</v>
      </c>
      <c r="P47" s="216">
        <v>0.8</v>
      </c>
      <c r="Q47" s="216">
        <v>0.8</v>
      </c>
      <c r="R47" s="216">
        <v>0.5</v>
      </c>
      <c r="S47" s="216">
        <v>0.5</v>
      </c>
      <c r="T47" s="216">
        <v>0.5</v>
      </c>
      <c r="U47" s="216">
        <v>0.5</v>
      </c>
      <c r="V47" s="216">
        <v>0.5</v>
      </c>
      <c r="W47" s="216">
        <v>0.5</v>
      </c>
      <c r="X47" s="216">
        <v>0.5</v>
      </c>
      <c r="Y47" s="216">
        <v>0.5</v>
      </c>
      <c r="Z47" s="216">
        <v>0.1</v>
      </c>
      <c r="AA47" s="216">
        <v>0.1</v>
      </c>
      <c r="AB47" s="216">
        <v>0.1</v>
      </c>
      <c r="AC47" s="216">
        <v>0.1</v>
      </c>
      <c r="AD47" s="216">
        <v>0.1</v>
      </c>
      <c r="AE47" s="216">
        <v>0.1</v>
      </c>
      <c r="AF47" s="216">
        <v>0.1</v>
      </c>
      <c r="AG47" s="216">
        <v>0.5</v>
      </c>
      <c r="AH47" s="216">
        <v>0.5</v>
      </c>
      <c r="AI47" s="216">
        <v>0.5</v>
      </c>
      <c r="AJ47" s="216">
        <v>0.5</v>
      </c>
      <c r="AK47" s="216">
        <v>0.5</v>
      </c>
      <c r="AL47" s="216">
        <v>0.5</v>
      </c>
      <c r="AM47" s="216">
        <v>0.5</v>
      </c>
      <c r="AN47" s="216">
        <v>0.5</v>
      </c>
      <c r="AO47" s="216">
        <v>0.5</v>
      </c>
      <c r="AP47" s="216">
        <v>0.5</v>
      </c>
      <c r="AQ47" s="216">
        <v>0.5</v>
      </c>
      <c r="AR47" s="216">
        <v>0.5</v>
      </c>
      <c r="AS47" s="216">
        <v>0.8</v>
      </c>
      <c r="AT47" s="216">
        <v>0.5</v>
      </c>
      <c r="AU47" s="216">
        <v>0.5</v>
      </c>
      <c r="AV47" s="216">
        <v>0.8</v>
      </c>
      <c r="AW47" s="216">
        <v>0.5</v>
      </c>
      <c r="AX47" s="216">
        <v>0.8</v>
      </c>
      <c r="AY47" s="216">
        <v>0.8</v>
      </c>
      <c r="AZ47" s="216">
        <v>0.8</v>
      </c>
      <c r="BA47" s="216">
        <v>0.8</v>
      </c>
      <c r="BB47" s="216">
        <v>0.5</v>
      </c>
      <c r="BC47" s="216">
        <v>0.8</v>
      </c>
      <c r="BD47" s="216">
        <v>0.8</v>
      </c>
      <c r="BE47" s="216">
        <v>0.8</v>
      </c>
      <c r="BF47" s="216">
        <v>0.8</v>
      </c>
      <c r="BG47" s="216">
        <v>0.8</v>
      </c>
      <c r="BH47" s="216">
        <v>0.8</v>
      </c>
      <c r="BI47" s="216">
        <v>0.8</v>
      </c>
      <c r="BJ47" s="216">
        <v>0.8</v>
      </c>
      <c r="BK47" s="216">
        <v>0.8</v>
      </c>
      <c r="BL47" s="216">
        <v>0.8</v>
      </c>
      <c r="BM47" s="216">
        <v>0.8</v>
      </c>
      <c r="BN47" s="216">
        <v>0.8</v>
      </c>
      <c r="BO47" s="216">
        <v>0.8</v>
      </c>
      <c r="BP47" s="216">
        <v>0.8</v>
      </c>
      <c r="BQ47" s="216">
        <v>0.8</v>
      </c>
      <c r="BR47" s="216">
        <v>0.8</v>
      </c>
      <c r="BS47" s="216">
        <v>0.8</v>
      </c>
      <c r="BT47" s="216">
        <v>0.8</v>
      </c>
      <c r="BU47" s="216">
        <v>0.8</v>
      </c>
      <c r="BV47" s="216">
        <v>0.8</v>
      </c>
      <c r="BW47" s="216">
        <v>0.8</v>
      </c>
      <c r="BX47" s="216">
        <v>0.8</v>
      </c>
      <c r="BY47" s="216">
        <v>0.8</v>
      </c>
      <c r="BZ47" s="216">
        <v>0.8</v>
      </c>
      <c r="CA47" s="216">
        <v>0.8</v>
      </c>
      <c r="CB47" s="216">
        <v>0.5</v>
      </c>
      <c r="CC47" s="216">
        <v>0.5</v>
      </c>
      <c r="CD47" s="216">
        <v>0.8</v>
      </c>
      <c r="CE47" s="216">
        <v>0.8</v>
      </c>
      <c r="CF47" s="216">
        <v>0.8</v>
      </c>
      <c r="CG47" s="216">
        <v>0.8</v>
      </c>
      <c r="CH47" s="216">
        <v>0.5</v>
      </c>
      <c r="CI47" s="216">
        <v>0</v>
      </c>
      <c r="CJ47" s="216">
        <v>0</v>
      </c>
      <c r="CK47" s="216">
        <v>0</v>
      </c>
      <c r="CL47" s="216">
        <v>0</v>
      </c>
      <c r="CM47" s="216">
        <v>0</v>
      </c>
    </row>
    <row r="48" spans="1:91" s="216" customFormat="1" ht="15" x14ac:dyDescent="0.5">
      <c r="A48" s="245" t="s">
        <v>215</v>
      </c>
      <c r="B48" s="216">
        <v>0</v>
      </c>
      <c r="C48" s="216">
        <v>0</v>
      </c>
      <c r="D48" s="216">
        <v>0.8</v>
      </c>
      <c r="E48" s="216">
        <v>0.8</v>
      </c>
      <c r="F48" s="216">
        <v>0.8</v>
      </c>
      <c r="G48" s="216">
        <v>0.8</v>
      </c>
      <c r="H48" s="216">
        <v>0.8</v>
      </c>
      <c r="I48" s="216">
        <v>0.8</v>
      </c>
      <c r="J48" s="216">
        <v>0.8</v>
      </c>
      <c r="K48" s="216">
        <v>0.8</v>
      </c>
      <c r="L48" s="216">
        <v>0.8</v>
      </c>
      <c r="M48" s="216">
        <v>0.8</v>
      </c>
      <c r="N48" s="216">
        <v>0.5</v>
      </c>
      <c r="O48" s="216">
        <v>0.8</v>
      </c>
      <c r="P48" s="216">
        <v>0.8</v>
      </c>
      <c r="Q48" s="216">
        <v>0.8</v>
      </c>
      <c r="R48" s="216">
        <v>0.5</v>
      </c>
      <c r="S48" s="216">
        <v>0.5</v>
      </c>
      <c r="T48" s="216">
        <v>0.5</v>
      </c>
      <c r="U48" s="216">
        <v>0.5</v>
      </c>
      <c r="V48" s="216">
        <v>0.5</v>
      </c>
      <c r="W48" s="216">
        <v>0.5</v>
      </c>
      <c r="X48" s="216">
        <v>0.5</v>
      </c>
      <c r="Y48" s="216">
        <v>0.5</v>
      </c>
      <c r="Z48" s="216">
        <v>0.1</v>
      </c>
      <c r="AA48" s="216">
        <v>0.1</v>
      </c>
      <c r="AB48" s="216">
        <v>0.1</v>
      </c>
      <c r="AC48" s="216">
        <v>0.1</v>
      </c>
      <c r="AD48" s="216">
        <v>0.1</v>
      </c>
      <c r="AE48" s="216">
        <v>0.1</v>
      </c>
      <c r="AF48" s="216">
        <v>0.1</v>
      </c>
      <c r="AG48" s="216">
        <v>0.5</v>
      </c>
      <c r="AH48" s="216">
        <v>0.5</v>
      </c>
      <c r="AI48" s="216">
        <v>0.5</v>
      </c>
      <c r="AJ48" s="216">
        <v>0.5</v>
      </c>
      <c r="AK48" s="216">
        <v>0.5</v>
      </c>
      <c r="AL48" s="216">
        <v>0.5</v>
      </c>
      <c r="AM48" s="216">
        <v>0.5</v>
      </c>
      <c r="AN48" s="216">
        <v>0.5</v>
      </c>
      <c r="AO48" s="216">
        <v>0.5</v>
      </c>
      <c r="AP48" s="216">
        <v>0.5</v>
      </c>
      <c r="AQ48" s="216">
        <v>0.5</v>
      </c>
      <c r="AR48" s="216">
        <v>0.5</v>
      </c>
      <c r="AS48" s="216">
        <v>0.8</v>
      </c>
      <c r="AT48" s="216">
        <v>0.5</v>
      </c>
      <c r="AU48" s="216">
        <v>0.5</v>
      </c>
      <c r="AV48" s="216">
        <v>0.8</v>
      </c>
      <c r="AW48" s="216">
        <v>0.5</v>
      </c>
      <c r="AX48" s="216">
        <v>0.8</v>
      </c>
      <c r="AY48" s="216">
        <v>0.8</v>
      </c>
      <c r="AZ48" s="216">
        <v>0.8</v>
      </c>
      <c r="BA48" s="216">
        <v>0.8</v>
      </c>
      <c r="BB48" s="216">
        <v>0.5</v>
      </c>
      <c r="BC48" s="216">
        <v>0.8</v>
      </c>
      <c r="BD48" s="216">
        <v>0.8</v>
      </c>
      <c r="BE48" s="216">
        <v>0.8</v>
      </c>
      <c r="BF48" s="216">
        <v>0.8</v>
      </c>
      <c r="BG48" s="216">
        <v>0.8</v>
      </c>
      <c r="BH48" s="216">
        <v>0.8</v>
      </c>
      <c r="BI48" s="216">
        <v>0.8</v>
      </c>
      <c r="BJ48" s="216">
        <v>0.8</v>
      </c>
      <c r="BK48" s="216">
        <v>0.8</v>
      </c>
      <c r="BL48" s="216">
        <v>0.8</v>
      </c>
      <c r="BM48" s="216">
        <v>0.8</v>
      </c>
      <c r="BN48" s="216">
        <v>0.8</v>
      </c>
      <c r="BO48" s="216">
        <v>0.8</v>
      </c>
      <c r="BP48" s="216">
        <v>0.8</v>
      </c>
      <c r="BQ48" s="216">
        <v>0.8</v>
      </c>
      <c r="BR48" s="216">
        <v>0.8</v>
      </c>
      <c r="BS48" s="216">
        <v>0.8</v>
      </c>
      <c r="BT48" s="216">
        <v>0.8</v>
      </c>
      <c r="BU48" s="216">
        <v>0.8</v>
      </c>
      <c r="BV48" s="216">
        <v>0.8</v>
      </c>
      <c r="BW48" s="216">
        <v>0.8</v>
      </c>
      <c r="BX48" s="216">
        <v>0.8</v>
      </c>
      <c r="BY48" s="216">
        <v>0.8</v>
      </c>
      <c r="BZ48" s="216">
        <v>0.8</v>
      </c>
      <c r="CA48" s="216">
        <v>0.8</v>
      </c>
      <c r="CB48" s="216">
        <v>0.5</v>
      </c>
      <c r="CC48" s="216">
        <v>0.5</v>
      </c>
      <c r="CD48" s="216">
        <v>0.8</v>
      </c>
      <c r="CE48" s="216">
        <v>0.8</v>
      </c>
      <c r="CF48" s="216">
        <v>0.8</v>
      </c>
      <c r="CG48" s="216">
        <v>0.8</v>
      </c>
      <c r="CH48" s="216">
        <v>0.5</v>
      </c>
      <c r="CI48" s="216">
        <v>0</v>
      </c>
      <c r="CJ48" s="216">
        <v>0</v>
      </c>
      <c r="CK48" s="216">
        <v>0</v>
      </c>
      <c r="CL48" s="216">
        <v>0</v>
      </c>
      <c r="CM48" s="216">
        <v>0</v>
      </c>
    </row>
    <row r="49" spans="1:91" s="216" customFormat="1" ht="15" customHeight="1" x14ac:dyDescent="0.5">
      <c r="A49" s="245" t="s">
        <v>216</v>
      </c>
      <c r="B49" s="216">
        <v>0</v>
      </c>
      <c r="C49" s="216">
        <v>0</v>
      </c>
      <c r="D49" s="216">
        <v>0.8</v>
      </c>
      <c r="E49" s="216">
        <v>0.8</v>
      </c>
      <c r="F49" s="216">
        <v>0.8</v>
      </c>
      <c r="G49" s="216">
        <v>0.8</v>
      </c>
      <c r="H49" s="216">
        <v>0.8</v>
      </c>
      <c r="I49" s="216">
        <v>0.8</v>
      </c>
      <c r="J49" s="216">
        <v>0.8</v>
      </c>
      <c r="K49" s="216">
        <v>0.8</v>
      </c>
      <c r="L49" s="216">
        <v>0.8</v>
      </c>
      <c r="M49" s="216">
        <v>0.8</v>
      </c>
      <c r="N49" s="216">
        <v>0.5</v>
      </c>
      <c r="O49" s="216">
        <v>0.8</v>
      </c>
      <c r="P49" s="216">
        <v>0.8</v>
      </c>
      <c r="Q49" s="216">
        <v>0.8</v>
      </c>
      <c r="R49" s="216">
        <v>0.5</v>
      </c>
      <c r="S49" s="216">
        <v>0.5</v>
      </c>
      <c r="T49" s="216">
        <v>0.5</v>
      </c>
      <c r="U49" s="216">
        <v>0.5</v>
      </c>
      <c r="V49" s="216">
        <v>0.5</v>
      </c>
      <c r="W49" s="216">
        <v>0.5</v>
      </c>
      <c r="X49" s="216">
        <v>0.5</v>
      </c>
      <c r="Y49" s="216">
        <v>0.5</v>
      </c>
      <c r="Z49" s="216">
        <v>0.1</v>
      </c>
      <c r="AA49" s="216">
        <v>0.1</v>
      </c>
      <c r="AB49" s="216">
        <v>0.1</v>
      </c>
      <c r="AC49" s="216">
        <v>0.1</v>
      </c>
      <c r="AD49" s="216">
        <v>0.1</v>
      </c>
      <c r="AE49" s="216">
        <v>0.1</v>
      </c>
      <c r="AF49" s="216">
        <v>0.1</v>
      </c>
      <c r="AG49" s="216">
        <v>0.5</v>
      </c>
      <c r="AH49" s="216">
        <v>0.5</v>
      </c>
      <c r="AI49" s="216">
        <v>0.5</v>
      </c>
      <c r="AJ49" s="216">
        <v>0.5</v>
      </c>
      <c r="AK49" s="216">
        <v>0.5</v>
      </c>
      <c r="AL49" s="216">
        <v>0.5</v>
      </c>
      <c r="AM49" s="216">
        <v>0.5</v>
      </c>
      <c r="AN49" s="216">
        <v>0.5</v>
      </c>
      <c r="AO49" s="216">
        <v>0.5</v>
      </c>
      <c r="AP49" s="216">
        <v>0.5</v>
      </c>
      <c r="AQ49" s="216">
        <v>0.5</v>
      </c>
      <c r="AR49" s="216">
        <v>0.5</v>
      </c>
      <c r="AS49" s="216">
        <v>0.8</v>
      </c>
      <c r="AT49" s="216">
        <v>0.5</v>
      </c>
      <c r="AU49" s="216">
        <v>0.5</v>
      </c>
      <c r="AV49" s="216">
        <v>0.8</v>
      </c>
      <c r="AW49" s="216">
        <v>0.5</v>
      </c>
      <c r="AX49" s="216">
        <v>0.8</v>
      </c>
      <c r="AY49" s="216">
        <v>0.8</v>
      </c>
      <c r="AZ49" s="216">
        <v>0.8</v>
      </c>
      <c r="BA49" s="216">
        <v>0.8</v>
      </c>
      <c r="BB49" s="216">
        <v>0.5</v>
      </c>
      <c r="BC49" s="216">
        <v>0.8</v>
      </c>
      <c r="BD49" s="216">
        <v>0.8</v>
      </c>
      <c r="BE49" s="216">
        <v>0.8</v>
      </c>
      <c r="BF49" s="216">
        <v>0.8</v>
      </c>
      <c r="BG49" s="216">
        <v>0.8</v>
      </c>
      <c r="BH49" s="216">
        <v>0.8</v>
      </c>
      <c r="BI49" s="216">
        <v>0.8</v>
      </c>
      <c r="BJ49" s="216">
        <v>0.8</v>
      </c>
      <c r="BK49" s="216">
        <v>0.8</v>
      </c>
      <c r="BL49" s="216">
        <v>0.8</v>
      </c>
      <c r="BM49" s="216">
        <v>0.8</v>
      </c>
      <c r="BN49" s="216">
        <v>0.8</v>
      </c>
      <c r="BO49" s="216">
        <v>0.8</v>
      </c>
      <c r="BP49" s="216">
        <v>0.8</v>
      </c>
      <c r="BQ49" s="216">
        <v>0.8</v>
      </c>
      <c r="BR49" s="216">
        <v>0.8</v>
      </c>
      <c r="BS49" s="216">
        <v>0.8</v>
      </c>
      <c r="BT49" s="216">
        <v>0.8</v>
      </c>
      <c r="BU49" s="216">
        <v>0.8</v>
      </c>
      <c r="BV49" s="216">
        <v>0.8</v>
      </c>
      <c r="BW49" s="216">
        <v>0.8</v>
      </c>
      <c r="BX49" s="216">
        <v>0.8</v>
      </c>
      <c r="BY49" s="216">
        <v>0.8</v>
      </c>
      <c r="BZ49" s="216">
        <v>0.8</v>
      </c>
      <c r="CA49" s="216">
        <v>0.8</v>
      </c>
      <c r="CB49" s="216">
        <v>0.5</v>
      </c>
      <c r="CC49" s="216">
        <v>0.5</v>
      </c>
      <c r="CD49" s="216">
        <v>0.8</v>
      </c>
      <c r="CE49" s="216">
        <v>0.8</v>
      </c>
      <c r="CF49" s="216">
        <v>0.8</v>
      </c>
      <c r="CG49" s="216">
        <v>0.8</v>
      </c>
      <c r="CH49" s="216">
        <v>0.5</v>
      </c>
      <c r="CI49" s="216">
        <v>0</v>
      </c>
      <c r="CJ49" s="216">
        <v>0</v>
      </c>
      <c r="CK49" s="216">
        <v>0</v>
      </c>
      <c r="CL49" s="216">
        <v>0</v>
      </c>
      <c r="CM49" s="216">
        <v>0</v>
      </c>
    </row>
    <row r="50" spans="1:91" s="216" customFormat="1" ht="15" customHeight="1" x14ac:dyDescent="0.5">
      <c r="A50" s="245" t="s">
        <v>217</v>
      </c>
      <c r="B50" s="216">
        <v>0</v>
      </c>
      <c r="C50" s="216">
        <v>0</v>
      </c>
      <c r="D50" s="216">
        <v>0.8</v>
      </c>
      <c r="E50" s="216">
        <v>0.8</v>
      </c>
      <c r="F50" s="216">
        <v>0.8</v>
      </c>
      <c r="G50" s="216">
        <v>0.8</v>
      </c>
      <c r="H50" s="216">
        <v>0.8</v>
      </c>
      <c r="I50" s="216">
        <v>0.8</v>
      </c>
      <c r="J50" s="216">
        <v>0.8</v>
      </c>
      <c r="K50" s="216">
        <v>0.8</v>
      </c>
      <c r="L50" s="216">
        <v>0.8</v>
      </c>
      <c r="M50" s="216">
        <v>0.8</v>
      </c>
      <c r="N50" s="216">
        <v>0.5</v>
      </c>
      <c r="O50" s="216">
        <v>0.8</v>
      </c>
      <c r="P50" s="216">
        <v>0.8</v>
      </c>
      <c r="Q50" s="216">
        <v>0.8</v>
      </c>
      <c r="R50" s="216">
        <v>0.5</v>
      </c>
      <c r="S50" s="216">
        <v>0.5</v>
      </c>
      <c r="T50" s="216">
        <v>0.5</v>
      </c>
      <c r="U50" s="216">
        <v>0.5</v>
      </c>
      <c r="V50" s="216">
        <v>0.5</v>
      </c>
      <c r="W50" s="216">
        <v>0.5</v>
      </c>
      <c r="X50" s="216">
        <v>0.5</v>
      </c>
      <c r="Y50" s="216">
        <v>0.5</v>
      </c>
      <c r="Z50" s="216">
        <v>0.1</v>
      </c>
      <c r="AA50" s="216">
        <v>0.1</v>
      </c>
      <c r="AB50" s="216">
        <v>0.1</v>
      </c>
      <c r="AC50" s="216">
        <v>0.1</v>
      </c>
      <c r="AD50" s="216">
        <v>0.1</v>
      </c>
      <c r="AE50" s="216">
        <v>0.1</v>
      </c>
      <c r="AF50" s="216">
        <v>0.1</v>
      </c>
      <c r="AG50" s="216">
        <v>0.5</v>
      </c>
      <c r="AH50" s="216">
        <v>0.5</v>
      </c>
      <c r="AI50" s="216">
        <v>0.5</v>
      </c>
      <c r="AJ50" s="216">
        <v>0.5</v>
      </c>
      <c r="AK50" s="216">
        <v>0.5</v>
      </c>
      <c r="AL50" s="216">
        <v>0.5</v>
      </c>
      <c r="AM50" s="216">
        <v>0.5</v>
      </c>
      <c r="AN50" s="216">
        <v>0.5</v>
      </c>
      <c r="AO50" s="216">
        <v>0.5</v>
      </c>
      <c r="AP50" s="216">
        <v>0.5</v>
      </c>
      <c r="AQ50" s="216">
        <v>0.5</v>
      </c>
      <c r="AR50" s="216">
        <v>0.5</v>
      </c>
      <c r="AS50" s="216">
        <v>0.8</v>
      </c>
      <c r="AT50" s="216">
        <v>0.5</v>
      </c>
      <c r="AU50" s="216">
        <v>0.5</v>
      </c>
      <c r="AV50" s="216">
        <v>0.8</v>
      </c>
      <c r="AW50" s="216">
        <v>0.5</v>
      </c>
      <c r="AX50" s="216">
        <v>0.8</v>
      </c>
      <c r="AY50" s="216">
        <v>0.8</v>
      </c>
      <c r="AZ50" s="216">
        <v>0.8</v>
      </c>
      <c r="BA50" s="216">
        <v>0.8</v>
      </c>
      <c r="BB50" s="216">
        <v>0.5</v>
      </c>
      <c r="BC50" s="216">
        <v>0.8</v>
      </c>
      <c r="BD50" s="216">
        <v>0.8</v>
      </c>
      <c r="BE50" s="216">
        <v>0.8</v>
      </c>
      <c r="BF50" s="216">
        <v>0.8</v>
      </c>
      <c r="BG50" s="216">
        <v>0.8</v>
      </c>
      <c r="BH50" s="216">
        <v>0.8</v>
      </c>
      <c r="BI50" s="216">
        <v>0.8</v>
      </c>
      <c r="BJ50" s="216">
        <v>0.8</v>
      </c>
      <c r="BK50" s="216">
        <v>0.8</v>
      </c>
      <c r="BL50" s="216">
        <v>0.8</v>
      </c>
      <c r="BM50" s="216">
        <v>0.8</v>
      </c>
      <c r="BN50" s="216">
        <v>0.8</v>
      </c>
      <c r="BO50" s="216">
        <v>0.8</v>
      </c>
      <c r="BP50" s="216">
        <v>0.8</v>
      </c>
      <c r="BQ50" s="216">
        <v>0.8</v>
      </c>
      <c r="BR50" s="216">
        <v>0.8</v>
      </c>
      <c r="BS50" s="216">
        <v>0.8</v>
      </c>
      <c r="BT50" s="216">
        <v>0.8</v>
      </c>
      <c r="BU50" s="216">
        <v>0.8</v>
      </c>
      <c r="BV50" s="216">
        <v>0.8</v>
      </c>
      <c r="BW50" s="216">
        <v>0.8</v>
      </c>
      <c r="BX50" s="216">
        <v>0.8</v>
      </c>
      <c r="BY50" s="216">
        <v>0.8</v>
      </c>
      <c r="BZ50" s="216">
        <v>0.8</v>
      </c>
      <c r="CA50" s="216">
        <v>0.8</v>
      </c>
      <c r="CB50" s="216">
        <v>0.5</v>
      </c>
      <c r="CC50" s="216">
        <v>0.5</v>
      </c>
      <c r="CD50" s="216">
        <v>0.8</v>
      </c>
      <c r="CE50" s="216">
        <v>0.8</v>
      </c>
      <c r="CF50" s="216">
        <v>0.8</v>
      </c>
      <c r="CG50" s="216">
        <v>0.8</v>
      </c>
      <c r="CH50" s="216">
        <v>0.5</v>
      </c>
      <c r="CI50" s="216">
        <v>0</v>
      </c>
      <c r="CJ50" s="216">
        <v>0</v>
      </c>
      <c r="CK50" s="216">
        <v>0</v>
      </c>
      <c r="CL50" s="216">
        <v>0</v>
      </c>
      <c r="CM50" s="216">
        <v>0</v>
      </c>
    </row>
    <row r="51" spans="1:91" s="216" customFormat="1" ht="15" customHeight="1" x14ac:dyDescent="0.5">
      <c r="A51" s="245" t="s">
        <v>218</v>
      </c>
      <c r="B51" s="216">
        <v>0</v>
      </c>
      <c r="C51" s="216">
        <v>0</v>
      </c>
      <c r="D51" s="216">
        <v>0.8</v>
      </c>
      <c r="E51" s="216">
        <v>0.8</v>
      </c>
      <c r="F51" s="216">
        <v>0.8</v>
      </c>
      <c r="G51" s="216">
        <v>0.8</v>
      </c>
      <c r="H51" s="216">
        <v>0.8</v>
      </c>
      <c r="I51" s="216">
        <v>0.8</v>
      </c>
      <c r="J51" s="216">
        <v>0.8</v>
      </c>
      <c r="K51" s="216">
        <v>0.8</v>
      </c>
      <c r="L51" s="216">
        <v>0.8</v>
      </c>
      <c r="M51" s="216">
        <v>0.8</v>
      </c>
      <c r="N51" s="216">
        <v>0.5</v>
      </c>
      <c r="O51" s="216">
        <v>0.8</v>
      </c>
      <c r="P51" s="216">
        <v>0.8</v>
      </c>
      <c r="Q51" s="216">
        <v>0.8</v>
      </c>
      <c r="R51" s="216">
        <v>0.5</v>
      </c>
      <c r="S51" s="216">
        <v>0.5</v>
      </c>
      <c r="T51" s="216">
        <v>0.5</v>
      </c>
      <c r="U51" s="216">
        <v>0.5</v>
      </c>
      <c r="V51" s="216">
        <v>0.5</v>
      </c>
      <c r="W51" s="216">
        <v>0.5</v>
      </c>
      <c r="X51" s="216">
        <v>0.5</v>
      </c>
      <c r="Y51" s="216">
        <v>0.5</v>
      </c>
      <c r="Z51" s="216">
        <v>0.1</v>
      </c>
      <c r="AA51" s="216">
        <v>0.1</v>
      </c>
      <c r="AB51" s="216">
        <v>0.1</v>
      </c>
      <c r="AC51" s="216">
        <v>0.1</v>
      </c>
      <c r="AD51" s="216">
        <v>0.1</v>
      </c>
      <c r="AE51" s="216">
        <v>0.1</v>
      </c>
      <c r="AF51" s="216">
        <v>0.1</v>
      </c>
      <c r="AG51" s="216">
        <v>0.5</v>
      </c>
      <c r="AH51" s="216">
        <v>0.5</v>
      </c>
      <c r="AI51" s="216">
        <v>0.5</v>
      </c>
      <c r="AJ51" s="216">
        <v>0.5</v>
      </c>
      <c r="AK51" s="216">
        <v>0.5</v>
      </c>
      <c r="AL51" s="216">
        <v>0.5</v>
      </c>
      <c r="AM51" s="216">
        <v>0.5</v>
      </c>
      <c r="AN51" s="216">
        <v>0.5</v>
      </c>
      <c r="AO51" s="216">
        <v>0.5</v>
      </c>
      <c r="AP51" s="216">
        <v>0.5</v>
      </c>
      <c r="AQ51" s="216">
        <v>0.5</v>
      </c>
      <c r="AR51" s="216">
        <v>0.5</v>
      </c>
      <c r="AS51" s="216">
        <v>0.8</v>
      </c>
      <c r="AT51" s="216">
        <v>0.5</v>
      </c>
      <c r="AU51" s="216">
        <v>0.5</v>
      </c>
      <c r="AV51" s="216">
        <v>0.8</v>
      </c>
      <c r="AW51" s="216">
        <v>0.5</v>
      </c>
      <c r="AX51" s="216">
        <v>0.8</v>
      </c>
      <c r="AY51" s="216">
        <v>0.8</v>
      </c>
      <c r="AZ51" s="216">
        <v>0.8</v>
      </c>
      <c r="BA51" s="216">
        <v>0.8</v>
      </c>
      <c r="BB51" s="216">
        <v>0.5</v>
      </c>
      <c r="BC51" s="216">
        <v>0.8</v>
      </c>
      <c r="BD51" s="216">
        <v>0.8</v>
      </c>
      <c r="BE51" s="216">
        <v>0.8</v>
      </c>
      <c r="BF51" s="216">
        <v>0.8</v>
      </c>
      <c r="BG51" s="216">
        <v>0.8</v>
      </c>
      <c r="BH51" s="216">
        <v>0.8</v>
      </c>
      <c r="BI51" s="216">
        <v>0.8</v>
      </c>
      <c r="BJ51" s="216">
        <v>0.8</v>
      </c>
      <c r="BK51" s="216">
        <v>0.8</v>
      </c>
      <c r="BL51" s="216">
        <v>0.8</v>
      </c>
      <c r="BM51" s="216">
        <v>0.8</v>
      </c>
      <c r="BN51" s="216">
        <v>0.8</v>
      </c>
      <c r="BO51" s="216">
        <v>0.8</v>
      </c>
      <c r="BP51" s="216">
        <v>0.8</v>
      </c>
      <c r="BQ51" s="216">
        <v>0.8</v>
      </c>
      <c r="BR51" s="216">
        <v>0.8</v>
      </c>
      <c r="BS51" s="216">
        <v>0.8</v>
      </c>
      <c r="BT51" s="216">
        <v>0.8</v>
      </c>
      <c r="BU51" s="216">
        <v>0.8</v>
      </c>
      <c r="BV51" s="216">
        <v>0.8</v>
      </c>
      <c r="BW51" s="216">
        <v>0.8</v>
      </c>
      <c r="BX51" s="216">
        <v>0.8</v>
      </c>
      <c r="BY51" s="216">
        <v>0.8</v>
      </c>
      <c r="BZ51" s="216">
        <v>0.8</v>
      </c>
      <c r="CA51" s="216">
        <v>0.8</v>
      </c>
      <c r="CB51" s="216">
        <v>0.5</v>
      </c>
      <c r="CC51" s="216">
        <v>0.5</v>
      </c>
      <c r="CD51" s="216">
        <v>0.8</v>
      </c>
      <c r="CE51" s="216">
        <v>0.8</v>
      </c>
      <c r="CF51" s="216">
        <v>0.8</v>
      </c>
      <c r="CG51" s="216">
        <v>0.8</v>
      </c>
      <c r="CH51" s="216">
        <v>0.5</v>
      </c>
      <c r="CI51" s="216">
        <v>0</v>
      </c>
      <c r="CJ51" s="216">
        <v>0</v>
      </c>
      <c r="CK51" s="216">
        <v>0</v>
      </c>
      <c r="CL51" s="216">
        <v>0</v>
      </c>
      <c r="CM51" s="216">
        <v>0</v>
      </c>
    </row>
    <row r="52" spans="1:91" s="216" customFormat="1" ht="15" customHeight="1" x14ac:dyDescent="0.5">
      <c r="A52" s="245" t="s">
        <v>219</v>
      </c>
      <c r="B52" s="216">
        <v>0</v>
      </c>
      <c r="C52" s="216">
        <v>0</v>
      </c>
      <c r="D52" s="216">
        <v>0.8</v>
      </c>
      <c r="E52" s="216">
        <v>0.8</v>
      </c>
      <c r="F52" s="216">
        <v>0.8</v>
      </c>
      <c r="G52" s="216">
        <v>0.8</v>
      </c>
      <c r="H52" s="216">
        <v>0.8</v>
      </c>
      <c r="I52" s="216">
        <v>0.8</v>
      </c>
      <c r="J52" s="216">
        <v>0.8</v>
      </c>
      <c r="K52" s="216">
        <v>0.8</v>
      </c>
      <c r="L52" s="216">
        <v>0.8</v>
      </c>
      <c r="M52" s="216">
        <v>0.8</v>
      </c>
      <c r="N52" s="216">
        <v>0.5</v>
      </c>
      <c r="O52" s="216">
        <v>0.8</v>
      </c>
      <c r="P52" s="216">
        <v>0.8</v>
      </c>
      <c r="Q52" s="216">
        <v>0.8</v>
      </c>
      <c r="R52" s="216">
        <v>0.5</v>
      </c>
      <c r="S52" s="216">
        <v>0.5</v>
      </c>
      <c r="T52" s="216">
        <v>0.5</v>
      </c>
      <c r="U52" s="216">
        <v>0.5</v>
      </c>
      <c r="V52" s="216">
        <v>0.5</v>
      </c>
      <c r="W52" s="216">
        <v>0.5</v>
      </c>
      <c r="X52" s="216">
        <v>0.5</v>
      </c>
      <c r="Y52" s="216">
        <v>0.5</v>
      </c>
      <c r="Z52" s="216">
        <v>0.1</v>
      </c>
      <c r="AA52" s="216">
        <v>0.1</v>
      </c>
      <c r="AB52" s="216">
        <v>0.1</v>
      </c>
      <c r="AC52" s="216">
        <v>0.1</v>
      </c>
      <c r="AD52" s="216">
        <v>0.1</v>
      </c>
      <c r="AE52" s="216">
        <v>0.1</v>
      </c>
      <c r="AF52" s="216">
        <v>0.1</v>
      </c>
      <c r="AG52" s="216">
        <v>0.5</v>
      </c>
      <c r="AH52" s="216">
        <v>0.5</v>
      </c>
      <c r="AI52" s="216">
        <v>0.5</v>
      </c>
      <c r="AJ52" s="216">
        <v>0.5</v>
      </c>
      <c r="AK52" s="216">
        <v>0.5</v>
      </c>
      <c r="AL52" s="216">
        <v>0.5</v>
      </c>
      <c r="AM52" s="216">
        <v>0.5</v>
      </c>
      <c r="AN52" s="216">
        <v>0.5</v>
      </c>
      <c r="AO52" s="216">
        <v>0.5</v>
      </c>
      <c r="AP52" s="216">
        <v>0.5</v>
      </c>
      <c r="AQ52" s="216">
        <v>0.5</v>
      </c>
      <c r="AR52" s="216">
        <v>0.5</v>
      </c>
      <c r="AS52" s="216">
        <v>0.8</v>
      </c>
      <c r="AT52" s="216">
        <v>0.5</v>
      </c>
      <c r="AU52" s="216">
        <v>0.5</v>
      </c>
      <c r="AV52" s="216">
        <v>0.8</v>
      </c>
      <c r="AW52" s="216">
        <v>0.5</v>
      </c>
      <c r="AX52" s="216">
        <v>0.8</v>
      </c>
      <c r="AY52" s="216">
        <v>0.8</v>
      </c>
      <c r="AZ52" s="216">
        <v>0.8</v>
      </c>
      <c r="BA52" s="216">
        <v>0.8</v>
      </c>
      <c r="BB52" s="216">
        <v>0.5</v>
      </c>
      <c r="BC52" s="216">
        <v>0.8</v>
      </c>
      <c r="BD52" s="216">
        <v>0.8</v>
      </c>
      <c r="BE52" s="216">
        <v>0.8</v>
      </c>
      <c r="BF52" s="216">
        <v>0.8</v>
      </c>
      <c r="BG52" s="216">
        <v>0.8</v>
      </c>
      <c r="BH52" s="216">
        <v>0.8</v>
      </c>
      <c r="BI52" s="216">
        <v>0.8</v>
      </c>
      <c r="BJ52" s="216">
        <v>0.8</v>
      </c>
      <c r="BK52" s="216">
        <v>0.8</v>
      </c>
      <c r="BL52" s="216">
        <v>0.8</v>
      </c>
      <c r="BM52" s="216">
        <v>0.8</v>
      </c>
      <c r="BN52" s="216">
        <v>0.8</v>
      </c>
      <c r="BO52" s="216">
        <v>0.8</v>
      </c>
      <c r="BP52" s="216">
        <v>0.8</v>
      </c>
      <c r="BQ52" s="216">
        <v>0.8</v>
      </c>
      <c r="BR52" s="216">
        <v>0.8</v>
      </c>
      <c r="BS52" s="216">
        <v>0.8</v>
      </c>
      <c r="BT52" s="216">
        <v>0.8</v>
      </c>
      <c r="BU52" s="216">
        <v>0.8</v>
      </c>
      <c r="BV52" s="216">
        <v>0.8</v>
      </c>
      <c r="BW52" s="216">
        <v>0.8</v>
      </c>
      <c r="BX52" s="216">
        <v>0.8</v>
      </c>
      <c r="BY52" s="216">
        <v>0.8</v>
      </c>
      <c r="BZ52" s="216">
        <v>0.8</v>
      </c>
      <c r="CA52" s="216">
        <v>0.8</v>
      </c>
      <c r="CB52" s="216">
        <v>0.5</v>
      </c>
      <c r="CC52" s="216">
        <v>0.5</v>
      </c>
      <c r="CD52" s="216">
        <v>0.8</v>
      </c>
      <c r="CE52" s="216">
        <v>0.8</v>
      </c>
      <c r="CF52" s="216">
        <v>0.8</v>
      </c>
      <c r="CG52" s="216">
        <v>0.8</v>
      </c>
      <c r="CH52" s="216">
        <v>0.5</v>
      </c>
      <c r="CI52" s="216">
        <v>0</v>
      </c>
      <c r="CJ52" s="216">
        <v>0</v>
      </c>
      <c r="CK52" s="216">
        <v>0</v>
      </c>
      <c r="CL52" s="216">
        <v>0</v>
      </c>
      <c r="CM52" s="216">
        <v>0</v>
      </c>
    </row>
    <row r="53" spans="1:91" s="216" customFormat="1" ht="15" customHeight="1" x14ac:dyDescent="0.5">
      <c r="A53" s="245" t="s">
        <v>220</v>
      </c>
      <c r="B53" s="216">
        <v>0</v>
      </c>
      <c r="C53" s="216">
        <v>0</v>
      </c>
      <c r="D53" s="216">
        <v>0.8</v>
      </c>
      <c r="E53" s="216">
        <v>0.8</v>
      </c>
      <c r="F53" s="216">
        <v>0.8</v>
      </c>
      <c r="G53" s="216">
        <v>0.8</v>
      </c>
      <c r="H53" s="216">
        <v>0.8</v>
      </c>
      <c r="I53" s="216">
        <v>0.8</v>
      </c>
      <c r="J53" s="216">
        <v>0.8</v>
      </c>
      <c r="K53" s="216">
        <v>0.8</v>
      </c>
      <c r="L53" s="216">
        <v>0.8</v>
      </c>
      <c r="M53" s="216">
        <v>0.8</v>
      </c>
      <c r="N53" s="216">
        <v>0.5</v>
      </c>
      <c r="O53" s="216">
        <v>0.8</v>
      </c>
      <c r="P53" s="216">
        <v>0.8</v>
      </c>
      <c r="Q53" s="216">
        <v>0.8</v>
      </c>
      <c r="R53" s="216">
        <v>0.5</v>
      </c>
      <c r="S53" s="216">
        <v>0.5</v>
      </c>
      <c r="T53" s="216">
        <v>0.5</v>
      </c>
      <c r="U53" s="216">
        <v>0.5</v>
      </c>
      <c r="V53" s="216">
        <v>0.5</v>
      </c>
      <c r="W53" s="216">
        <v>0.5</v>
      </c>
      <c r="X53" s="216">
        <v>0.5</v>
      </c>
      <c r="Y53" s="216">
        <v>0.5</v>
      </c>
      <c r="Z53" s="216">
        <v>0.1</v>
      </c>
      <c r="AA53" s="216">
        <v>0.1</v>
      </c>
      <c r="AB53" s="216">
        <v>0.1</v>
      </c>
      <c r="AC53" s="216">
        <v>0.1</v>
      </c>
      <c r="AD53" s="216">
        <v>0.1</v>
      </c>
      <c r="AE53" s="216">
        <v>0.1</v>
      </c>
      <c r="AF53" s="216">
        <v>0.1</v>
      </c>
      <c r="AG53" s="216">
        <v>0.5</v>
      </c>
      <c r="AH53" s="216">
        <v>0.5</v>
      </c>
      <c r="AI53" s="216">
        <v>0.5</v>
      </c>
      <c r="AJ53" s="216">
        <v>0.5</v>
      </c>
      <c r="AK53" s="216">
        <v>0.5</v>
      </c>
      <c r="AL53" s="216">
        <v>0.5</v>
      </c>
      <c r="AM53" s="216">
        <v>0.5</v>
      </c>
      <c r="AN53" s="216">
        <v>0.5</v>
      </c>
      <c r="AO53" s="216">
        <v>0.5</v>
      </c>
      <c r="AP53" s="216">
        <v>0.5</v>
      </c>
      <c r="AQ53" s="216">
        <v>0.5</v>
      </c>
      <c r="AR53" s="216">
        <v>0.5</v>
      </c>
      <c r="AS53" s="216">
        <v>0.8</v>
      </c>
      <c r="AT53" s="216">
        <v>0.5</v>
      </c>
      <c r="AU53" s="216">
        <v>0.5</v>
      </c>
      <c r="AV53" s="216">
        <v>0.8</v>
      </c>
      <c r="AW53" s="216">
        <v>0.5</v>
      </c>
      <c r="AX53" s="216">
        <v>0.8</v>
      </c>
      <c r="AY53" s="216">
        <v>0.8</v>
      </c>
      <c r="AZ53" s="216">
        <v>0.8</v>
      </c>
      <c r="BA53" s="216">
        <v>0.8</v>
      </c>
      <c r="BB53" s="216">
        <v>0.5</v>
      </c>
      <c r="BC53" s="216">
        <v>0.8</v>
      </c>
      <c r="BD53" s="216">
        <v>0.8</v>
      </c>
      <c r="BE53" s="216">
        <v>0.8</v>
      </c>
      <c r="BF53" s="216">
        <v>0.8</v>
      </c>
      <c r="BG53" s="216">
        <v>0.8</v>
      </c>
      <c r="BH53" s="216">
        <v>0.8</v>
      </c>
      <c r="BI53" s="216">
        <v>0.8</v>
      </c>
      <c r="BJ53" s="216">
        <v>0.8</v>
      </c>
      <c r="BK53" s="216">
        <v>0.8</v>
      </c>
      <c r="BL53" s="216">
        <v>0.8</v>
      </c>
      <c r="BM53" s="216">
        <v>0.8</v>
      </c>
      <c r="BN53" s="216">
        <v>0.8</v>
      </c>
      <c r="BO53" s="216">
        <v>0.8</v>
      </c>
      <c r="BP53" s="216">
        <v>0.8</v>
      </c>
      <c r="BQ53" s="216">
        <v>0.8</v>
      </c>
      <c r="BR53" s="216">
        <v>0.8</v>
      </c>
      <c r="BS53" s="216">
        <v>0.8</v>
      </c>
      <c r="BT53" s="216">
        <v>0.8</v>
      </c>
      <c r="BU53" s="216">
        <v>0.8</v>
      </c>
      <c r="BV53" s="216">
        <v>0.8</v>
      </c>
      <c r="BW53" s="216">
        <v>0.8</v>
      </c>
      <c r="BX53" s="216">
        <v>0.8</v>
      </c>
      <c r="BY53" s="216">
        <v>0.8</v>
      </c>
      <c r="BZ53" s="216">
        <v>0.8</v>
      </c>
      <c r="CA53" s="216">
        <v>0.8</v>
      </c>
      <c r="CB53" s="216">
        <v>0.5</v>
      </c>
      <c r="CC53" s="216">
        <v>0.5</v>
      </c>
      <c r="CD53" s="216">
        <v>0.8</v>
      </c>
      <c r="CE53" s="216">
        <v>0.8</v>
      </c>
      <c r="CF53" s="216">
        <v>0.8</v>
      </c>
      <c r="CG53" s="216">
        <v>0.8</v>
      </c>
      <c r="CH53" s="216">
        <v>0.5</v>
      </c>
      <c r="CI53" s="216">
        <v>0</v>
      </c>
      <c r="CJ53" s="216">
        <v>0</v>
      </c>
      <c r="CK53" s="216">
        <v>0</v>
      </c>
      <c r="CL53" s="216">
        <v>0</v>
      </c>
      <c r="CM53" s="216">
        <v>0</v>
      </c>
    </row>
    <row r="54" spans="1:91" s="216" customFormat="1" ht="15" customHeight="1" x14ac:dyDescent="0.5">
      <c r="A54" s="245" t="s">
        <v>221</v>
      </c>
      <c r="B54" s="216">
        <v>0</v>
      </c>
      <c r="C54" s="216">
        <v>0</v>
      </c>
      <c r="D54" s="216">
        <v>0.8</v>
      </c>
      <c r="E54" s="216">
        <v>0.8</v>
      </c>
      <c r="F54" s="216">
        <v>0.8</v>
      </c>
      <c r="G54" s="216">
        <v>0.8</v>
      </c>
      <c r="H54" s="216">
        <v>0.8</v>
      </c>
      <c r="I54" s="216">
        <v>0.8</v>
      </c>
      <c r="J54" s="216">
        <v>0.8</v>
      </c>
      <c r="K54" s="216">
        <v>0.8</v>
      </c>
      <c r="L54" s="216">
        <v>0.8</v>
      </c>
      <c r="M54" s="216">
        <v>0.8</v>
      </c>
      <c r="N54" s="216">
        <v>0.5</v>
      </c>
      <c r="O54" s="216">
        <v>0.8</v>
      </c>
      <c r="P54" s="216">
        <v>0.8</v>
      </c>
      <c r="Q54" s="216">
        <v>0.8</v>
      </c>
      <c r="R54" s="216">
        <v>0.5</v>
      </c>
      <c r="S54" s="216">
        <v>0.5</v>
      </c>
      <c r="T54" s="216">
        <v>0.5</v>
      </c>
      <c r="U54" s="216">
        <v>0.5</v>
      </c>
      <c r="V54" s="216">
        <v>0.5</v>
      </c>
      <c r="W54" s="216">
        <v>0.5</v>
      </c>
      <c r="X54" s="216">
        <v>0.5</v>
      </c>
      <c r="Y54" s="216">
        <v>0.5</v>
      </c>
      <c r="Z54" s="216">
        <v>0.1</v>
      </c>
      <c r="AA54" s="216">
        <v>0.1</v>
      </c>
      <c r="AB54" s="216">
        <v>0.1</v>
      </c>
      <c r="AC54" s="216">
        <v>0.1</v>
      </c>
      <c r="AD54" s="216">
        <v>0.1</v>
      </c>
      <c r="AE54" s="216">
        <v>0.1</v>
      </c>
      <c r="AF54" s="216">
        <v>0.1</v>
      </c>
      <c r="AG54" s="216">
        <v>0.5</v>
      </c>
      <c r="AH54" s="216">
        <v>0.5</v>
      </c>
      <c r="AI54" s="216">
        <v>0.5</v>
      </c>
      <c r="AJ54" s="216">
        <v>0.5</v>
      </c>
      <c r="AK54" s="216">
        <v>0.5</v>
      </c>
      <c r="AL54" s="216">
        <v>0.5</v>
      </c>
      <c r="AM54" s="216">
        <v>0.5</v>
      </c>
      <c r="AN54" s="216">
        <v>0.5</v>
      </c>
      <c r="AO54" s="216">
        <v>0.5</v>
      </c>
      <c r="AP54" s="216">
        <v>0.5</v>
      </c>
      <c r="AQ54" s="216">
        <v>0.5</v>
      </c>
      <c r="AR54" s="216">
        <v>0.5</v>
      </c>
      <c r="AS54" s="216">
        <v>0.8</v>
      </c>
      <c r="AT54" s="216">
        <v>0.5</v>
      </c>
      <c r="AU54" s="216">
        <v>0.5</v>
      </c>
      <c r="AV54" s="216">
        <v>0.8</v>
      </c>
      <c r="AW54" s="216">
        <v>0.5</v>
      </c>
      <c r="AX54" s="216">
        <v>0.8</v>
      </c>
      <c r="AY54" s="216">
        <v>0.8</v>
      </c>
      <c r="AZ54" s="216">
        <v>0.8</v>
      </c>
      <c r="BA54" s="216">
        <v>0.8</v>
      </c>
      <c r="BB54" s="216">
        <v>0.5</v>
      </c>
      <c r="BC54" s="216">
        <v>0.8</v>
      </c>
      <c r="BD54" s="216">
        <v>0.8</v>
      </c>
      <c r="BE54" s="216">
        <v>0.8</v>
      </c>
      <c r="BF54" s="216">
        <v>0.8</v>
      </c>
      <c r="BG54" s="216">
        <v>0.8</v>
      </c>
      <c r="BH54" s="216">
        <v>0.8</v>
      </c>
      <c r="BI54" s="216">
        <v>0.8</v>
      </c>
      <c r="BJ54" s="216">
        <v>0.8</v>
      </c>
      <c r="BK54" s="216">
        <v>0.8</v>
      </c>
      <c r="BL54" s="216">
        <v>0.8</v>
      </c>
      <c r="BM54" s="216">
        <v>0.8</v>
      </c>
      <c r="BN54" s="216">
        <v>0.8</v>
      </c>
      <c r="BO54" s="216">
        <v>0.8</v>
      </c>
      <c r="BP54" s="216">
        <v>0.8</v>
      </c>
      <c r="BQ54" s="216">
        <v>0.8</v>
      </c>
      <c r="BR54" s="216">
        <v>0.8</v>
      </c>
      <c r="BS54" s="216">
        <v>0.8</v>
      </c>
      <c r="BT54" s="216">
        <v>0.8</v>
      </c>
      <c r="BU54" s="216">
        <v>0.8</v>
      </c>
      <c r="BV54" s="216">
        <v>0.8</v>
      </c>
      <c r="BW54" s="216">
        <v>0.8</v>
      </c>
      <c r="BX54" s="216">
        <v>0.8</v>
      </c>
      <c r="BY54" s="216">
        <v>0.8</v>
      </c>
      <c r="BZ54" s="216">
        <v>0.8</v>
      </c>
      <c r="CA54" s="216">
        <v>0.8</v>
      </c>
      <c r="CB54" s="216">
        <v>0.5</v>
      </c>
      <c r="CC54" s="216">
        <v>0.5</v>
      </c>
      <c r="CD54" s="216">
        <v>0.8</v>
      </c>
      <c r="CE54" s="216">
        <v>0.8</v>
      </c>
      <c r="CF54" s="216">
        <v>0.8</v>
      </c>
      <c r="CG54" s="216">
        <v>0.8</v>
      </c>
      <c r="CH54" s="216">
        <v>0.5</v>
      </c>
      <c r="CI54" s="216">
        <v>0</v>
      </c>
      <c r="CJ54" s="216">
        <v>0</v>
      </c>
      <c r="CK54" s="216">
        <v>0</v>
      </c>
      <c r="CL54" s="216">
        <v>0</v>
      </c>
      <c r="CM54" s="216">
        <v>0</v>
      </c>
    </row>
    <row r="55" spans="1:91" s="216" customFormat="1" ht="15" customHeight="1" x14ac:dyDescent="0.5">
      <c r="A55" s="245" t="s">
        <v>222</v>
      </c>
      <c r="B55" s="216">
        <v>0</v>
      </c>
      <c r="C55" s="216">
        <v>0</v>
      </c>
      <c r="D55" s="216">
        <v>0.8</v>
      </c>
      <c r="E55" s="216">
        <v>0.8</v>
      </c>
      <c r="F55" s="216">
        <v>0.8</v>
      </c>
      <c r="G55" s="216">
        <v>0.8</v>
      </c>
      <c r="H55" s="216">
        <v>0.8</v>
      </c>
      <c r="I55" s="216">
        <v>0.8</v>
      </c>
      <c r="J55" s="216">
        <v>0.8</v>
      </c>
      <c r="K55" s="216">
        <v>0.8</v>
      </c>
      <c r="L55" s="216">
        <v>0.8</v>
      </c>
      <c r="M55" s="216">
        <v>0.8</v>
      </c>
      <c r="N55" s="216">
        <v>0.5</v>
      </c>
      <c r="O55" s="216">
        <v>0.8</v>
      </c>
      <c r="P55" s="216">
        <v>0.8</v>
      </c>
      <c r="Q55" s="216">
        <v>0.8</v>
      </c>
      <c r="R55" s="216">
        <v>0.5</v>
      </c>
      <c r="S55" s="216">
        <v>0.5</v>
      </c>
      <c r="T55" s="216">
        <v>0.5</v>
      </c>
      <c r="U55" s="216">
        <v>0.5</v>
      </c>
      <c r="V55" s="216">
        <v>0.5</v>
      </c>
      <c r="W55" s="216">
        <v>0.5</v>
      </c>
      <c r="X55" s="216">
        <v>0.5</v>
      </c>
      <c r="Y55" s="216">
        <v>0.5</v>
      </c>
      <c r="Z55" s="216">
        <v>0.1</v>
      </c>
      <c r="AA55" s="216">
        <v>0.1</v>
      </c>
      <c r="AB55" s="216">
        <v>0.1</v>
      </c>
      <c r="AC55" s="216">
        <v>0.1</v>
      </c>
      <c r="AD55" s="216">
        <v>0.1</v>
      </c>
      <c r="AE55" s="216">
        <v>0.1</v>
      </c>
      <c r="AF55" s="216">
        <v>0.1</v>
      </c>
      <c r="AG55" s="216">
        <v>0.5</v>
      </c>
      <c r="AH55" s="216">
        <v>0.5</v>
      </c>
      <c r="AI55" s="216">
        <v>0.5</v>
      </c>
      <c r="AJ55" s="216">
        <v>0.5</v>
      </c>
      <c r="AK55" s="216">
        <v>0.5</v>
      </c>
      <c r="AL55" s="216">
        <v>0.5</v>
      </c>
      <c r="AM55" s="216">
        <v>0.5</v>
      </c>
      <c r="AN55" s="216">
        <v>0.5</v>
      </c>
      <c r="AO55" s="216">
        <v>0.5</v>
      </c>
      <c r="AP55" s="216">
        <v>0.5</v>
      </c>
      <c r="AQ55" s="216">
        <v>0.5</v>
      </c>
      <c r="AR55" s="216">
        <v>0.5</v>
      </c>
      <c r="AS55" s="216">
        <v>0.8</v>
      </c>
      <c r="AT55" s="216">
        <v>0.5</v>
      </c>
      <c r="AU55" s="216">
        <v>0.5</v>
      </c>
      <c r="AV55" s="216">
        <v>0.8</v>
      </c>
      <c r="AW55" s="216">
        <v>0.5</v>
      </c>
      <c r="AX55" s="216">
        <v>0.8</v>
      </c>
      <c r="AY55" s="216">
        <v>0.8</v>
      </c>
      <c r="AZ55" s="216">
        <v>0.8</v>
      </c>
      <c r="BA55" s="216">
        <v>0.8</v>
      </c>
      <c r="BB55" s="216">
        <v>0.5</v>
      </c>
      <c r="BC55" s="216">
        <v>0.8</v>
      </c>
      <c r="BD55" s="216">
        <v>0.8</v>
      </c>
      <c r="BE55" s="216">
        <v>0.8</v>
      </c>
      <c r="BF55" s="216">
        <v>0.8</v>
      </c>
      <c r="BG55" s="216">
        <v>0.8</v>
      </c>
      <c r="BH55" s="216">
        <v>0.8</v>
      </c>
      <c r="BI55" s="216">
        <v>0.8</v>
      </c>
      <c r="BJ55" s="216">
        <v>0.8</v>
      </c>
      <c r="BK55" s="216">
        <v>0.8</v>
      </c>
      <c r="BL55" s="216">
        <v>0.8</v>
      </c>
      <c r="BM55" s="216">
        <v>0.8</v>
      </c>
      <c r="BN55" s="216">
        <v>0.8</v>
      </c>
      <c r="BO55" s="216">
        <v>0.8</v>
      </c>
      <c r="BP55" s="216">
        <v>0.8</v>
      </c>
      <c r="BQ55" s="216">
        <v>0.8</v>
      </c>
      <c r="BR55" s="216">
        <v>0.8</v>
      </c>
      <c r="BS55" s="216">
        <v>0.8</v>
      </c>
      <c r="BT55" s="216">
        <v>0.8</v>
      </c>
      <c r="BU55" s="216">
        <v>0.8</v>
      </c>
      <c r="BV55" s="216">
        <v>0.8</v>
      </c>
      <c r="BW55" s="216">
        <v>0.8</v>
      </c>
      <c r="BX55" s="216">
        <v>0.8</v>
      </c>
      <c r="BY55" s="216">
        <v>0.8</v>
      </c>
      <c r="BZ55" s="216">
        <v>0.8</v>
      </c>
      <c r="CA55" s="216">
        <v>0.8</v>
      </c>
      <c r="CB55" s="216">
        <v>0.5</v>
      </c>
      <c r="CC55" s="216">
        <v>0.5</v>
      </c>
      <c r="CD55" s="216">
        <v>0.8</v>
      </c>
      <c r="CE55" s="216">
        <v>0.8</v>
      </c>
      <c r="CF55" s="216">
        <v>0.8</v>
      </c>
      <c r="CG55" s="216">
        <v>0.8</v>
      </c>
      <c r="CH55" s="216">
        <v>0.5</v>
      </c>
      <c r="CI55" s="216">
        <v>0</v>
      </c>
      <c r="CJ55" s="216">
        <v>0</v>
      </c>
      <c r="CK55" s="216">
        <v>0</v>
      </c>
      <c r="CL55" s="216">
        <v>0</v>
      </c>
      <c r="CM55" s="216">
        <v>0</v>
      </c>
    </row>
    <row r="56" spans="1:91" s="216" customFormat="1" ht="15" customHeight="1" x14ac:dyDescent="0.5">
      <c r="A56" s="245" t="s">
        <v>223</v>
      </c>
      <c r="B56" s="216">
        <v>0</v>
      </c>
      <c r="C56" s="216">
        <v>0</v>
      </c>
      <c r="D56" s="216">
        <v>0.8</v>
      </c>
      <c r="E56" s="216">
        <v>0.8</v>
      </c>
      <c r="F56" s="216">
        <v>0.8</v>
      </c>
      <c r="G56" s="216">
        <v>0.8</v>
      </c>
      <c r="H56" s="216">
        <v>0.8</v>
      </c>
      <c r="I56" s="216">
        <v>0.8</v>
      </c>
      <c r="J56" s="216">
        <v>0.8</v>
      </c>
      <c r="K56" s="216">
        <v>0.8</v>
      </c>
      <c r="L56" s="216">
        <v>0.8</v>
      </c>
      <c r="M56" s="216">
        <v>0.8</v>
      </c>
      <c r="N56" s="216">
        <v>0.5</v>
      </c>
      <c r="O56" s="216">
        <v>0.8</v>
      </c>
      <c r="P56" s="216">
        <v>0.8</v>
      </c>
      <c r="Q56" s="216">
        <v>0.8</v>
      </c>
      <c r="R56" s="216">
        <v>0.5</v>
      </c>
      <c r="S56" s="216">
        <v>0.5</v>
      </c>
      <c r="T56" s="216">
        <v>0.5</v>
      </c>
      <c r="U56" s="216">
        <v>0.5</v>
      </c>
      <c r="V56" s="216">
        <v>0.5</v>
      </c>
      <c r="W56" s="216">
        <v>0.5</v>
      </c>
      <c r="X56" s="216">
        <v>0.5</v>
      </c>
      <c r="Y56" s="216">
        <v>0.5</v>
      </c>
      <c r="Z56" s="216">
        <v>0.1</v>
      </c>
      <c r="AA56" s="216">
        <v>0.1</v>
      </c>
      <c r="AB56" s="216">
        <v>0.1</v>
      </c>
      <c r="AC56" s="216">
        <v>0.1</v>
      </c>
      <c r="AD56" s="216">
        <v>0.1</v>
      </c>
      <c r="AE56" s="216">
        <v>0.1</v>
      </c>
      <c r="AF56" s="216">
        <v>0.1</v>
      </c>
      <c r="AG56" s="216">
        <v>0.5</v>
      </c>
      <c r="AH56" s="216">
        <v>0.5</v>
      </c>
      <c r="AI56" s="216">
        <v>0.5</v>
      </c>
      <c r="AJ56" s="216">
        <v>0.5</v>
      </c>
      <c r="AK56" s="216">
        <v>0.5</v>
      </c>
      <c r="AL56" s="216">
        <v>0.5</v>
      </c>
      <c r="AM56" s="216">
        <v>0.5</v>
      </c>
      <c r="AN56" s="216">
        <v>0.5</v>
      </c>
      <c r="AO56" s="216">
        <v>0.5</v>
      </c>
      <c r="AP56" s="216">
        <v>0.5</v>
      </c>
      <c r="AQ56" s="216">
        <v>0.5</v>
      </c>
      <c r="AR56" s="216">
        <v>0.5</v>
      </c>
      <c r="AS56" s="216">
        <v>0.8</v>
      </c>
      <c r="AT56" s="216">
        <v>0.5</v>
      </c>
      <c r="AU56" s="216">
        <v>0.5</v>
      </c>
      <c r="AV56" s="216">
        <v>0.8</v>
      </c>
      <c r="AW56" s="216">
        <v>0.5</v>
      </c>
      <c r="AX56" s="216">
        <v>0.8</v>
      </c>
      <c r="AY56" s="216">
        <v>0.8</v>
      </c>
      <c r="AZ56" s="216">
        <v>0.8</v>
      </c>
      <c r="BA56" s="216">
        <v>0.8</v>
      </c>
      <c r="BB56" s="216">
        <v>0.5</v>
      </c>
      <c r="BC56" s="216">
        <v>0.8</v>
      </c>
      <c r="BD56" s="216">
        <v>0.8</v>
      </c>
      <c r="BE56" s="216">
        <v>0.8</v>
      </c>
      <c r="BF56" s="216">
        <v>0.8</v>
      </c>
      <c r="BG56" s="216">
        <v>0.8</v>
      </c>
      <c r="BH56" s="216">
        <v>0.8</v>
      </c>
      <c r="BI56" s="216">
        <v>0.8</v>
      </c>
      <c r="BJ56" s="216">
        <v>0.8</v>
      </c>
      <c r="BK56" s="216">
        <v>0.8</v>
      </c>
      <c r="BL56" s="216">
        <v>0.8</v>
      </c>
      <c r="BM56" s="216">
        <v>0.8</v>
      </c>
      <c r="BN56" s="216">
        <v>0.8</v>
      </c>
      <c r="BO56" s="216">
        <v>0.8</v>
      </c>
      <c r="BP56" s="216">
        <v>0.8</v>
      </c>
      <c r="BQ56" s="216">
        <v>0.8</v>
      </c>
      <c r="BR56" s="216">
        <v>0.8</v>
      </c>
      <c r="BS56" s="216">
        <v>0.8</v>
      </c>
      <c r="BT56" s="216">
        <v>0.8</v>
      </c>
      <c r="BU56" s="216">
        <v>0.8</v>
      </c>
      <c r="BV56" s="216">
        <v>0.8</v>
      </c>
      <c r="BW56" s="216">
        <v>0.8</v>
      </c>
      <c r="BX56" s="216">
        <v>0.8</v>
      </c>
      <c r="BY56" s="216">
        <v>0.8</v>
      </c>
      <c r="BZ56" s="216">
        <v>0.8</v>
      </c>
      <c r="CA56" s="216">
        <v>0.8</v>
      </c>
      <c r="CB56" s="216">
        <v>0.5</v>
      </c>
      <c r="CC56" s="216">
        <v>0.5</v>
      </c>
      <c r="CD56" s="216">
        <v>0.8</v>
      </c>
      <c r="CE56" s="216">
        <v>0.8</v>
      </c>
      <c r="CF56" s="216">
        <v>0.8</v>
      </c>
      <c r="CG56" s="216">
        <v>0.8</v>
      </c>
      <c r="CH56" s="216">
        <v>0.5</v>
      </c>
      <c r="CI56" s="216">
        <v>0</v>
      </c>
      <c r="CJ56" s="216">
        <v>0</v>
      </c>
      <c r="CK56" s="216">
        <v>0</v>
      </c>
      <c r="CL56" s="216">
        <v>0</v>
      </c>
      <c r="CM56" s="216">
        <v>0</v>
      </c>
    </row>
    <row r="57" spans="1:91" s="216" customFormat="1" ht="15" customHeight="1" x14ac:dyDescent="0.5">
      <c r="A57" s="245" t="s">
        <v>224</v>
      </c>
      <c r="B57" s="216">
        <v>0</v>
      </c>
      <c r="C57" s="216">
        <v>0</v>
      </c>
      <c r="D57" s="216">
        <v>0.8</v>
      </c>
      <c r="E57" s="216">
        <v>0.8</v>
      </c>
      <c r="F57" s="216">
        <v>0.8</v>
      </c>
      <c r="G57" s="216">
        <v>0.8</v>
      </c>
      <c r="H57" s="216">
        <v>0.8</v>
      </c>
      <c r="I57" s="216">
        <v>0.8</v>
      </c>
      <c r="J57" s="216">
        <v>0.8</v>
      </c>
      <c r="K57" s="216">
        <v>0.8</v>
      </c>
      <c r="L57" s="216">
        <v>0.8</v>
      </c>
      <c r="M57" s="216">
        <v>0.8</v>
      </c>
      <c r="N57" s="216">
        <v>0.5</v>
      </c>
      <c r="O57" s="216">
        <v>0.8</v>
      </c>
      <c r="P57" s="216">
        <v>0.8</v>
      </c>
      <c r="Q57" s="216">
        <v>0.8</v>
      </c>
      <c r="R57" s="216">
        <v>0.5</v>
      </c>
      <c r="S57" s="216">
        <v>0.5</v>
      </c>
      <c r="T57" s="216">
        <v>0.5</v>
      </c>
      <c r="U57" s="216">
        <v>0.5</v>
      </c>
      <c r="V57" s="216">
        <v>0.5</v>
      </c>
      <c r="W57" s="216">
        <v>0.5</v>
      </c>
      <c r="X57" s="216">
        <v>0.5</v>
      </c>
      <c r="Y57" s="216">
        <v>0.5</v>
      </c>
      <c r="Z57" s="216">
        <v>0.1</v>
      </c>
      <c r="AA57" s="216">
        <v>0.1</v>
      </c>
      <c r="AB57" s="216">
        <v>0.1</v>
      </c>
      <c r="AC57" s="216">
        <v>0.1</v>
      </c>
      <c r="AD57" s="216">
        <v>0.1</v>
      </c>
      <c r="AE57" s="216">
        <v>0.1</v>
      </c>
      <c r="AF57" s="216">
        <v>0.1</v>
      </c>
      <c r="AG57" s="216">
        <v>0.5</v>
      </c>
      <c r="AH57" s="216">
        <v>0.5</v>
      </c>
      <c r="AI57" s="216">
        <v>0.5</v>
      </c>
      <c r="AJ57" s="216">
        <v>0.5</v>
      </c>
      <c r="AK57" s="216">
        <v>0.5</v>
      </c>
      <c r="AL57" s="216">
        <v>0.5</v>
      </c>
      <c r="AM57" s="216">
        <v>0.5</v>
      </c>
      <c r="AN57" s="216">
        <v>0.5</v>
      </c>
      <c r="AO57" s="216">
        <v>0.5</v>
      </c>
      <c r="AP57" s="216">
        <v>0.5</v>
      </c>
      <c r="AQ57" s="216">
        <v>0.5</v>
      </c>
      <c r="AR57" s="216">
        <v>0.5</v>
      </c>
      <c r="AS57" s="216">
        <v>0.8</v>
      </c>
      <c r="AT57" s="216">
        <v>0.5</v>
      </c>
      <c r="AU57" s="216">
        <v>0.5</v>
      </c>
      <c r="AV57" s="216">
        <v>0.8</v>
      </c>
      <c r="AW57" s="216">
        <v>0.5</v>
      </c>
      <c r="AX57" s="216">
        <v>0.8</v>
      </c>
      <c r="AY57" s="216">
        <v>0.8</v>
      </c>
      <c r="AZ57" s="216">
        <v>0.8</v>
      </c>
      <c r="BA57" s="216">
        <v>0.8</v>
      </c>
      <c r="BB57" s="216">
        <v>0.5</v>
      </c>
      <c r="BC57" s="216">
        <v>0.8</v>
      </c>
      <c r="BD57" s="216">
        <v>0.8</v>
      </c>
      <c r="BE57" s="216">
        <v>0.8</v>
      </c>
      <c r="BF57" s="216">
        <v>0.8</v>
      </c>
      <c r="BG57" s="216">
        <v>0.8</v>
      </c>
      <c r="BH57" s="216">
        <v>0.8</v>
      </c>
      <c r="BI57" s="216">
        <v>0.8</v>
      </c>
      <c r="BJ57" s="216">
        <v>0.8</v>
      </c>
      <c r="BK57" s="216">
        <v>0.8</v>
      </c>
      <c r="BL57" s="216">
        <v>0.8</v>
      </c>
      <c r="BM57" s="216">
        <v>0.8</v>
      </c>
      <c r="BN57" s="216">
        <v>0.8</v>
      </c>
      <c r="BO57" s="216">
        <v>0.8</v>
      </c>
      <c r="BP57" s="216">
        <v>0.8</v>
      </c>
      <c r="BQ57" s="216">
        <v>0.8</v>
      </c>
      <c r="BR57" s="216">
        <v>0.8</v>
      </c>
      <c r="BS57" s="216">
        <v>0.8</v>
      </c>
      <c r="BT57" s="216">
        <v>0.8</v>
      </c>
      <c r="BU57" s="216">
        <v>0.8</v>
      </c>
      <c r="BV57" s="216">
        <v>0.8</v>
      </c>
      <c r="BW57" s="216">
        <v>0.8</v>
      </c>
      <c r="BX57" s="216">
        <v>0.8</v>
      </c>
      <c r="BY57" s="216">
        <v>0.8</v>
      </c>
      <c r="BZ57" s="216">
        <v>0.8</v>
      </c>
      <c r="CA57" s="216">
        <v>0.8</v>
      </c>
      <c r="CB57" s="216">
        <v>0.5</v>
      </c>
      <c r="CC57" s="216">
        <v>0.5</v>
      </c>
      <c r="CD57" s="216">
        <v>0.8</v>
      </c>
      <c r="CE57" s="216">
        <v>0.8</v>
      </c>
      <c r="CF57" s="216">
        <v>0.8</v>
      </c>
      <c r="CG57" s="216">
        <v>0.8</v>
      </c>
      <c r="CH57" s="216">
        <v>0.5</v>
      </c>
      <c r="CI57" s="216">
        <v>0</v>
      </c>
      <c r="CJ57" s="216">
        <v>0</v>
      </c>
      <c r="CK57" s="216">
        <v>0</v>
      </c>
      <c r="CL57" s="216">
        <v>0</v>
      </c>
      <c r="CM57" s="216">
        <v>0</v>
      </c>
    </row>
    <row r="58" spans="1:91" s="216" customFormat="1" ht="15" customHeight="1" x14ac:dyDescent="0.5">
      <c r="A58" s="245" t="s">
        <v>225</v>
      </c>
      <c r="B58" s="216">
        <v>0</v>
      </c>
      <c r="C58" s="216">
        <v>0</v>
      </c>
      <c r="D58" s="216">
        <v>0.8</v>
      </c>
      <c r="E58" s="216">
        <v>0.8</v>
      </c>
      <c r="F58" s="216">
        <v>0.8</v>
      </c>
      <c r="G58" s="216">
        <v>0.8</v>
      </c>
      <c r="H58" s="216">
        <v>0.8</v>
      </c>
      <c r="I58" s="216">
        <v>0.8</v>
      </c>
      <c r="J58" s="216">
        <v>0.8</v>
      </c>
      <c r="K58" s="216">
        <v>0.8</v>
      </c>
      <c r="L58" s="216">
        <v>0.8</v>
      </c>
      <c r="M58" s="216">
        <v>0.8</v>
      </c>
      <c r="N58" s="216">
        <v>0.5</v>
      </c>
      <c r="O58" s="216">
        <v>0.8</v>
      </c>
      <c r="P58" s="216">
        <v>0.8</v>
      </c>
      <c r="Q58" s="216">
        <v>0.8</v>
      </c>
      <c r="R58" s="216">
        <v>0.5</v>
      </c>
      <c r="S58" s="216">
        <v>0.5</v>
      </c>
      <c r="T58" s="216">
        <v>0.5</v>
      </c>
      <c r="U58" s="216">
        <v>0.5</v>
      </c>
      <c r="V58" s="216">
        <v>0.5</v>
      </c>
      <c r="W58" s="216">
        <v>0.5</v>
      </c>
      <c r="X58" s="216">
        <v>0.5</v>
      </c>
      <c r="Y58" s="216">
        <v>0.5</v>
      </c>
      <c r="Z58" s="216">
        <v>0.1</v>
      </c>
      <c r="AA58" s="216">
        <v>0.1</v>
      </c>
      <c r="AB58" s="216">
        <v>0.1</v>
      </c>
      <c r="AC58" s="216">
        <v>0.1</v>
      </c>
      <c r="AD58" s="216">
        <v>0.1</v>
      </c>
      <c r="AE58" s="216">
        <v>0.1</v>
      </c>
      <c r="AF58" s="216">
        <v>0.1</v>
      </c>
      <c r="AG58" s="216">
        <v>0.5</v>
      </c>
      <c r="AH58" s="216">
        <v>0.5</v>
      </c>
      <c r="AI58" s="216">
        <v>0.5</v>
      </c>
      <c r="AJ58" s="216">
        <v>0.5</v>
      </c>
      <c r="AK58" s="216">
        <v>0.5</v>
      </c>
      <c r="AL58" s="216">
        <v>0.5</v>
      </c>
      <c r="AM58" s="216">
        <v>0.5</v>
      </c>
      <c r="AN58" s="216">
        <v>0.5</v>
      </c>
      <c r="AO58" s="216">
        <v>0.5</v>
      </c>
      <c r="AP58" s="216">
        <v>0.5</v>
      </c>
      <c r="AQ58" s="216">
        <v>0.5</v>
      </c>
      <c r="AR58" s="216">
        <v>0.5</v>
      </c>
      <c r="AS58" s="216">
        <v>0.8</v>
      </c>
      <c r="AT58" s="216">
        <v>0.5</v>
      </c>
      <c r="AU58" s="216">
        <v>0.5</v>
      </c>
      <c r="AV58" s="216">
        <v>0.8</v>
      </c>
      <c r="AW58" s="216">
        <v>0.5</v>
      </c>
      <c r="AX58" s="216">
        <v>0.8</v>
      </c>
      <c r="AY58" s="216">
        <v>0.8</v>
      </c>
      <c r="AZ58" s="216">
        <v>0.8</v>
      </c>
      <c r="BA58" s="216">
        <v>0.8</v>
      </c>
      <c r="BB58" s="216">
        <v>0.5</v>
      </c>
      <c r="BC58" s="216">
        <v>0.8</v>
      </c>
      <c r="BD58" s="216">
        <v>0.8</v>
      </c>
      <c r="BE58" s="216">
        <v>0.8</v>
      </c>
      <c r="BF58" s="216">
        <v>0.8</v>
      </c>
      <c r="BG58" s="216">
        <v>0.8</v>
      </c>
      <c r="BH58" s="216">
        <v>0.8</v>
      </c>
      <c r="BI58" s="216">
        <v>0.8</v>
      </c>
      <c r="BJ58" s="216">
        <v>0.8</v>
      </c>
      <c r="BK58" s="216">
        <v>0.8</v>
      </c>
      <c r="BL58" s="216">
        <v>0.8</v>
      </c>
      <c r="BM58" s="216">
        <v>0.8</v>
      </c>
      <c r="BN58" s="216">
        <v>0.8</v>
      </c>
      <c r="BO58" s="216">
        <v>0.8</v>
      </c>
      <c r="BP58" s="216">
        <v>0.8</v>
      </c>
      <c r="BQ58" s="216">
        <v>0.8</v>
      </c>
      <c r="BR58" s="216">
        <v>0.8</v>
      </c>
      <c r="BS58" s="216">
        <v>0.8</v>
      </c>
      <c r="BT58" s="216">
        <v>0.8</v>
      </c>
      <c r="BU58" s="216">
        <v>0.8</v>
      </c>
      <c r="BV58" s="216">
        <v>0.8</v>
      </c>
      <c r="BW58" s="216">
        <v>0.8</v>
      </c>
      <c r="BX58" s="216">
        <v>0.8</v>
      </c>
      <c r="BY58" s="216">
        <v>0.8</v>
      </c>
      <c r="BZ58" s="216">
        <v>0.8</v>
      </c>
      <c r="CA58" s="216">
        <v>0.8</v>
      </c>
      <c r="CB58" s="216">
        <v>0.5</v>
      </c>
      <c r="CC58" s="216">
        <v>0.5</v>
      </c>
      <c r="CD58" s="216">
        <v>0.8</v>
      </c>
      <c r="CE58" s="216">
        <v>0.8</v>
      </c>
      <c r="CF58" s="216">
        <v>0.8</v>
      </c>
      <c r="CG58" s="216">
        <v>0.8</v>
      </c>
      <c r="CH58" s="216">
        <v>0.5</v>
      </c>
      <c r="CI58" s="216">
        <v>0</v>
      </c>
      <c r="CJ58" s="216">
        <v>0</v>
      </c>
      <c r="CK58" s="216">
        <v>0</v>
      </c>
      <c r="CL58" s="216">
        <v>0</v>
      </c>
      <c r="CM58" s="216">
        <v>0</v>
      </c>
    </row>
    <row r="59" spans="1:91" s="216" customFormat="1" ht="15" customHeight="1" x14ac:dyDescent="0.5">
      <c r="A59" s="245" t="s">
        <v>226</v>
      </c>
      <c r="B59" s="216">
        <v>0</v>
      </c>
      <c r="C59" s="216">
        <v>0</v>
      </c>
      <c r="D59" s="216">
        <v>0.8</v>
      </c>
      <c r="E59" s="216">
        <v>0.8</v>
      </c>
      <c r="F59" s="216">
        <v>0.8</v>
      </c>
      <c r="G59" s="216">
        <v>0.8</v>
      </c>
      <c r="H59" s="216">
        <v>0.8</v>
      </c>
      <c r="I59" s="216">
        <v>0.8</v>
      </c>
      <c r="J59" s="216">
        <v>0.8</v>
      </c>
      <c r="K59" s="216">
        <v>0.8</v>
      </c>
      <c r="L59" s="216">
        <v>0.8</v>
      </c>
      <c r="M59" s="216">
        <v>0.8</v>
      </c>
      <c r="N59" s="216">
        <v>0.5</v>
      </c>
      <c r="O59" s="216">
        <v>0.8</v>
      </c>
      <c r="P59" s="216">
        <v>0.8</v>
      </c>
      <c r="Q59" s="216">
        <v>0.8</v>
      </c>
      <c r="R59" s="216">
        <v>0.5</v>
      </c>
      <c r="S59" s="216">
        <v>0.5</v>
      </c>
      <c r="T59" s="216">
        <v>0.5</v>
      </c>
      <c r="U59" s="216">
        <v>0.5</v>
      </c>
      <c r="V59" s="216">
        <v>0.5</v>
      </c>
      <c r="W59" s="216">
        <v>0.5</v>
      </c>
      <c r="X59" s="216">
        <v>0.5</v>
      </c>
      <c r="Y59" s="216">
        <v>0.5</v>
      </c>
      <c r="Z59" s="216">
        <v>0.1</v>
      </c>
      <c r="AA59" s="216">
        <v>0.1</v>
      </c>
      <c r="AB59" s="216">
        <v>0.1</v>
      </c>
      <c r="AC59" s="216">
        <v>0.1</v>
      </c>
      <c r="AD59" s="216">
        <v>0.1</v>
      </c>
      <c r="AE59" s="216">
        <v>0.1</v>
      </c>
      <c r="AF59" s="216">
        <v>0.1</v>
      </c>
      <c r="AG59" s="216">
        <v>0.5</v>
      </c>
      <c r="AH59" s="216">
        <v>0.5</v>
      </c>
      <c r="AI59" s="216">
        <v>0.5</v>
      </c>
      <c r="AJ59" s="216">
        <v>0.5</v>
      </c>
      <c r="AK59" s="216">
        <v>0.5</v>
      </c>
      <c r="AL59" s="216">
        <v>0.5</v>
      </c>
      <c r="AM59" s="216">
        <v>0.5</v>
      </c>
      <c r="AN59" s="216">
        <v>0.5</v>
      </c>
      <c r="AO59" s="216">
        <v>0.5</v>
      </c>
      <c r="AP59" s="216">
        <v>0.5</v>
      </c>
      <c r="AQ59" s="216">
        <v>0.5</v>
      </c>
      <c r="AR59" s="216">
        <v>0.5</v>
      </c>
      <c r="AS59" s="216">
        <v>0.8</v>
      </c>
      <c r="AT59" s="216">
        <v>0.5</v>
      </c>
      <c r="AU59" s="216">
        <v>0.5</v>
      </c>
      <c r="AV59" s="216">
        <v>0.8</v>
      </c>
      <c r="AW59" s="216">
        <v>0.5</v>
      </c>
      <c r="AX59" s="216">
        <v>0.8</v>
      </c>
      <c r="AY59" s="216">
        <v>0.8</v>
      </c>
      <c r="AZ59" s="216">
        <v>0.8</v>
      </c>
      <c r="BA59" s="216">
        <v>0.8</v>
      </c>
      <c r="BB59" s="216">
        <v>0.5</v>
      </c>
      <c r="BC59" s="216">
        <v>0.8</v>
      </c>
      <c r="BD59" s="216">
        <v>0.8</v>
      </c>
      <c r="BE59" s="216">
        <v>0.8</v>
      </c>
      <c r="BF59" s="216">
        <v>0.8</v>
      </c>
      <c r="BG59" s="216">
        <v>0.8</v>
      </c>
      <c r="BH59" s="216">
        <v>0.8</v>
      </c>
      <c r="BI59" s="216">
        <v>0.8</v>
      </c>
      <c r="BJ59" s="216">
        <v>0.8</v>
      </c>
      <c r="BK59" s="216">
        <v>0.8</v>
      </c>
      <c r="BL59" s="216">
        <v>0.8</v>
      </c>
      <c r="BM59" s="216">
        <v>0.8</v>
      </c>
      <c r="BN59" s="216">
        <v>0.8</v>
      </c>
      <c r="BO59" s="216">
        <v>0.8</v>
      </c>
      <c r="BP59" s="216">
        <v>0.8</v>
      </c>
      <c r="BQ59" s="216">
        <v>0.8</v>
      </c>
      <c r="BR59" s="216">
        <v>0.8</v>
      </c>
      <c r="BS59" s="216">
        <v>0.8</v>
      </c>
      <c r="BT59" s="216">
        <v>0.8</v>
      </c>
      <c r="BU59" s="216">
        <v>0.8</v>
      </c>
      <c r="BV59" s="216">
        <v>0.8</v>
      </c>
      <c r="BW59" s="216">
        <v>0.8</v>
      </c>
      <c r="BX59" s="216">
        <v>0.8</v>
      </c>
      <c r="BY59" s="216">
        <v>0.8</v>
      </c>
      <c r="BZ59" s="216">
        <v>0.8</v>
      </c>
      <c r="CA59" s="216">
        <v>0.8</v>
      </c>
      <c r="CB59" s="216">
        <v>0.5</v>
      </c>
      <c r="CC59" s="216">
        <v>0.5</v>
      </c>
      <c r="CD59" s="216">
        <v>0.8</v>
      </c>
      <c r="CE59" s="216">
        <v>0.8</v>
      </c>
      <c r="CF59" s="216">
        <v>0.8</v>
      </c>
      <c r="CG59" s="216">
        <v>0.8</v>
      </c>
      <c r="CH59" s="216">
        <v>0.5</v>
      </c>
      <c r="CI59" s="216">
        <v>0</v>
      </c>
      <c r="CJ59" s="216">
        <v>0</v>
      </c>
      <c r="CK59" s="216">
        <v>0</v>
      </c>
      <c r="CL59" s="216">
        <v>0</v>
      </c>
      <c r="CM59" s="216">
        <v>0</v>
      </c>
    </row>
    <row r="60" spans="1:91" s="216" customFormat="1" ht="15" customHeight="1" x14ac:dyDescent="0.5">
      <c r="A60" s="245" t="s">
        <v>227</v>
      </c>
      <c r="B60" s="216">
        <v>0</v>
      </c>
      <c r="C60" s="216">
        <v>0</v>
      </c>
      <c r="D60" s="216">
        <v>0.8</v>
      </c>
      <c r="E60" s="216">
        <v>0.8</v>
      </c>
      <c r="F60" s="216">
        <v>0.8</v>
      </c>
      <c r="G60" s="216">
        <v>0.8</v>
      </c>
      <c r="H60" s="216">
        <v>0.8</v>
      </c>
      <c r="I60" s="216">
        <v>0.8</v>
      </c>
      <c r="J60" s="216">
        <v>0.8</v>
      </c>
      <c r="K60" s="216">
        <v>0.8</v>
      </c>
      <c r="L60" s="216">
        <v>0.8</v>
      </c>
      <c r="M60" s="216">
        <v>0.8</v>
      </c>
      <c r="N60" s="216">
        <v>0.5</v>
      </c>
      <c r="O60" s="216">
        <v>0.8</v>
      </c>
      <c r="P60" s="216">
        <v>0.8</v>
      </c>
      <c r="Q60" s="216">
        <v>0.8</v>
      </c>
      <c r="R60" s="216">
        <v>0.5</v>
      </c>
      <c r="S60" s="216">
        <v>0.5</v>
      </c>
      <c r="T60" s="216">
        <v>0.5</v>
      </c>
      <c r="U60" s="216">
        <v>0.5</v>
      </c>
      <c r="V60" s="216">
        <v>0.5</v>
      </c>
      <c r="W60" s="216">
        <v>0.5</v>
      </c>
      <c r="X60" s="216">
        <v>0.5</v>
      </c>
      <c r="Y60" s="216">
        <v>0.5</v>
      </c>
      <c r="Z60" s="216">
        <v>0.1</v>
      </c>
      <c r="AA60" s="216">
        <v>0.1</v>
      </c>
      <c r="AB60" s="216">
        <v>0.1</v>
      </c>
      <c r="AC60" s="216">
        <v>0.1</v>
      </c>
      <c r="AD60" s="216">
        <v>0.1</v>
      </c>
      <c r="AE60" s="216">
        <v>0.1</v>
      </c>
      <c r="AF60" s="216">
        <v>0.1</v>
      </c>
      <c r="AG60" s="216">
        <v>0.5</v>
      </c>
      <c r="AH60" s="216">
        <v>0.5</v>
      </c>
      <c r="AI60" s="216">
        <v>0.5</v>
      </c>
      <c r="AJ60" s="216">
        <v>0.5</v>
      </c>
      <c r="AK60" s="216">
        <v>0.5</v>
      </c>
      <c r="AL60" s="216">
        <v>0.5</v>
      </c>
      <c r="AM60" s="216">
        <v>0.5</v>
      </c>
      <c r="AN60" s="216">
        <v>0.5</v>
      </c>
      <c r="AO60" s="216">
        <v>0.5</v>
      </c>
      <c r="AP60" s="216">
        <v>0.5</v>
      </c>
      <c r="AQ60" s="216">
        <v>0.5</v>
      </c>
      <c r="AR60" s="216">
        <v>0.5</v>
      </c>
      <c r="AS60" s="216">
        <v>0.8</v>
      </c>
      <c r="AT60" s="216">
        <v>0.5</v>
      </c>
      <c r="AU60" s="216">
        <v>0.5</v>
      </c>
      <c r="AV60" s="216">
        <v>0.8</v>
      </c>
      <c r="AW60" s="216">
        <v>0.5</v>
      </c>
      <c r="AX60" s="216">
        <v>0.8</v>
      </c>
      <c r="AY60" s="216">
        <v>0.8</v>
      </c>
      <c r="AZ60" s="216">
        <v>0.8</v>
      </c>
      <c r="BA60" s="216">
        <v>0.8</v>
      </c>
      <c r="BB60" s="216">
        <v>0.5</v>
      </c>
      <c r="BC60" s="216">
        <v>0.8</v>
      </c>
      <c r="BD60" s="216">
        <v>0.8</v>
      </c>
      <c r="BE60" s="216">
        <v>0.8</v>
      </c>
      <c r="BF60" s="216">
        <v>0.8</v>
      </c>
      <c r="BG60" s="216">
        <v>0.8</v>
      </c>
      <c r="BH60" s="216">
        <v>0.8</v>
      </c>
      <c r="BI60" s="216">
        <v>0.8</v>
      </c>
      <c r="BJ60" s="216">
        <v>0.8</v>
      </c>
      <c r="BK60" s="216">
        <v>0.8</v>
      </c>
      <c r="BL60" s="216">
        <v>0.8</v>
      </c>
      <c r="BM60" s="216">
        <v>0.8</v>
      </c>
      <c r="BN60" s="216">
        <v>0.8</v>
      </c>
      <c r="BO60" s="216">
        <v>0.8</v>
      </c>
      <c r="BP60" s="216">
        <v>0.8</v>
      </c>
      <c r="BQ60" s="216">
        <v>0.8</v>
      </c>
      <c r="BR60" s="216">
        <v>0.8</v>
      </c>
      <c r="BS60" s="216">
        <v>0.8</v>
      </c>
      <c r="BT60" s="216">
        <v>0.8</v>
      </c>
      <c r="BU60" s="216">
        <v>0.8</v>
      </c>
      <c r="BV60" s="216">
        <v>0.8</v>
      </c>
      <c r="BW60" s="216">
        <v>0.8</v>
      </c>
      <c r="BX60" s="216">
        <v>0.8</v>
      </c>
      <c r="BY60" s="216">
        <v>0.8</v>
      </c>
      <c r="BZ60" s="216">
        <v>0.8</v>
      </c>
      <c r="CA60" s="216">
        <v>0.8</v>
      </c>
      <c r="CB60" s="216">
        <v>0.5</v>
      </c>
      <c r="CC60" s="216">
        <v>0.5</v>
      </c>
      <c r="CD60" s="216">
        <v>0.8</v>
      </c>
      <c r="CE60" s="216">
        <v>0.8</v>
      </c>
      <c r="CF60" s="216">
        <v>0.8</v>
      </c>
      <c r="CG60" s="216">
        <v>0.8</v>
      </c>
      <c r="CH60" s="216">
        <v>0.5</v>
      </c>
      <c r="CI60" s="216">
        <v>0</v>
      </c>
      <c r="CJ60" s="216">
        <v>0</v>
      </c>
      <c r="CK60" s="216">
        <v>0</v>
      </c>
      <c r="CL60" s="216">
        <v>0</v>
      </c>
      <c r="CM60" s="216">
        <v>0</v>
      </c>
    </row>
    <row r="61" spans="1:91" s="216" customFormat="1" ht="15" customHeight="1" x14ac:dyDescent="0.5">
      <c r="A61" s="245" t="s">
        <v>228</v>
      </c>
      <c r="B61" s="216">
        <v>0</v>
      </c>
      <c r="C61" s="216">
        <v>0</v>
      </c>
      <c r="D61" s="216">
        <v>0.8</v>
      </c>
      <c r="E61" s="216">
        <v>0.8</v>
      </c>
      <c r="F61" s="216">
        <v>0.8</v>
      </c>
      <c r="G61" s="216">
        <v>0.8</v>
      </c>
      <c r="H61" s="216">
        <v>0.8</v>
      </c>
      <c r="I61" s="216">
        <v>0.8</v>
      </c>
      <c r="J61" s="216">
        <v>0.8</v>
      </c>
      <c r="K61" s="216">
        <v>0.8</v>
      </c>
      <c r="L61" s="216">
        <v>0.8</v>
      </c>
      <c r="M61" s="216">
        <v>0.8</v>
      </c>
      <c r="N61" s="216">
        <v>0.5</v>
      </c>
      <c r="O61" s="216">
        <v>0.8</v>
      </c>
      <c r="P61" s="216">
        <v>0.8</v>
      </c>
      <c r="Q61" s="216">
        <v>0.8</v>
      </c>
      <c r="R61" s="216">
        <v>0.5</v>
      </c>
      <c r="S61" s="216">
        <v>0.5</v>
      </c>
      <c r="T61" s="216">
        <v>0.5</v>
      </c>
      <c r="U61" s="216">
        <v>0.5</v>
      </c>
      <c r="V61" s="216">
        <v>0.5</v>
      </c>
      <c r="W61" s="216">
        <v>0.5</v>
      </c>
      <c r="X61" s="216">
        <v>0.5</v>
      </c>
      <c r="Y61" s="216">
        <v>0.5</v>
      </c>
      <c r="Z61" s="216">
        <v>0.1</v>
      </c>
      <c r="AA61" s="216">
        <v>0.1</v>
      </c>
      <c r="AB61" s="216">
        <v>0.1</v>
      </c>
      <c r="AC61" s="216">
        <v>0.1</v>
      </c>
      <c r="AD61" s="216">
        <v>0.1</v>
      </c>
      <c r="AE61" s="216">
        <v>0.1</v>
      </c>
      <c r="AF61" s="216">
        <v>0.1</v>
      </c>
      <c r="AG61" s="216">
        <v>0.5</v>
      </c>
      <c r="AH61" s="216">
        <v>0.5</v>
      </c>
      <c r="AI61" s="216">
        <v>0.5</v>
      </c>
      <c r="AJ61" s="216">
        <v>0.5</v>
      </c>
      <c r="AK61" s="216">
        <v>0.5</v>
      </c>
      <c r="AL61" s="216">
        <v>0.5</v>
      </c>
      <c r="AM61" s="216">
        <v>0.5</v>
      </c>
      <c r="AN61" s="216">
        <v>0.5</v>
      </c>
      <c r="AO61" s="216">
        <v>0.5</v>
      </c>
      <c r="AP61" s="216">
        <v>0.5</v>
      </c>
      <c r="AQ61" s="216">
        <v>0.5</v>
      </c>
      <c r="AR61" s="216">
        <v>0.5</v>
      </c>
      <c r="AS61" s="216">
        <v>0.8</v>
      </c>
      <c r="AT61" s="216">
        <v>0.5</v>
      </c>
      <c r="AU61" s="216">
        <v>0.5</v>
      </c>
      <c r="AV61" s="216">
        <v>0.8</v>
      </c>
      <c r="AW61" s="216">
        <v>0.5</v>
      </c>
      <c r="AX61" s="216">
        <v>0.8</v>
      </c>
      <c r="AY61" s="216">
        <v>0.8</v>
      </c>
      <c r="AZ61" s="216">
        <v>0.8</v>
      </c>
      <c r="BA61" s="216">
        <v>0.8</v>
      </c>
      <c r="BB61" s="216">
        <v>0.5</v>
      </c>
      <c r="BC61" s="216">
        <v>0.8</v>
      </c>
      <c r="BD61" s="216">
        <v>0.8</v>
      </c>
      <c r="BE61" s="216">
        <v>0.8</v>
      </c>
      <c r="BF61" s="216">
        <v>0.8</v>
      </c>
      <c r="BG61" s="216">
        <v>0.8</v>
      </c>
      <c r="BH61" s="216">
        <v>0.8</v>
      </c>
      <c r="BI61" s="216">
        <v>0.8</v>
      </c>
      <c r="BJ61" s="216">
        <v>0.8</v>
      </c>
      <c r="BK61" s="216">
        <v>0.8</v>
      </c>
      <c r="BL61" s="216">
        <v>0.8</v>
      </c>
      <c r="BM61" s="216">
        <v>0.8</v>
      </c>
      <c r="BN61" s="216">
        <v>0.8</v>
      </c>
      <c r="BO61" s="216">
        <v>0.8</v>
      </c>
      <c r="BP61" s="216">
        <v>0.8</v>
      </c>
      <c r="BQ61" s="216">
        <v>0.8</v>
      </c>
      <c r="BR61" s="216">
        <v>0.8</v>
      </c>
      <c r="BS61" s="216">
        <v>0.8</v>
      </c>
      <c r="BT61" s="216">
        <v>0.8</v>
      </c>
      <c r="BU61" s="216">
        <v>0.8</v>
      </c>
      <c r="BV61" s="216">
        <v>0.8</v>
      </c>
      <c r="BW61" s="216">
        <v>0.8</v>
      </c>
      <c r="BX61" s="216">
        <v>0.8</v>
      </c>
      <c r="BY61" s="216">
        <v>0.8</v>
      </c>
      <c r="BZ61" s="216">
        <v>0.8</v>
      </c>
      <c r="CA61" s="216">
        <v>0.8</v>
      </c>
      <c r="CB61" s="216">
        <v>0.5</v>
      </c>
      <c r="CC61" s="216">
        <v>0.5</v>
      </c>
      <c r="CD61" s="216">
        <v>0.8</v>
      </c>
      <c r="CE61" s="216">
        <v>0.8</v>
      </c>
      <c r="CF61" s="216">
        <v>0.8</v>
      </c>
      <c r="CG61" s="216">
        <v>0.8</v>
      </c>
      <c r="CH61" s="216">
        <v>0.5</v>
      </c>
      <c r="CI61" s="216">
        <v>0</v>
      </c>
      <c r="CJ61" s="216">
        <v>0</v>
      </c>
      <c r="CK61" s="216">
        <v>0</v>
      </c>
      <c r="CL61" s="216">
        <v>0</v>
      </c>
      <c r="CM61" s="216">
        <v>0</v>
      </c>
    </row>
    <row r="62" spans="1:91" s="216" customFormat="1" ht="15" customHeight="1" x14ac:dyDescent="0.5">
      <c r="A62" s="245" t="s">
        <v>229</v>
      </c>
      <c r="B62" s="216">
        <v>0</v>
      </c>
      <c r="C62" s="216">
        <v>0</v>
      </c>
      <c r="D62" s="216">
        <v>0.8</v>
      </c>
      <c r="E62" s="216">
        <v>0.8</v>
      </c>
      <c r="F62" s="216">
        <v>0.8</v>
      </c>
      <c r="G62" s="216">
        <v>0.8</v>
      </c>
      <c r="H62" s="216">
        <v>0.8</v>
      </c>
      <c r="I62" s="216">
        <v>0.8</v>
      </c>
      <c r="J62" s="216">
        <v>0.8</v>
      </c>
      <c r="K62" s="216">
        <v>0.8</v>
      </c>
      <c r="L62" s="216">
        <v>0.8</v>
      </c>
      <c r="M62" s="216">
        <v>0.8</v>
      </c>
      <c r="N62" s="216">
        <v>0.5</v>
      </c>
      <c r="O62" s="216">
        <v>0.8</v>
      </c>
      <c r="P62" s="216">
        <v>0.8</v>
      </c>
      <c r="Q62" s="216">
        <v>0.8</v>
      </c>
      <c r="R62" s="216">
        <v>0.5</v>
      </c>
      <c r="S62" s="216">
        <v>0.5</v>
      </c>
      <c r="T62" s="216">
        <v>0.5</v>
      </c>
      <c r="U62" s="216">
        <v>0.5</v>
      </c>
      <c r="V62" s="216">
        <v>0.5</v>
      </c>
      <c r="W62" s="216">
        <v>0.5</v>
      </c>
      <c r="X62" s="216">
        <v>0.5</v>
      </c>
      <c r="Y62" s="216">
        <v>0.5</v>
      </c>
      <c r="Z62" s="216">
        <v>0.1</v>
      </c>
      <c r="AA62" s="216">
        <v>0.1</v>
      </c>
      <c r="AB62" s="216">
        <v>0.1</v>
      </c>
      <c r="AC62" s="216">
        <v>0.1</v>
      </c>
      <c r="AD62" s="216">
        <v>0.1</v>
      </c>
      <c r="AE62" s="216">
        <v>0.1</v>
      </c>
      <c r="AF62" s="216">
        <v>0.1</v>
      </c>
      <c r="AG62" s="216">
        <v>0.5</v>
      </c>
      <c r="AH62" s="216">
        <v>0.5</v>
      </c>
      <c r="AI62" s="216">
        <v>0.5</v>
      </c>
      <c r="AJ62" s="216">
        <v>0.5</v>
      </c>
      <c r="AK62" s="216">
        <v>0.5</v>
      </c>
      <c r="AL62" s="216">
        <v>0.5</v>
      </c>
      <c r="AM62" s="216">
        <v>0.5</v>
      </c>
      <c r="AN62" s="216">
        <v>0.5</v>
      </c>
      <c r="AO62" s="216">
        <v>0.5</v>
      </c>
      <c r="AP62" s="216">
        <v>0.5</v>
      </c>
      <c r="AQ62" s="216">
        <v>0.5</v>
      </c>
      <c r="AR62" s="216">
        <v>0.5</v>
      </c>
      <c r="AS62" s="216">
        <v>0.8</v>
      </c>
      <c r="AT62" s="216">
        <v>0.5</v>
      </c>
      <c r="AU62" s="216">
        <v>0.5</v>
      </c>
      <c r="AV62" s="216">
        <v>0.8</v>
      </c>
      <c r="AW62" s="216">
        <v>0.5</v>
      </c>
      <c r="AX62" s="216">
        <v>0.8</v>
      </c>
      <c r="AY62" s="216">
        <v>0.8</v>
      </c>
      <c r="AZ62" s="216">
        <v>0.8</v>
      </c>
      <c r="BA62" s="216">
        <v>0.8</v>
      </c>
      <c r="BB62" s="216">
        <v>0.5</v>
      </c>
      <c r="BC62" s="216">
        <v>0.8</v>
      </c>
      <c r="BD62" s="216">
        <v>0.8</v>
      </c>
      <c r="BE62" s="216">
        <v>0.8</v>
      </c>
      <c r="BF62" s="216">
        <v>0.8</v>
      </c>
      <c r="BG62" s="216">
        <v>0.8</v>
      </c>
      <c r="BH62" s="216">
        <v>0.8</v>
      </c>
      <c r="BI62" s="216">
        <v>0.8</v>
      </c>
      <c r="BJ62" s="216">
        <v>0.8</v>
      </c>
      <c r="BK62" s="216">
        <v>0.8</v>
      </c>
      <c r="BL62" s="216">
        <v>0.8</v>
      </c>
      <c r="BM62" s="216">
        <v>0.8</v>
      </c>
      <c r="BN62" s="216">
        <v>0.8</v>
      </c>
      <c r="BO62" s="216">
        <v>0.8</v>
      </c>
      <c r="BP62" s="216">
        <v>0.8</v>
      </c>
      <c r="BQ62" s="216">
        <v>0.8</v>
      </c>
      <c r="BR62" s="216">
        <v>0.8</v>
      </c>
      <c r="BS62" s="216">
        <v>0.8</v>
      </c>
      <c r="BT62" s="216">
        <v>0.8</v>
      </c>
      <c r="BU62" s="216">
        <v>0.8</v>
      </c>
      <c r="BV62" s="216">
        <v>0.8</v>
      </c>
      <c r="BW62" s="216">
        <v>0.8</v>
      </c>
      <c r="BX62" s="216">
        <v>0.8</v>
      </c>
      <c r="BY62" s="216">
        <v>0.8</v>
      </c>
      <c r="BZ62" s="216">
        <v>0.8</v>
      </c>
      <c r="CA62" s="216">
        <v>0.8</v>
      </c>
      <c r="CB62" s="216">
        <v>0.5</v>
      </c>
      <c r="CC62" s="216">
        <v>0.5</v>
      </c>
      <c r="CD62" s="216">
        <v>0.8</v>
      </c>
      <c r="CE62" s="216">
        <v>0.8</v>
      </c>
      <c r="CF62" s="216">
        <v>0.8</v>
      </c>
      <c r="CG62" s="216">
        <v>0.8</v>
      </c>
      <c r="CH62" s="216">
        <v>0.5</v>
      </c>
      <c r="CI62" s="216">
        <v>0</v>
      </c>
      <c r="CJ62" s="216">
        <v>0</v>
      </c>
      <c r="CK62" s="216">
        <v>0</v>
      </c>
      <c r="CL62" s="216">
        <v>0</v>
      </c>
      <c r="CM62" s="216">
        <v>0</v>
      </c>
    </row>
    <row r="63" spans="1:91" s="216" customFormat="1" ht="15" customHeight="1" x14ac:dyDescent="0.5">
      <c r="A63" s="245" t="s">
        <v>230</v>
      </c>
      <c r="B63" s="216">
        <v>0</v>
      </c>
      <c r="C63" s="216">
        <v>0</v>
      </c>
      <c r="D63" s="216">
        <v>0.8</v>
      </c>
      <c r="E63" s="216">
        <v>0.8</v>
      </c>
      <c r="F63" s="216">
        <v>0.8</v>
      </c>
      <c r="G63" s="216">
        <v>0.8</v>
      </c>
      <c r="H63" s="216">
        <v>0.8</v>
      </c>
      <c r="I63" s="216">
        <v>0.8</v>
      </c>
      <c r="J63" s="216">
        <v>0.8</v>
      </c>
      <c r="K63" s="216">
        <v>0.8</v>
      </c>
      <c r="L63" s="216">
        <v>0.8</v>
      </c>
      <c r="M63" s="216">
        <v>0.8</v>
      </c>
      <c r="N63" s="216">
        <v>0.5</v>
      </c>
      <c r="O63" s="216">
        <v>0.8</v>
      </c>
      <c r="P63" s="216">
        <v>0.8</v>
      </c>
      <c r="Q63" s="216">
        <v>0.8</v>
      </c>
      <c r="R63" s="216">
        <v>0.5</v>
      </c>
      <c r="S63" s="216">
        <v>0.5</v>
      </c>
      <c r="T63" s="216">
        <v>0.5</v>
      </c>
      <c r="U63" s="216">
        <v>0.5</v>
      </c>
      <c r="V63" s="216">
        <v>0.5</v>
      </c>
      <c r="W63" s="216">
        <v>0.5</v>
      </c>
      <c r="X63" s="216">
        <v>0.5</v>
      </c>
      <c r="Y63" s="216">
        <v>0.5</v>
      </c>
      <c r="Z63" s="216">
        <v>0.1</v>
      </c>
      <c r="AA63" s="216">
        <v>0.1</v>
      </c>
      <c r="AB63" s="216">
        <v>0.1</v>
      </c>
      <c r="AC63" s="216">
        <v>0.1</v>
      </c>
      <c r="AD63" s="216">
        <v>0.1</v>
      </c>
      <c r="AE63" s="216">
        <v>0.1</v>
      </c>
      <c r="AF63" s="216">
        <v>0.1</v>
      </c>
      <c r="AG63" s="216">
        <v>0.5</v>
      </c>
      <c r="AH63" s="216">
        <v>0.5</v>
      </c>
      <c r="AI63" s="216">
        <v>0.5</v>
      </c>
      <c r="AJ63" s="216">
        <v>0.5</v>
      </c>
      <c r="AK63" s="216">
        <v>0.5</v>
      </c>
      <c r="AL63" s="216">
        <v>0.5</v>
      </c>
      <c r="AM63" s="216">
        <v>0.5</v>
      </c>
      <c r="AN63" s="216">
        <v>0.5</v>
      </c>
      <c r="AO63" s="216">
        <v>0.5</v>
      </c>
      <c r="AP63" s="216">
        <v>0.5</v>
      </c>
      <c r="AQ63" s="216">
        <v>0.5</v>
      </c>
      <c r="AR63" s="216">
        <v>0.5</v>
      </c>
      <c r="AS63" s="216">
        <v>0.8</v>
      </c>
      <c r="AT63" s="216">
        <v>0.5</v>
      </c>
      <c r="AU63" s="216">
        <v>0.5</v>
      </c>
      <c r="AV63" s="216">
        <v>0.8</v>
      </c>
      <c r="AW63" s="216">
        <v>0.5</v>
      </c>
      <c r="AX63" s="216">
        <v>0.8</v>
      </c>
      <c r="AY63" s="216">
        <v>0.8</v>
      </c>
      <c r="AZ63" s="216">
        <v>0.8</v>
      </c>
      <c r="BA63" s="216">
        <v>0.8</v>
      </c>
      <c r="BB63" s="216">
        <v>0.5</v>
      </c>
      <c r="BC63" s="216">
        <v>0.8</v>
      </c>
      <c r="BD63" s="216">
        <v>0.8</v>
      </c>
      <c r="BE63" s="216">
        <v>0.8</v>
      </c>
      <c r="BF63" s="216">
        <v>0.8</v>
      </c>
      <c r="BG63" s="216">
        <v>0.8</v>
      </c>
      <c r="BH63" s="216">
        <v>0.8</v>
      </c>
      <c r="BI63" s="216">
        <v>0.8</v>
      </c>
      <c r="BJ63" s="216">
        <v>0.8</v>
      </c>
      <c r="BK63" s="216">
        <v>0.8</v>
      </c>
      <c r="BL63" s="216">
        <v>0.8</v>
      </c>
      <c r="BM63" s="216">
        <v>0.8</v>
      </c>
      <c r="BN63" s="216">
        <v>0.8</v>
      </c>
      <c r="BO63" s="216">
        <v>0.8</v>
      </c>
      <c r="BP63" s="216">
        <v>0.8</v>
      </c>
      <c r="BQ63" s="216">
        <v>0.8</v>
      </c>
      <c r="BR63" s="216">
        <v>0.8</v>
      </c>
      <c r="BS63" s="216">
        <v>0.8</v>
      </c>
      <c r="BT63" s="216">
        <v>0.8</v>
      </c>
      <c r="BU63" s="216">
        <v>0.8</v>
      </c>
      <c r="BV63" s="216">
        <v>0.8</v>
      </c>
      <c r="BW63" s="216">
        <v>0.8</v>
      </c>
      <c r="BX63" s="216">
        <v>0.8</v>
      </c>
      <c r="BY63" s="216">
        <v>0.8</v>
      </c>
      <c r="BZ63" s="216">
        <v>0.8</v>
      </c>
      <c r="CA63" s="216">
        <v>0.8</v>
      </c>
      <c r="CB63" s="216">
        <v>0.5</v>
      </c>
      <c r="CC63" s="216">
        <v>0.5</v>
      </c>
      <c r="CD63" s="216">
        <v>0.8</v>
      </c>
      <c r="CE63" s="216">
        <v>0.8</v>
      </c>
      <c r="CF63" s="216">
        <v>0.8</v>
      </c>
      <c r="CG63" s="216">
        <v>0.8</v>
      </c>
      <c r="CH63" s="216">
        <v>0.5</v>
      </c>
      <c r="CI63" s="216">
        <v>0</v>
      </c>
      <c r="CJ63" s="216">
        <v>0</v>
      </c>
      <c r="CK63" s="216">
        <v>0</v>
      </c>
      <c r="CL63" s="216">
        <v>0</v>
      </c>
      <c r="CM63" s="216">
        <v>0</v>
      </c>
    </row>
    <row r="64" spans="1:91" s="216" customFormat="1" ht="15" customHeight="1" x14ac:dyDescent="0.5">
      <c r="A64" s="245" t="s">
        <v>231</v>
      </c>
      <c r="B64" s="216">
        <v>0</v>
      </c>
      <c r="C64" s="216">
        <v>0</v>
      </c>
      <c r="D64" s="216">
        <v>0.8</v>
      </c>
      <c r="E64" s="216">
        <v>0.8</v>
      </c>
      <c r="F64" s="216">
        <v>0.8</v>
      </c>
      <c r="G64" s="216">
        <v>0.8</v>
      </c>
      <c r="H64" s="216">
        <v>0.8</v>
      </c>
      <c r="I64" s="216">
        <v>0.8</v>
      </c>
      <c r="J64" s="216">
        <v>0.8</v>
      </c>
      <c r="K64" s="216">
        <v>0.8</v>
      </c>
      <c r="L64" s="216">
        <v>0.8</v>
      </c>
      <c r="M64" s="216">
        <v>0.8</v>
      </c>
      <c r="N64" s="216">
        <v>0.5</v>
      </c>
      <c r="O64" s="216">
        <v>0.8</v>
      </c>
      <c r="P64" s="216">
        <v>0.8</v>
      </c>
      <c r="Q64" s="216">
        <v>0.8</v>
      </c>
      <c r="R64" s="216">
        <v>0.5</v>
      </c>
      <c r="S64" s="216">
        <v>0.5</v>
      </c>
      <c r="T64" s="216">
        <v>0.5</v>
      </c>
      <c r="U64" s="216">
        <v>0.5</v>
      </c>
      <c r="V64" s="216">
        <v>0.5</v>
      </c>
      <c r="W64" s="216">
        <v>0.5</v>
      </c>
      <c r="X64" s="216">
        <v>0.5</v>
      </c>
      <c r="Y64" s="216">
        <v>0.5</v>
      </c>
      <c r="Z64" s="216">
        <v>0.1</v>
      </c>
      <c r="AA64" s="216">
        <v>0.1</v>
      </c>
      <c r="AB64" s="216">
        <v>0.1</v>
      </c>
      <c r="AC64" s="216">
        <v>0.1</v>
      </c>
      <c r="AD64" s="216">
        <v>0.1</v>
      </c>
      <c r="AE64" s="216">
        <v>0.1</v>
      </c>
      <c r="AF64" s="216">
        <v>0.1</v>
      </c>
      <c r="AG64" s="216">
        <v>0.5</v>
      </c>
      <c r="AH64" s="216">
        <v>0.5</v>
      </c>
      <c r="AI64" s="216">
        <v>0.5</v>
      </c>
      <c r="AJ64" s="216">
        <v>0.5</v>
      </c>
      <c r="AK64" s="216">
        <v>0.5</v>
      </c>
      <c r="AL64" s="216">
        <v>0.5</v>
      </c>
      <c r="AM64" s="216">
        <v>0.5</v>
      </c>
      <c r="AN64" s="216">
        <v>0.5</v>
      </c>
      <c r="AO64" s="216">
        <v>0.5</v>
      </c>
      <c r="AP64" s="216">
        <v>0.5</v>
      </c>
      <c r="AQ64" s="216">
        <v>0.5</v>
      </c>
      <c r="AR64" s="216">
        <v>0.5</v>
      </c>
      <c r="AS64" s="216">
        <v>0.8</v>
      </c>
      <c r="AT64" s="216">
        <v>0.5</v>
      </c>
      <c r="AU64" s="216">
        <v>0.5</v>
      </c>
      <c r="AV64" s="216">
        <v>0.8</v>
      </c>
      <c r="AW64" s="216">
        <v>0.5</v>
      </c>
      <c r="AX64" s="216">
        <v>0.8</v>
      </c>
      <c r="AY64" s="216">
        <v>0.8</v>
      </c>
      <c r="AZ64" s="216">
        <v>0.8</v>
      </c>
      <c r="BA64" s="216">
        <v>0.8</v>
      </c>
      <c r="BB64" s="216">
        <v>0.5</v>
      </c>
      <c r="BC64" s="216">
        <v>0.8</v>
      </c>
      <c r="BD64" s="216">
        <v>0.8</v>
      </c>
      <c r="BE64" s="216">
        <v>0.8</v>
      </c>
      <c r="BF64" s="216">
        <v>0.8</v>
      </c>
      <c r="BG64" s="216">
        <v>0.8</v>
      </c>
      <c r="BH64" s="216">
        <v>0.8</v>
      </c>
      <c r="BI64" s="216">
        <v>0.8</v>
      </c>
      <c r="BJ64" s="216">
        <v>0.8</v>
      </c>
      <c r="BK64" s="216">
        <v>0.8</v>
      </c>
      <c r="BL64" s="216">
        <v>0.8</v>
      </c>
      <c r="BM64" s="216">
        <v>0.8</v>
      </c>
      <c r="BN64" s="216">
        <v>0.8</v>
      </c>
      <c r="BO64" s="216">
        <v>0.8</v>
      </c>
      <c r="BP64" s="216">
        <v>0.8</v>
      </c>
      <c r="BQ64" s="216">
        <v>0.8</v>
      </c>
      <c r="BR64" s="216">
        <v>0.8</v>
      </c>
      <c r="BS64" s="216">
        <v>0.8</v>
      </c>
      <c r="BT64" s="216">
        <v>0.8</v>
      </c>
      <c r="BU64" s="216">
        <v>0.8</v>
      </c>
      <c r="BV64" s="216">
        <v>0.8</v>
      </c>
      <c r="BW64" s="216">
        <v>0.8</v>
      </c>
      <c r="BX64" s="216">
        <v>0.8</v>
      </c>
      <c r="BY64" s="216">
        <v>0.8</v>
      </c>
      <c r="BZ64" s="216">
        <v>0.8</v>
      </c>
      <c r="CA64" s="216">
        <v>0.8</v>
      </c>
      <c r="CB64" s="216">
        <v>0.5</v>
      </c>
      <c r="CC64" s="216">
        <v>0.5</v>
      </c>
      <c r="CD64" s="216">
        <v>0.8</v>
      </c>
      <c r="CE64" s="216">
        <v>0.8</v>
      </c>
      <c r="CF64" s="216">
        <v>0.8</v>
      </c>
      <c r="CG64" s="216">
        <v>0.8</v>
      </c>
      <c r="CH64" s="216">
        <v>0.5</v>
      </c>
      <c r="CI64" s="216">
        <v>0</v>
      </c>
      <c r="CJ64" s="216">
        <v>0</v>
      </c>
      <c r="CK64" s="216">
        <v>0</v>
      </c>
      <c r="CL64" s="216">
        <v>0</v>
      </c>
      <c r="CM64" s="216">
        <v>0</v>
      </c>
    </row>
    <row r="65" spans="1:91" s="216" customFormat="1" ht="15" customHeight="1" x14ac:dyDescent="0.5">
      <c r="A65" s="245" t="s">
        <v>232</v>
      </c>
      <c r="B65" s="216">
        <v>0</v>
      </c>
      <c r="C65" s="216">
        <v>0</v>
      </c>
      <c r="D65" s="216">
        <v>0.8</v>
      </c>
      <c r="E65" s="216">
        <v>0.8</v>
      </c>
      <c r="F65" s="216">
        <v>0.8</v>
      </c>
      <c r="G65" s="216">
        <v>0.8</v>
      </c>
      <c r="H65" s="216">
        <v>0.8</v>
      </c>
      <c r="I65" s="216">
        <v>0.8</v>
      </c>
      <c r="J65" s="216">
        <v>0.8</v>
      </c>
      <c r="K65" s="216">
        <v>0.8</v>
      </c>
      <c r="L65" s="216">
        <v>0.8</v>
      </c>
      <c r="M65" s="216">
        <v>0.8</v>
      </c>
      <c r="N65" s="216">
        <v>0.5</v>
      </c>
      <c r="O65" s="216">
        <v>0.8</v>
      </c>
      <c r="P65" s="216">
        <v>0.8</v>
      </c>
      <c r="Q65" s="216">
        <v>0.8</v>
      </c>
      <c r="R65" s="216">
        <v>0.5</v>
      </c>
      <c r="S65" s="216">
        <v>0.5</v>
      </c>
      <c r="T65" s="216">
        <v>0.5</v>
      </c>
      <c r="U65" s="216">
        <v>0.5</v>
      </c>
      <c r="V65" s="216">
        <v>0.5</v>
      </c>
      <c r="W65" s="216">
        <v>0.5</v>
      </c>
      <c r="X65" s="216">
        <v>0.5</v>
      </c>
      <c r="Y65" s="216">
        <v>0.5</v>
      </c>
      <c r="Z65" s="216">
        <v>0.1</v>
      </c>
      <c r="AA65" s="216">
        <v>0.1</v>
      </c>
      <c r="AB65" s="216">
        <v>0.1</v>
      </c>
      <c r="AC65" s="216">
        <v>0.1</v>
      </c>
      <c r="AD65" s="216">
        <v>0.1</v>
      </c>
      <c r="AE65" s="216">
        <v>0.1</v>
      </c>
      <c r="AF65" s="216">
        <v>0.1</v>
      </c>
      <c r="AG65" s="216">
        <v>0.5</v>
      </c>
      <c r="AH65" s="216">
        <v>0.5</v>
      </c>
      <c r="AI65" s="216">
        <v>0.5</v>
      </c>
      <c r="AJ65" s="216">
        <v>0.5</v>
      </c>
      <c r="AK65" s="216">
        <v>0.5</v>
      </c>
      <c r="AL65" s="216">
        <v>0.5</v>
      </c>
      <c r="AM65" s="216">
        <v>0.5</v>
      </c>
      <c r="AN65" s="216">
        <v>0.5</v>
      </c>
      <c r="AO65" s="216">
        <v>0.5</v>
      </c>
      <c r="AP65" s="216">
        <v>0.5</v>
      </c>
      <c r="AQ65" s="216">
        <v>0.5</v>
      </c>
      <c r="AR65" s="216">
        <v>0.5</v>
      </c>
      <c r="AS65" s="216">
        <v>0.8</v>
      </c>
      <c r="AT65" s="216">
        <v>0.5</v>
      </c>
      <c r="AU65" s="216">
        <v>0.5</v>
      </c>
      <c r="AV65" s="216">
        <v>0.8</v>
      </c>
      <c r="AW65" s="216">
        <v>0.5</v>
      </c>
      <c r="AX65" s="216">
        <v>0.8</v>
      </c>
      <c r="AY65" s="216">
        <v>0.8</v>
      </c>
      <c r="AZ65" s="216">
        <v>0.8</v>
      </c>
      <c r="BA65" s="216">
        <v>0.8</v>
      </c>
      <c r="BB65" s="216">
        <v>0.5</v>
      </c>
      <c r="BC65" s="216">
        <v>0.8</v>
      </c>
      <c r="BD65" s="216">
        <v>0.8</v>
      </c>
      <c r="BE65" s="216">
        <v>0.8</v>
      </c>
      <c r="BF65" s="216">
        <v>0.8</v>
      </c>
      <c r="BG65" s="216">
        <v>0.8</v>
      </c>
      <c r="BH65" s="216">
        <v>0.8</v>
      </c>
      <c r="BI65" s="216">
        <v>0.8</v>
      </c>
      <c r="BJ65" s="216">
        <v>0.8</v>
      </c>
      <c r="BK65" s="216">
        <v>0.8</v>
      </c>
      <c r="BL65" s="216">
        <v>0.8</v>
      </c>
      <c r="BM65" s="216">
        <v>0.8</v>
      </c>
      <c r="BN65" s="216">
        <v>0.8</v>
      </c>
      <c r="BO65" s="216">
        <v>0.8</v>
      </c>
      <c r="BP65" s="216">
        <v>0.8</v>
      </c>
      <c r="BQ65" s="216">
        <v>0.8</v>
      </c>
      <c r="BR65" s="216">
        <v>0.8</v>
      </c>
      <c r="BS65" s="216">
        <v>0.8</v>
      </c>
      <c r="BT65" s="216">
        <v>0.8</v>
      </c>
      <c r="BU65" s="216">
        <v>0.8</v>
      </c>
      <c r="BV65" s="216">
        <v>0.8</v>
      </c>
      <c r="BW65" s="216">
        <v>0.8</v>
      </c>
      <c r="BX65" s="216">
        <v>0.8</v>
      </c>
      <c r="BY65" s="216">
        <v>0.8</v>
      </c>
      <c r="BZ65" s="216">
        <v>0.8</v>
      </c>
      <c r="CA65" s="216">
        <v>0.8</v>
      </c>
      <c r="CB65" s="216">
        <v>0.5</v>
      </c>
      <c r="CC65" s="216">
        <v>0.5</v>
      </c>
      <c r="CD65" s="216">
        <v>0.8</v>
      </c>
      <c r="CE65" s="216">
        <v>0.8</v>
      </c>
      <c r="CF65" s="216">
        <v>0.8</v>
      </c>
      <c r="CG65" s="216">
        <v>0.8</v>
      </c>
      <c r="CH65" s="216">
        <v>0.5</v>
      </c>
      <c r="CI65" s="216">
        <v>0</v>
      </c>
      <c r="CJ65" s="216">
        <v>0</v>
      </c>
      <c r="CK65" s="216">
        <v>0</v>
      </c>
      <c r="CL65" s="216">
        <v>0</v>
      </c>
      <c r="CM65" s="216">
        <v>0</v>
      </c>
    </row>
    <row r="66" spans="1:91" s="216" customFormat="1" ht="15" customHeight="1" x14ac:dyDescent="0.5">
      <c r="A66" s="245" t="s">
        <v>233</v>
      </c>
      <c r="B66" s="216">
        <v>0</v>
      </c>
      <c r="C66" s="216">
        <v>0</v>
      </c>
      <c r="D66" s="216">
        <v>0.8</v>
      </c>
      <c r="E66" s="216">
        <v>0.8</v>
      </c>
      <c r="F66" s="216">
        <v>0.8</v>
      </c>
      <c r="G66" s="216">
        <v>0.8</v>
      </c>
      <c r="H66" s="216">
        <v>0.8</v>
      </c>
      <c r="I66" s="216">
        <v>0.8</v>
      </c>
      <c r="J66" s="216">
        <v>0.8</v>
      </c>
      <c r="K66" s="216">
        <v>0.8</v>
      </c>
      <c r="L66" s="216">
        <v>0.8</v>
      </c>
      <c r="M66" s="216">
        <v>0.8</v>
      </c>
      <c r="N66" s="216">
        <v>0.5</v>
      </c>
      <c r="O66" s="216">
        <v>0.8</v>
      </c>
      <c r="P66" s="216">
        <v>0.8</v>
      </c>
      <c r="Q66" s="216">
        <v>0.8</v>
      </c>
      <c r="R66" s="216">
        <v>0.5</v>
      </c>
      <c r="S66" s="216">
        <v>0.5</v>
      </c>
      <c r="T66" s="216">
        <v>0.5</v>
      </c>
      <c r="U66" s="216">
        <v>0.5</v>
      </c>
      <c r="V66" s="216">
        <v>0.5</v>
      </c>
      <c r="W66" s="216">
        <v>0.5</v>
      </c>
      <c r="X66" s="216">
        <v>0.5</v>
      </c>
      <c r="Y66" s="216">
        <v>0.5</v>
      </c>
      <c r="Z66" s="216">
        <v>0.1</v>
      </c>
      <c r="AA66" s="216">
        <v>0.1</v>
      </c>
      <c r="AB66" s="216">
        <v>0.1</v>
      </c>
      <c r="AC66" s="216">
        <v>0.1</v>
      </c>
      <c r="AD66" s="216">
        <v>0.1</v>
      </c>
      <c r="AE66" s="216">
        <v>0.1</v>
      </c>
      <c r="AF66" s="216">
        <v>0.1</v>
      </c>
      <c r="AG66" s="216">
        <v>0.5</v>
      </c>
      <c r="AH66" s="216">
        <v>0.5</v>
      </c>
      <c r="AI66" s="216">
        <v>0.5</v>
      </c>
      <c r="AJ66" s="216">
        <v>0.5</v>
      </c>
      <c r="AK66" s="216">
        <v>0.5</v>
      </c>
      <c r="AL66" s="216">
        <v>0.5</v>
      </c>
      <c r="AM66" s="216">
        <v>0.5</v>
      </c>
      <c r="AN66" s="216">
        <v>0.5</v>
      </c>
      <c r="AO66" s="216">
        <v>0.5</v>
      </c>
      <c r="AP66" s="216">
        <v>0.5</v>
      </c>
      <c r="AQ66" s="216">
        <v>0.5</v>
      </c>
      <c r="AR66" s="216">
        <v>0.5</v>
      </c>
      <c r="AS66" s="216">
        <v>0.8</v>
      </c>
      <c r="AT66" s="216">
        <v>0.5</v>
      </c>
      <c r="AU66" s="216">
        <v>0.5</v>
      </c>
      <c r="AV66" s="216">
        <v>0.8</v>
      </c>
      <c r="AW66" s="216">
        <v>0.5</v>
      </c>
      <c r="AX66" s="216">
        <v>0.8</v>
      </c>
      <c r="AY66" s="216">
        <v>0.8</v>
      </c>
      <c r="AZ66" s="216">
        <v>0.8</v>
      </c>
      <c r="BA66" s="216">
        <v>0.8</v>
      </c>
      <c r="BB66" s="216">
        <v>0.5</v>
      </c>
      <c r="BC66" s="216">
        <v>0.8</v>
      </c>
      <c r="BD66" s="216">
        <v>0.8</v>
      </c>
      <c r="BE66" s="216">
        <v>0.8</v>
      </c>
      <c r="BF66" s="216">
        <v>0.8</v>
      </c>
      <c r="BG66" s="216">
        <v>0.8</v>
      </c>
      <c r="BH66" s="216">
        <v>0.8</v>
      </c>
      <c r="BI66" s="216">
        <v>0.8</v>
      </c>
      <c r="BJ66" s="216">
        <v>0.8</v>
      </c>
      <c r="BK66" s="216">
        <v>0.8</v>
      </c>
      <c r="BL66" s="216">
        <v>0.8</v>
      </c>
      <c r="BM66" s="216">
        <v>0.8</v>
      </c>
      <c r="BN66" s="216">
        <v>0.8</v>
      </c>
      <c r="BO66" s="216">
        <v>0.8</v>
      </c>
      <c r="BP66" s="216">
        <v>0.8</v>
      </c>
      <c r="BQ66" s="216">
        <v>0.8</v>
      </c>
      <c r="BR66" s="216">
        <v>0.8</v>
      </c>
      <c r="BS66" s="216">
        <v>0.8</v>
      </c>
      <c r="BT66" s="216">
        <v>0.8</v>
      </c>
      <c r="BU66" s="216">
        <v>0.8</v>
      </c>
      <c r="BV66" s="216">
        <v>0.8</v>
      </c>
      <c r="BW66" s="216">
        <v>0.8</v>
      </c>
      <c r="BX66" s="216">
        <v>0.8</v>
      </c>
      <c r="BY66" s="216">
        <v>0.8</v>
      </c>
      <c r="BZ66" s="216">
        <v>0.8</v>
      </c>
      <c r="CA66" s="216">
        <v>0.8</v>
      </c>
      <c r="CB66" s="216">
        <v>0.5</v>
      </c>
      <c r="CC66" s="216">
        <v>0.5</v>
      </c>
      <c r="CD66" s="216">
        <v>0.8</v>
      </c>
      <c r="CE66" s="216">
        <v>0.8</v>
      </c>
      <c r="CF66" s="216">
        <v>0.8</v>
      </c>
      <c r="CG66" s="216">
        <v>0.8</v>
      </c>
      <c r="CH66" s="216">
        <v>0.5</v>
      </c>
      <c r="CI66" s="216">
        <v>0</v>
      </c>
      <c r="CJ66" s="216">
        <v>0</v>
      </c>
      <c r="CK66" s="216">
        <v>0</v>
      </c>
      <c r="CL66" s="216">
        <v>0</v>
      </c>
      <c r="CM66" s="216">
        <v>0</v>
      </c>
    </row>
    <row r="67" spans="1:91" s="216" customFormat="1" ht="15" customHeight="1" x14ac:dyDescent="0.5">
      <c r="A67" s="245" t="s">
        <v>234</v>
      </c>
      <c r="B67" s="216">
        <v>0</v>
      </c>
      <c r="C67" s="216">
        <v>0</v>
      </c>
      <c r="D67" s="216">
        <v>0.8</v>
      </c>
      <c r="E67" s="216">
        <v>0.8</v>
      </c>
      <c r="F67" s="216">
        <v>0.8</v>
      </c>
      <c r="G67" s="216">
        <v>0.8</v>
      </c>
      <c r="H67" s="216">
        <v>0.8</v>
      </c>
      <c r="I67" s="216">
        <v>0.8</v>
      </c>
      <c r="J67" s="216">
        <v>0.8</v>
      </c>
      <c r="K67" s="216">
        <v>0.8</v>
      </c>
      <c r="L67" s="216">
        <v>0.8</v>
      </c>
      <c r="M67" s="216">
        <v>0.8</v>
      </c>
      <c r="N67" s="216">
        <v>0.5</v>
      </c>
      <c r="O67" s="216">
        <v>0.8</v>
      </c>
      <c r="P67" s="216">
        <v>0.8</v>
      </c>
      <c r="Q67" s="216">
        <v>0.8</v>
      </c>
      <c r="R67" s="216">
        <v>0.5</v>
      </c>
      <c r="S67" s="216">
        <v>0.5</v>
      </c>
      <c r="T67" s="216">
        <v>0.5</v>
      </c>
      <c r="U67" s="216">
        <v>0.5</v>
      </c>
      <c r="V67" s="216">
        <v>0.5</v>
      </c>
      <c r="W67" s="216">
        <v>0.5</v>
      </c>
      <c r="X67" s="216">
        <v>0.5</v>
      </c>
      <c r="Y67" s="216">
        <v>0.5</v>
      </c>
      <c r="Z67" s="216">
        <v>0.1</v>
      </c>
      <c r="AA67" s="216">
        <v>0.1</v>
      </c>
      <c r="AB67" s="216">
        <v>0.1</v>
      </c>
      <c r="AC67" s="216">
        <v>0.1</v>
      </c>
      <c r="AD67" s="216">
        <v>0.1</v>
      </c>
      <c r="AE67" s="216">
        <v>0.1</v>
      </c>
      <c r="AF67" s="216">
        <v>0.1</v>
      </c>
      <c r="AG67" s="216">
        <v>0.5</v>
      </c>
      <c r="AH67" s="216">
        <v>0.5</v>
      </c>
      <c r="AI67" s="216">
        <v>0.5</v>
      </c>
      <c r="AJ67" s="216">
        <v>0.5</v>
      </c>
      <c r="AK67" s="216">
        <v>0.5</v>
      </c>
      <c r="AL67" s="216">
        <v>0.5</v>
      </c>
      <c r="AM67" s="216">
        <v>0.5</v>
      </c>
      <c r="AN67" s="216">
        <v>0.5</v>
      </c>
      <c r="AO67" s="216">
        <v>0.5</v>
      </c>
      <c r="AP67" s="216">
        <v>0.5</v>
      </c>
      <c r="AQ67" s="216">
        <v>0.5</v>
      </c>
      <c r="AR67" s="216">
        <v>0.5</v>
      </c>
      <c r="AS67" s="216">
        <v>0.8</v>
      </c>
      <c r="AT67" s="216">
        <v>0.5</v>
      </c>
      <c r="AU67" s="216">
        <v>0.5</v>
      </c>
      <c r="AV67" s="216">
        <v>0.8</v>
      </c>
      <c r="AW67" s="216">
        <v>0.5</v>
      </c>
      <c r="AX67" s="216">
        <v>0.8</v>
      </c>
      <c r="AY67" s="216">
        <v>0.8</v>
      </c>
      <c r="AZ67" s="216">
        <v>0.8</v>
      </c>
      <c r="BA67" s="216">
        <v>0.8</v>
      </c>
      <c r="BB67" s="216">
        <v>0.5</v>
      </c>
      <c r="BC67" s="216">
        <v>0.8</v>
      </c>
      <c r="BD67" s="216">
        <v>0.8</v>
      </c>
      <c r="BE67" s="216">
        <v>0.8</v>
      </c>
      <c r="BF67" s="216">
        <v>0.8</v>
      </c>
      <c r="BG67" s="216">
        <v>0.8</v>
      </c>
      <c r="BH67" s="216">
        <v>0.8</v>
      </c>
      <c r="BI67" s="216">
        <v>0.8</v>
      </c>
      <c r="BJ67" s="216">
        <v>0.8</v>
      </c>
      <c r="BK67" s="216">
        <v>0.8</v>
      </c>
      <c r="BL67" s="216">
        <v>0.8</v>
      </c>
      <c r="BM67" s="216">
        <v>0.8</v>
      </c>
      <c r="BN67" s="216">
        <v>0.8</v>
      </c>
      <c r="BO67" s="216">
        <v>0.8</v>
      </c>
      <c r="BP67" s="216">
        <v>0.8</v>
      </c>
      <c r="BQ67" s="216">
        <v>0.8</v>
      </c>
      <c r="BR67" s="216">
        <v>0.8</v>
      </c>
      <c r="BS67" s="216">
        <v>0.8</v>
      </c>
      <c r="BT67" s="216">
        <v>0.8</v>
      </c>
      <c r="BU67" s="216">
        <v>0.8</v>
      </c>
      <c r="BV67" s="216">
        <v>0.8</v>
      </c>
      <c r="BW67" s="216">
        <v>0.8</v>
      </c>
      <c r="BX67" s="216">
        <v>0.8</v>
      </c>
      <c r="BY67" s="216">
        <v>0.8</v>
      </c>
      <c r="BZ67" s="216">
        <v>0.8</v>
      </c>
      <c r="CA67" s="216">
        <v>0.8</v>
      </c>
      <c r="CB67" s="216">
        <v>0.5</v>
      </c>
      <c r="CC67" s="216">
        <v>0.5</v>
      </c>
      <c r="CD67" s="216">
        <v>0.8</v>
      </c>
      <c r="CE67" s="216">
        <v>0.8</v>
      </c>
      <c r="CF67" s="216">
        <v>0.8</v>
      </c>
      <c r="CG67" s="216">
        <v>0.8</v>
      </c>
      <c r="CH67" s="216">
        <v>0.5</v>
      </c>
      <c r="CI67" s="216">
        <v>0</v>
      </c>
      <c r="CJ67" s="216">
        <v>0</v>
      </c>
      <c r="CK67" s="216">
        <v>0</v>
      </c>
      <c r="CL67" s="216">
        <v>0</v>
      </c>
      <c r="CM67" s="216">
        <v>0</v>
      </c>
    </row>
    <row r="68" spans="1:91" s="216" customFormat="1" ht="15" customHeight="1" x14ac:dyDescent="0.5">
      <c r="A68" s="245" t="s">
        <v>235</v>
      </c>
      <c r="B68" s="216">
        <v>0</v>
      </c>
      <c r="C68" s="216">
        <v>0</v>
      </c>
      <c r="D68" s="216">
        <v>0.8</v>
      </c>
      <c r="E68" s="216">
        <v>0.8</v>
      </c>
      <c r="F68" s="216">
        <v>0.8</v>
      </c>
      <c r="G68" s="216">
        <v>0.8</v>
      </c>
      <c r="H68" s="216">
        <v>0.8</v>
      </c>
      <c r="I68" s="216">
        <v>0.8</v>
      </c>
      <c r="J68" s="216">
        <v>0.8</v>
      </c>
      <c r="K68" s="216">
        <v>0.8</v>
      </c>
      <c r="L68" s="216">
        <v>0.8</v>
      </c>
      <c r="M68" s="216">
        <v>0.8</v>
      </c>
      <c r="N68" s="216">
        <v>0.5</v>
      </c>
      <c r="O68" s="216">
        <v>0.8</v>
      </c>
      <c r="P68" s="216">
        <v>0.8</v>
      </c>
      <c r="Q68" s="216">
        <v>0.8</v>
      </c>
      <c r="R68" s="216">
        <v>0.5</v>
      </c>
      <c r="S68" s="216">
        <v>0.5</v>
      </c>
      <c r="T68" s="216">
        <v>0.5</v>
      </c>
      <c r="U68" s="216">
        <v>0.5</v>
      </c>
      <c r="V68" s="216">
        <v>0.5</v>
      </c>
      <c r="W68" s="216">
        <v>0.5</v>
      </c>
      <c r="X68" s="216">
        <v>0.5</v>
      </c>
      <c r="Y68" s="216">
        <v>0.5</v>
      </c>
      <c r="Z68" s="216">
        <v>0.1</v>
      </c>
      <c r="AA68" s="216">
        <v>0.1</v>
      </c>
      <c r="AB68" s="216">
        <v>0.1</v>
      </c>
      <c r="AC68" s="216">
        <v>0.1</v>
      </c>
      <c r="AD68" s="216">
        <v>0.1</v>
      </c>
      <c r="AE68" s="216">
        <v>0.1</v>
      </c>
      <c r="AF68" s="216">
        <v>0.1</v>
      </c>
      <c r="AG68" s="216">
        <v>0.5</v>
      </c>
      <c r="AH68" s="216">
        <v>0.5</v>
      </c>
      <c r="AI68" s="216">
        <v>0.5</v>
      </c>
      <c r="AJ68" s="216">
        <v>0.5</v>
      </c>
      <c r="AK68" s="216">
        <v>0.5</v>
      </c>
      <c r="AL68" s="216">
        <v>0.5</v>
      </c>
      <c r="AM68" s="216">
        <v>0.5</v>
      </c>
      <c r="AN68" s="216">
        <v>0.5</v>
      </c>
      <c r="AO68" s="216">
        <v>0.5</v>
      </c>
      <c r="AP68" s="216">
        <v>0.5</v>
      </c>
      <c r="AQ68" s="216">
        <v>0.5</v>
      </c>
      <c r="AR68" s="216">
        <v>0.5</v>
      </c>
      <c r="AS68" s="216">
        <v>0.8</v>
      </c>
      <c r="AT68" s="216">
        <v>0.5</v>
      </c>
      <c r="AU68" s="216">
        <v>0.5</v>
      </c>
      <c r="AV68" s="216">
        <v>0.8</v>
      </c>
      <c r="AW68" s="216">
        <v>0.5</v>
      </c>
      <c r="AX68" s="216">
        <v>0.8</v>
      </c>
      <c r="AY68" s="216">
        <v>0.8</v>
      </c>
      <c r="AZ68" s="216">
        <v>0.8</v>
      </c>
      <c r="BA68" s="216">
        <v>0.8</v>
      </c>
      <c r="BB68" s="216">
        <v>0.5</v>
      </c>
      <c r="BC68" s="216">
        <v>0.8</v>
      </c>
      <c r="BD68" s="216">
        <v>0.8</v>
      </c>
      <c r="BE68" s="216">
        <v>0.8</v>
      </c>
      <c r="BF68" s="216">
        <v>0.8</v>
      </c>
      <c r="BG68" s="216">
        <v>0.8</v>
      </c>
      <c r="BH68" s="216">
        <v>0.8</v>
      </c>
      <c r="BI68" s="216">
        <v>0.8</v>
      </c>
      <c r="BJ68" s="216">
        <v>0.8</v>
      </c>
      <c r="BK68" s="216">
        <v>0.8</v>
      </c>
      <c r="BL68" s="216">
        <v>0.8</v>
      </c>
      <c r="BM68" s="216">
        <v>0.8</v>
      </c>
      <c r="BN68" s="216">
        <v>0.8</v>
      </c>
      <c r="BO68" s="216">
        <v>0.8</v>
      </c>
      <c r="BP68" s="216">
        <v>0.8</v>
      </c>
      <c r="BQ68" s="216">
        <v>0.8</v>
      </c>
      <c r="BR68" s="216">
        <v>0.8</v>
      </c>
      <c r="BS68" s="216">
        <v>0.8</v>
      </c>
      <c r="BT68" s="216">
        <v>0.8</v>
      </c>
      <c r="BU68" s="216">
        <v>0.8</v>
      </c>
      <c r="BV68" s="216">
        <v>0.8</v>
      </c>
      <c r="BW68" s="216">
        <v>0.8</v>
      </c>
      <c r="BX68" s="216">
        <v>0.8</v>
      </c>
      <c r="BY68" s="216">
        <v>0.8</v>
      </c>
      <c r="BZ68" s="216">
        <v>0.8</v>
      </c>
      <c r="CA68" s="216">
        <v>0.8</v>
      </c>
      <c r="CB68" s="216">
        <v>0.5</v>
      </c>
      <c r="CC68" s="216">
        <v>0.5</v>
      </c>
      <c r="CD68" s="216">
        <v>0.8</v>
      </c>
      <c r="CE68" s="216">
        <v>0.8</v>
      </c>
      <c r="CF68" s="216">
        <v>0.8</v>
      </c>
      <c r="CG68" s="216">
        <v>0.8</v>
      </c>
      <c r="CH68" s="216">
        <v>0.5</v>
      </c>
      <c r="CI68" s="216">
        <v>0</v>
      </c>
      <c r="CJ68" s="216">
        <v>0</v>
      </c>
      <c r="CK68" s="216">
        <v>0</v>
      </c>
      <c r="CL68" s="216">
        <v>0</v>
      </c>
      <c r="CM68" s="216">
        <v>0</v>
      </c>
    </row>
    <row r="69" spans="1:91" s="216" customFormat="1" ht="15" customHeight="1" x14ac:dyDescent="0.5">
      <c r="A69" s="245" t="s">
        <v>236</v>
      </c>
      <c r="B69" s="216">
        <v>0</v>
      </c>
      <c r="C69" s="216">
        <v>0</v>
      </c>
      <c r="D69" s="216">
        <v>0.8</v>
      </c>
      <c r="E69" s="216">
        <v>0.8</v>
      </c>
      <c r="F69" s="216">
        <v>0.8</v>
      </c>
      <c r="G69" s="216">
        <v>0.8</v>
      </c>
      <c r="H69" s="216">
        <v>0.8</v>
      </c>
      <c r="I69" s="216">
        <v>0.8</v>
      </c>
      <c r="J69" s="216">
        <v>0.8</v>
      </c>
      <c r="K69" s="216">
        <v>0.8</v>
      </c>
      <c r="L69" s="216">
        <v>0.8</v>
      </c>
      <c r="M69" s="216">
        <v>0.8</v>
      </c>
      <c r="N69" s="216">
        <v>0.5</v>
      </c>
      <c r="O69" s="216">
        <v>0.8</v>
      </c>
      <c r="P69" s="216">
        <v>0.8</v>
      </c>
      <c r="Q69" s="216">
        <v>0.8</v>
      </c>
      <c r="R69" s="216">
        <v>0.5</v>
      </c>
      <c r="S69" s="216">
        <v>0.5</v>
      </c>
      <c r="T69" s="216">
        <v>0.5</v>
      </c>
      <c r="U69" s="216">
        <v>0.5</v>
      </c>
      <c r="V69" s="216">
        <v>0.5</v>
      </c>
      <c r="W69" s="216">
        <v>0.5</v>
      </c>
      <c r="X69" s="216">
        <v>0.5</v>
      </c>
      <c r="Y69" s="216">
        <v>0.5</v>
      </c>
      <c r="Z69" s="216">
        <v>0.1</v>
      </c>
      <c r="AA69" s="216">
        <v>0.1</v>
      </c>
      <c r="AB69" s="216">
        <v>0.1</v>
      </c>
      <c r="AC69" s="216">
        <v>0.1</v>
      </c>
      <c r="AD69" s="216">
        <v>0.1</v>
      </c>
      <c r="AE69" s="216">
        <v>0.1</v>
      </c>
      <c r="AF69" s="216">
        <v>0.1</v>
      </c>
      <c r="AG69" s="216">
        <v>0.5</v>
      </c>
      <c r="AH69" s="216">
        <v>0.5</v>
      </c>
      <c r="AI69" s="216">
        <v>0.5</v>
      </c>
      <c r="AJ69" s="216">
        <v>0.5</v>
      </c>
      <c r="AK69" s="216">
        <v>0.5</v>
      </c>
      <c r="AL69" s="216">
        <v>0.5</v>
      </c>
      <c r="AM69" s="216">
        <v>0.5</v>
      </c>
      <c r="AN69" s="216">
        <v>0.5</v>
      </c>
      <c r="AO69" s="216">
        <v>0.5</v>
      </c>
      <c r="AP69" s="216">
        <v>0.5</v>
      </c>
      <c r="AQ69" s="216">
        <v>0.5</v>
      </c>
      <c r="AR69" s="216">
        <v>0.5</v>
      </c>
      <c r="AS69" s="216">
        <v>0.8</v>
      </c>
      <c r="AT69" s="216">
        <v>0.5</v>
      </c>
      <c r="AU69" s="216">
        <v>0.5</v>
      </c>
      <c r="AV69" s="216">
        <v>0.8</v>
      </c>
      <c r="AW69" s="216">
        <v>0.5</v>
      </c>
      <c r="AX69" s="216">
        <v>0.8</v>
      </c>
      <c r="AY69" s="216">
        <v>0.8</v>
      </c>
      <c r="AZ69" s="216">
        <v>0.8</v>
      </c>
      <c r="BA69" s="216">
        <v>0.8</v>
      </c>
      <c r="BB69" s="216">
        <v>0.5</v>
      </c>
      <c r="BC69" s="216">
        <v>0.8</v>
      </c>
      <c r="BD69" s="216">
        <v>0.8</v>
      </c>
      <c r="BE69" s="216">
        <v>0.8</v>
      </c>
      <c r="BF69" s="216">
        <v>0.8</v>
      </c>
      <c r="BG69" s="216">
        <v>0.8</v>
      </c>
      <c r="BH69" s="216">
        <v>0.8</v>
      </c>
      <c r="BI69" s="216">
        <v>0.8</v>
      </c>
      <c r="BJ69" s="216">
        <v>0.8</v>
      </c>
      <c r="BK69" s="216">
        <v>0.8</v>
      </c>
      <c r="BL69" s="216">
        <v>0.8</v>
      </c>
      <c r="BM69" s="216">
        <v>0.8</v>
      </c>
      <c r="BN69" s="216">
        <v>0.8</v>
      </c>
      <c r="BO69" s="216">
        <v>0.8</v>
      </c>
      <c r="BP69" s="216">
        <v>0.8</v>
      </c>
      <c r="BQ69" s="216">
        <v>0.8</v>
      </c>
      <c r="BR69" s="216">
        <v>0.8</v>
      </c>
      <c r="BS69" s="216">
        <v>0.8</v>
      </c>
      <c r="BT69" s="216">
        <v>0.8</v>
      </c>
      <c r="BU69" s="216">
        <v>0.8</v>
      </c>
      <c r="BV69" s="216">
        <v>0.8</v>
      </c>
      <c r="BW69" s="216">
        <v>0.8</v>
      </c>
      <c r="BX69" s="216">
        <v>0.8</v>
      </c>
      <c r="BY69" s="216">
        <v>0.8</v>
      </c>
      <c r="BZ69" s="216">
        <v>0.8</v>
      </c>
      <c r="CA69" s="216">
        <v>0.8</v>
      </c>
      <c r="CB69" s="216">
        <v>0.5</v>
      </c>
      <c r="CC69" s="216">
        <v>0.5</v>
      </c>
      <c r="CD69" s="216">
        <v>0.8</v>
      </c>
      <c r="CE69" s="216">
        <v>0.8</v>
      </c>
      <c r="CF69" s="216">
        <v>0.8</v>
      </c>
      <c r="CG69" s="216">
        <v>0.8</v>
      </c>
      <c r="CH69" s="216">
        <v>0.5</v>
      </c>
      <c r="CI69" s="216">
        <v>0</v>
      </c>
      <c r="CJ69" s="216">
        <v>0</v>
      </c>
      <c r="CK69" s="216">
        <v>0</v>
      </c>
      <c r="CL69" s="216">
        <v>0</v>
      </c>
      <c r="CM69" s="216">
        <v>0</v>
      </c>
    </row>
    <row r="70" spans="1:91" s="216" customFormat="1" ht="15" customHeight="1" x14ac:dyDescent="0.5">
      <c r="A70" s="245" t="s">
        <v>237</v>
      </c>
      <c r="B70" s="216">
        <v>0</v>
      </c>
      <c r="C70" s="216">
        <v>0</v>
      </c>
      <c r="D70" s="216">
        <v>0.8</v>
      </c>
      <c r="E70" s="216">
        <v>0.8</v>
      </c>
      <c r="F70" s="216">
        <v>0.8</v>
      </c>
      <c r="G70" s="216">
        <v>0.8</v>
      </c>
      <c r="H70" s="216">
        <v>0.8</v>
      </c>
      <c r="I70" s="216">
        <v>0.8</v>
      </c>
      <c r="J70" s="216">
        <v>0.8</v>
      </c>
      <c r="K70" s="216">
        <v>0.8</v>
      </c>
      <c r="L70" s="216">
        <v>0.8</v>
      </c>
      <c r="M70" s="216">
        <v>0.8</v>
      </c>
      <c r="N70" s="216">
        <v>0.5</v>
      </c>
      <c r="O70" s="216">
        <v>0.8</v>
      </c>
      <c r="P70" s="216">
        <v>0.8</v>
      </c>
      <c r="Q70" s="216">
        <v>0.8</v>
      </c>
      <c r="R70" s="216">
        <v>0.5</v>
      </c>
      <c r="S70" s="216">
        <v>0.5</v>
      </c>
      <c r="T70" s="216">
        <v>0.5</v>
      </c>
      <c r="U70" s="216">
        <v>0.5</v>
      </c>
      <c r="V70" s="216">
        <v>0.5</v>
      </c>
      <c r="W70" s="216">
        <v>0.5</v>
      </c>
      <c r="X70" s="216">
        <v>0.5</v>
      </c>
      <c r="Y70" s="216">
        <v>0.5</v>
      </c>
      <c r="Z70" s="216">
        <v>0.1</v>
      </c>
      <c r="AA70" s="216">
        <v>0.1</v>
      </c>
      <c r="AB70" s="216">
        <v>0.1</v>
      </c>
      <c r="AC70" s="216">
        <v>0.1</v>
      </c>
      <c r="AD70" s="216">
        <v>0.1</v>
      </c>
      <c r="AE70" s="216">
        <v>0.1</v>
      </c>
      <c r="AF70" s="216">
        <v>0.1</v>
      </c>
      <c r="AG70" s="216">
        <v>0.5</v>
      </c>
      <c r="AH70" s="216">
        <v>0.5</v>
      </c>
      <c r="AI70" s="216">
        <v>0.5</v>
      </c>
      <c r="AJ70" s="216">
        <v>0.5</v>
      </c>
      <c r="AK70" s="216">
        <v>0.5</v>
      </c>
      <c r="AL70" s="216">
        <v>0.5</v>
      </c>
      <c r="AM70" s="216">
        <v>0.5</v>
      </c>
      <c r="AN70" s="216">
        <v>0.5</v>
      </c>
      <c r="AO70" s="216">
        <v>0.5</v>
      </c>
      <c r="AP70" s="216">
        <v>0.5</v>
      </c>
      <c r="AQ70" s="216">
        <v>0.5</v>
      </c>
      <c r="AR70" s="216">
        <v>0.5</v>
      </c>
      <c r="AS70" s="216">
        <v>0.8</v>
      </c>
      <c r="AT70" s="216">
        <v>0.5</v>
      </c>
      <c r="AU70" s="216">
        <v>0.5</v>
      </c>
      <c r="AV70" s="216">
        <v>0.8</v>
      </c>
      <c r="AW70" s="216">
        <v>0.5</v>
      </c>
      <c r="AX70" s="216">
        <v>0.8</v>
      </c>
      <c r="AY70" s="216">
        <v>0.8</v>
      </c>
      <c r="AZ70" s="216">
        <v>0.8</v>
      </c>
      <c r="BA70" s="216">
        <v>0.8</v>
      </c>
      <c r="BB70" s="216">
        <v>0.5</v>
      </c>
      <c r="BC70" s="216">
        <v>0.8</v>
      </c>
      <c r="BD70" s="216">
        <v>0.8</v>
      </c>
      <c r="BE70" s="216">
        <v>0.8</v>
      </c>
      <c r="BF70" s="216">
        <v>0.8</v>
      </c>
      <c r="BG70" s="216">
        <v>0.8</v>
      </c>
      <c r="BH70" s="216">
        <v>0.8</v>
      </c>
      <c r="BI70" s="216">
        <v>0.8</v>
      </c>
      <c r="BJ70" s="216">
        <v>0.8</v>
      </c>
      <c r="BK70" s="216">
        <v>0.8</v>
      </c>
      <c r="BL70" s="216">
        <v>0.8</v>
      </c>
      <c r="BM70" s="216">
        <v>0.8</v>
      </c>
      <c r="BN70" s="216">
        <v>0.8</v>
      </c>
      <c r="BO70" s="216">
        <v>0.8</v>
      </c>
      <c r="BP70" s="216">
        <v>0.8</v>
      </c>
      <c r="BQ70" s="216">
        <v>0.8</v>
      </c>
      <c r="BR70" s="216">
        <v>0.8</v>
      </c>
      <c r="BS70" s="216">
        <v>0.8</v>
      </c>
      <c r="BT70" s="216">
        <v>0.8</v>
      </c>
      <c r="BU70" s="216">
        <v>0.8</v>
      </c>
      <c r="BV70" s="216">
        <v>0.8</v>
      </c>
      <c r="BW70" s="216">
        <v>0.8</v>
      </c>
      <c r="BX70" s="216">
        <v>0.8</v>
      </c>
      <c r="BY70" s="216">
        <v>0.8</v>
      </c>
      <c r="BZ70" s="216">
        <v>0.8</v>
      </c>
      <c r="CA70" s="216">
        <v>0.8</v>
      </c>
      <c r="CB70" s="216">
        <v>0.5</v>
      </c>
      <c r="CC70" s="216">
        <v>0.5</v>
      </c>
      <c r="CD70" s="216">
        <v>0.8</v>
      </c>
      <c r="CE70" s="216">
        <v>0.8</v>
      </c>
      <c r="CF70" s="216">
        <v>0.8</v>
      </c>
      <c r="CG70" s="216">
        <v>0.8</v>
      </c>
      <c r="CH70" s="216">
        <v>0.5</v>
      </c>
      <c r="CI70" s="216">
        <v>0</v>
      </c>
      <c r="CJ70" s="216">
        <v>0</v>
      </c>
      <c r="CK70" s="216">
        <v>0</v>
      </c>
      <c r="CL70" s="216">
        <v>0</v>
      </c>
      <c r="CM70" s="216">
        <v>0</v>
      </c>
    </row>
    <row r="71" spans="1:91" s="216" customFormat="1" ht="15" customHeight="1" x14ac:dyDescent="0.5">
      <c r="A71" s="245" t="s">
        <v>238</v>
      </c>
      <c r="B71" s="216">
        <v>0</v>
      </c>
      <c r="C71" s="216">
        <v>0</v>
      </c>
      <c r="D71" s="216">
        <v>0.8</v>
      </c>
      <c r="E71" s="216">
        <v>0.8</v>
      </c>
      <c r="F71" s="216">
        <v>0.8</v>
      </c>
      <c r="G71" s="216">
        <v>0.8</v>
      </c>
      <c r="H71" s="216">
        <v>0.8</v>
      </c>
      <c r="I71" s="216">
        <v>0.8</v>
      </c>
      <c r="J71" s="216">
        <v>0.8</v>
      </c>
      <c r="K71" s="216">
        <v>0.8</v>
      </c>
      <c r="L71" s="216">
        <v>0.8</v>
      </c>
      <c r="M71" s="216">
        <v>0.8</v>
      </c>
      <c r="N71" s="216">
        <v>0.5</v>
      </c>
      <c r="O71" s="216">
        <v>0.8</v>
      </c>
      <c r="P71" s="216">
        <v>0.8</v>
      </c>
      <c r="Q71" s="216">
        <v>0.8</v>
      </c>
      <c r="R71" s="216">
        <v>0.5</v>
      </c>
      <c r="S71" s="216">
        <v>0.5</v>
      </c>
      <c r="T71" s="216">
        <v>0.5</v>
      </c>
      <c r="U71" s="216">
        <v>0.5</v>
      </c>
      <c r="V71" s="216">
        <v>0.5</v>
      </c>
      <c r="W71" s="216">
        <v>0.5</v>
      </c>
      <c r="X71" s="216">
        <v>0.5</v>
      </c>
      <c r="Y71" s="216">
        <v>0.5</v>
      </c>
      <c r="Z71" s="216">
        <v>0.1</v>
      </c>
      <c r="AA71" s="216">
        <v>0.1</v>
      </c>
      <c r="AB71" s="216">
        <v>0.1</v>
      </c>
      <c r="AC71" s="216">
        <v>0.1</v>
      </c>
      <c r="AD71" s="216">
        <v>0.1</v>
      </c>
      <c r="AE71" s="216">
        <v>0.1</v>
      </c>
      <c r="AF71" s="216">
        <v>0.1</v>
      </c>
      <c r="AG71" s="216">
        <v>0.5</v>
      </c>
      <c r="AH71" s="216">
        <v>0.5</v>
      </c>
      <c r="AI71" s="216">
        <v>0.5</v>
      </c>
      <c r="AJ71" s="216">
        <v>0.5</v>
      </c>
      <c r="AK71" s="216">
        <v>0.5</v>
      </c>
      <c r="AL71" s="216">
        <v>0.5</v>
      </c>
      <c r="AM71" s="216">
        <v>0.5</v>
      </c>
      <c r="AN71" s="216">
        <v>0.5</v>
      </c>
      <c r="AO71" s="216">
        <v>0.5</v>
      </c>
      <c r="AP71" s="216">
        <v>0.5</v>
      </c>
      <c r="AQ71" s="216">
        <v>0.5</v>
      </c>
      <c r="AR71" s="216">
        <v>0.5</v>
      </c>
      <c r="AS71" s="216">
        <v>0.8</v>
      </c>
      <c r="AT71" s="216">
        <v>0.5</v>
      </c>
      <c r="AU71" s="216">
        <v>0.5</v>
      </c>
      <c r="AV71" s="216">
        <v>0.8</v>
      </c>
      <c r="AW71" s="216">
        <v>0.5</v>
      </c>
      <c r="AX71" s="216">
        <v>0.8</v>
      </c>
      <c r="AY71" s="216">
        <v>0.8</v>
      </c>
      <c r="AZ71" s="216">
        <v>0.8</v>
      </c>
      <c r="BA71" s="216">
        <v>0.8</v>
      </c>
      <c r="BB71" s="216">
        <v>0.5</v>
      </c>
      <c r="BC71" s="216">
        <v>0.8</v>
      </c>
      <c r="BD71" s="216">
        <v>0.8</v>
      </c>
      <c r="BE71" s="216">
        <v>0.8</v>
      </c>
      <c r="BF71" s="216">
        <v>0.8</v>
      </c>
      <c r="BG71" s="216">
        <v>0.8</v>
      </c>
      <c r="BH71" s="216">
        <v>0.8</v>
      </c>
      <c r="BI71" s="216">
        <v>0.8</v>
      </c>
      <c r="BJ71" s="216">
        <v>0.8</v>
      </c>
      <c r="BK71" s="216">
        <v>0.8</v>
      </c>
      <c r="BL71" s="216">
        <v>0.8</v>
      </c>
      <c r="BM71" s="216">
        <v>0.8</v>
      </c>
      <c r="BN71" s="216">
        <v>0.8</v>
      </c>
      <c r="BO71" s="216">
        <v>0.8</v>
      </c>
      <c r="BP71" s="216">
        <v>0.8</v>
      </c>
      <c r="BQ71" s="216">
        <v>0.8</v>
      </c>
      <c r="BR71" s="216">
        <v>0.8</v>
      </c>
      <c r="BS71" s="216">
        <v>0.8</v>
      </c>
      <c r="BT71" s="216">
        <v>0.8</v>
      </c>
      <c r="BU71" s="216">
        <v>0.8</v>
      </c>
      <c r="BV71" s="216">
        <v>0.8</v>
      </c>
      <c r="BW71" s="216">
        <v>0.8</v>
      </c>
      <c r="BX71" s="216">
        <v>0.8</v>
      </c>
      <c r="BY71" s="216">
        <v>0.8</v>
      </c>
      <c r="BZ71" s="216">
        <v>0.8</v>
      </c>
      <c r="CA71" s="216">
        <v>0.8</v>
      </c>
      <c r="CB71" s="216">
        <v>0.5</v>
      </c>
      <c r="CC71" s="216">
        <v>0.5</v>
      </c>
      <c r="CD71" s="216">
        <v>0.8</v>
      </c>
      <c r="CE71" s="216">
        <v>0.8</v>
      </c>
      <c r="CF71" s="216">
        <v>0.8</v>
      </c>
      <c r="CG71" s="216">
        <v>0.8</v>
      </c>
      <c r="CH71" s="216">
        <v>0.5</v>
      </c>
      <c r="CI71" s="216">
        <v>0</v>
      </c>
      <c r="CJ71" s="216">
        <v>0</v>
      </c>
      <c r="CK71" s="216">
        <v>0</v>
      </c>
      <c r="CL71" s="216">
        <v>0</v>
      </c>
      <c r="CM71" s="216">
        <v>0</v>
      </c>
    </row>
    <row r="72" spans="1:91" s="216" customFormat="1" ht="15" customHeight="1" x14ac:dyDescent="0.5">
      <c r="A72" s="245" t="s">
        <v>239</v>
      </c>
      <c r="B72" s="216">
        <v>0</v>
      </c>
      <c r="C72" s="216">
        <v>0</v>
      </c>
      <c r="D72" s="216">
        <v>0.8</v>
      </c>
      <c r="E72" s="216">
        <v>0.8</v>
      </c>
      <c r="F72" s="216">
        <v>0.8</v>
      </c>
      <c r="G72" s="216">
        <v>0.8</v>
      </c>
      <c r="H72" s="216">
        <v>0.8</v>
      </c>
      <c r="I72" s="216">
        <v>0.8</v>
      </c>
      <c r="J72" s="216">
        <v>0.8</v>
      </c>
      <c r="K72" s="216">
        <v>0.8</v>
      </c>
      <c r="L72" s="216">
        <v>0.8</v>
      </c>
      <c r="M72" s="216">
        <v>0.8</v>
      </c>
      <c r="N72" s="216">
        <v>0.5</v>
      </c>
      <c r="O72" s="216">
        <v>0.8</v>
      </c>
      <c r="P72" s="216">
        <v>0.8</v>
      </c>
      <c r="Q72" s="216">
        <v>0.8</v>
      </c>
      <c r="R72" s="216">
        <v>0.5</v>
      </c>
      <c r="S72" s="216">
        <v>0.5</v>
      </c>
      <c r="T72" s="216">
        <v>0.5</v>
      </c>
      <c r="U72" s="216">
        <v>0.5</v>
      </c>
      <c r="V72" s="216">
        <v>0.5</v>
      </c>
      <c r="W72" s="216">
        <v>0.5</v>
      </c>
      <c r="X72" s="216">
        <v>0.5</v>
      </c>
      <c r="Y72" s="216">
        <v>0.5</v>
      </c>
      <c r="Z72" s="216">
        <v>0.1</v>
      </c>
      <c r="AA72" s="216">
        <v>0.1</v>
      </c>
      <c r="AB72" s="216">
        <v>0.1</v>
      </c>
      <c r="AC72" s="216">
        <v>0.1</v>
      </c>
      <c r="AD72" s="216">
        <v>0.1</v>
      </c>
      <c r="AE72" s="216">
        <v>0.1</v>
      </c>
      <c r="AF72" s="216">
        <v>0.1</v>
      </c>
      <c r="AG72" s="216">
        <v>0.5</v>
      </c>
      <c r="AH72" s="216">
        <v>0.5</v>
      </c>
      <c r="AI72" s="216">
        <v>0.5</v>
      </c>
      <c r="AJ72" s="216">
        <v>0.5</v>
      </c>
      <c r="AK72" s="216">
        <v>0.5</v>
      </c>
      <c r="AL72" s="216">
        <v>0.5</v>
      </c>
      <c r="AM72" s="216">
        <v>0.5</v>
      </c>
      <c r="AN72" s="216">
        <v>0.5</v>
      </c>
      <c r="AO72" s="216">
        <v>0.5</v>
      </c>
      <c r="AP72" s="216">
        <v>0.5</v>
      </c>
      <c r="AQ72" s="216">
        <v>0.5</v>
      </c>
      <c r="AR72" s="216">
        <v>0.5</v>
      </c>
      <c r="AS72" s="216">
        <v>0.8</v>
      </c>
      <c r="AT72" s="216">
        <v>0.5</v>
      </c>
      <c r="AU72" s="216">
        <v>0.5</v>
      </c>
      <c r="AV72" s="216">
        <v>0.8</v>
      </c>
      <c r="AW72" s="216">
        <v>0.5</v>
      </c>
      <c r="AX72" s="216">
        <v>0.8</v>
      </c>
      <c r="AY72" s="216">
        <v>0.8</v>
      </c>
      <c r="AZ72" s="216">
        <v>0.8</v>
      </c>
      <c r="BA72" s="216">
        <v>0.8</v>
      </c>
      <c r="BB72" s="216">
        <v>0.5</v>
      </c>
      <c r="BC72" s="216">
        <v>0.8</v>
      </c>
      <c r="BD72" s="216">
        <v>0.8</v>
      </c>
      <c r="BE72" s="216">
        <v>0.8</v>
      </c>
      <c r="BF72" s="216">
        <v>0.8</v>
      </c>
      <c r="BG72" s="216">
        <v>0.8</v>
      </c>
      <c r="BH72" s="216">
        <v>0.8</v>
      </c>
      <c r="BI72" s="216">
        <v>0.8</v>
      </c>
      <c r="BJ72" s="216">
        <v>0.8</v>
      </c>
      <c r="BK72" s="216">
        <v>0.8</v>
      </c>
      <c r="BL72" s="216">
        <v>0.8</v>
      </c>
      <c r="BM72" s="216">
        <v>0.8</v>
      </c>
      <c r="BN72" s="216">
        <v>0.8</v>
      </c>
      <c r="BO72" s="216">
        <v>0.8</v>
      </c>
      <c r="BP72" s="216">
        <v>0.8</v>
      </c>
      <c r="BQ72" s="216">
        <v>0.8</v>
      </c>
      <c r="BR72" s="216">
        <v>0.8</v>
      </c>
      <c r="BS72" s="216">
        <v>0.8</v>
      </c>
      <c r="BT72" s="216">
        <v>0.8</v>
      </c>
      <c r="BU72" s="216">
        <v>0.8</v>
      </c>
      <c r="BV72" s="216">
        <v>0.8</v>
      </c>
      <c r="BW72" s="216">
        <v>0.8</v>
      </c>
      <c r="BX72" s="216">
        <v>0.8</v>
      </c>
      <c r="BY72" s="216">
        <v>0.8</v>
      </c>
      <c r="BZ72" s="216">
        <v>0.8</v>
      </c>
      <c r="CA72" s="216">
        <v>0.8</v>
      </c>
      <c r="CB72" s="216">
        <v>0.5</v>
      </c>
      <c r="CC72" s="216">
        <v>0.5</v>
      </c>
      <c r="CD72" s="216">
        <v>0.8</v>
      </c>
      <c r="CE72" s="216">
        <v>0.8</v>
      </c>
      <c r="CF72" s="216">
        <v>0.8</v>
      </c>
      <c r="CG72" s="216">
        <v>0.8</v>
      </c>
      <c r="CH72" s="216">
        <v>0.5</v>
      </c>
      <c r="CI72" s="216">
        <v>0</v>
      </c>
      <c r="CJ72" s="216">
        <v>0</v>
      </c>
      <c r="CK72" s="216">
        <v>0</v>
      </c>
      <c r="CL72" s="216">
        <v>0</v>
      </c>
      <c r="CM72" s="216">
        <v>0</v>
      </c>
    </row>
    <row r="73" spans="1:91" s="216" customFormat="1" ht="15" customHeight="1" x14ac:dyDescent="0.5">
      <c r="A73" s="245" t="s">
        <v>240</v>
      </c>
      <c r="B73" s="216">
        <v>0</v>
      </c>
      <c r="C73" s="216">
        <v>0</v>
      </c>
      <c r="D73" s="216">
        <v>0.8</v>
      </c>
      <c r="E73" s="216">
        <v>0.8</v>
      </c>
      <c r="F73" s="216">
        <v>0.8</v>
      </c>
      <c r="G73" s="216">
        <v>0.8</v>
      </c>
      <c r="H73" s="216">
        <v>0.8</v>
      </c>
      <c r="I73" s="216">
        <v>0.8</v>
      </c>
      <c r="J73" s="216">
        <v>0.8</v>
      </c>
      <c r="K73" s="216">
        <v>0.8</v>
      </c>
      <c r="L73" s="216">
        <v>0.8</v>
      </c>
      <c r="M73" s="216">
        <v>0.8</v>
      </c>
      <c r="N73" s="216">
        <v>0.5</v>
      </c>
      <c r="O73" s="216">
        <v>0.8</v>
      </c>
      <c r="P73" s="216">
        <v>0.8</v>
      </c>
      <c r="Q73" s="216">
        <v>0.8</v>
      </c>
      <c r="R73" s="216">
        <v>0.5</v>
      </c>
      <c r="S73" s="216">
        <v>0.5</v>
      </c>
      <c r="T73" s="216">
        <v>0.5</v>
      </c>
      <c r="U73" s="216">
        <v>0.5</v>
      </c>
      <c r="V73" s="216">
        <v>0.5</v>
      </c>
      <c r="W73" s="216">
        <v>0.5</v>
      </c>
      <c r="X73" s="216">
        <v>0.5</v>
      </c>
      <c r="Y73" s="216">
        <v>0.5</v>
      </c>
      <c r="Z73" s="216">
        <v>0.1</v>
      </c>
      <c r="AA73" s="216">
        <v>0.1</v>
      </c>
      <c r="AB73" s="216">
        <v>0.1</v>
      </c>
      <c r="AC73" s="216">
        <v>0.1</v>
      </c>
      <c r="AD73" s="216">
        <v>0.1</v>
      </c>
      <c r="AE73" s="216">
        <v>0.1</v>
      </c>
      <c r="AF73" s="216">
        <v>0.1</v>
      </c>
      <c r="AG73" s="216">
        <v>0.5</v>
      </c>
      <c r="AH73" s="216">
        <v>0.5</v>
      </c>
      <c r="AI73" s="216">
        <v>0.5</v>
      </c>
      <c r="AJ73" s="216">
        <v>0.5</v>
      </c>
      <c r="AK73" s="216">
        <v>0.5</v>
      </c>
      <c r="AL73" s="216">
        <v>0.5</v>
      </c>
      <c r="AM73" s="216">
        <v>0.5</v>
      </c>
      <c r="AN73" s="216">
        <v>0.5</v>
      </c>
      <c r="AO73" s="216">
        <v>0.5</v>
      </c>
      <c r="AP73" s="216">
        <v>0.5</v>
      </c>
      <c r="AQ73" s="216">
        <v>0.5</v>
      </c>
      <c r="AR73" s="216">
        <v>0.5</v>
      </c>
      <c r="AS73" s="216">
        <v>0.8</v>
      </c>
      <c r="AT73" s="216">
        <v>0.5</v>
      </c>
      <c r="AU73" s="216">
        <v>0.5</v>
      </c>
      <c r="AV73" s="216">
        <v>0.8</v>
      </c>
      <c r="AW73" s="216">
        <v>0.5</v>
      </c>
      <c r="AX73" s="216">
        <v>0.8</v>
      </c>
      <c r="AY73" s="216">
        <v>0.8</v>
      </c>
      <c r="AZ73" s="216">
        <v>0.8</v>
      </c>
      <c r="BA73" s="216">
        <v>0.8</v>
      </c>
      <c r="BB73" s="216">
        <v>0.5</v>
      </c>
      <c r="BC73" s="216">
        <v>0.8</v>
      </c>
      <c r="BD73" s="216">
        <v>0.8</v>
      </c>
      <c r="BE73" s="216">
        <v>0.8</v>
      </c>
      <c r="BF73" s="216">
        <v>0.8</v>
      </c>
      <c r="BG73" s="216">
        <v>0.8</v>
      </c>
      <c r="BH73" s="216">
        <v>0.8</v>
      </c>
      <c r="BI73" s="216">
        <v>0.8</v>
      </c>
      <c r="BJ73" s="216">
        <v>0.8</v>
      </c>
      <c r="BK73" s="216">
        <v>0.8</v>
      </c>
      <c r="BL73" s="216">
        <v>0.8</v>
      </c>
      <c r="BM73" s="216">
        <v>0.8</v>
      </c>
      <c r="BN73" s="216">
        <v>0.8</v>
      </c>
      <c r="BO73" s="216">
        <v>0.8</v>
      </c>
      <c r="BP73" s="216">
        <v>0.8</v>
      </c>
      <c r="BQ73" s="216">
        <v>0.8</v>
      </c>
      <c r="BR73" s="216">
        <v>0.8</v>
      </c>
      <c r="BS73" s="216">
        <v>0.8</v>
      </c>
      <c r="BT73" s="216">
        <v>0.8</v>
      </c>
      <c r="BU73" s="216">
        <v>0.8</v>
      </c>
      <c r="BV73" s="216">
        <v>0.8</v>
      </c>
      <c r="BW73" s="216">
        <v>0.8</v>
      </c>
      <c r="BX73" s="216">
        <v>0.8</v>
      </c>
      <c r="BY73" s="216">
        <v>0.8</v>
      </c>
      <c r="BZ73" s="216">
        <v>0.8</v>
      </c>
      <c r="CA73" s="216">
        <v>0.8</v>
      </c>
      <c r="CB73" s="216">
        <v>0.5</v>
      </c>
      <c r="CC73" s="216">
        <v>0.5</v>
      </c>
      <c r="CD73" s="216">
        <v>0.8</v>
      </c>
      <c r="CE73" s="216">
        <v>0.8</v>
      </c>
      <c r="CF73" s="216">
        <v>0.8</v>
      </c>
      <c r="CG73" s="216">
        <v>0.8</v>
      </c>
      <c r="CH73" s="216">
        <v>0.5</v>
      </c>
      <c r="CI73" s="216">
        <v>0</v>
      </c>
      <c r="CJ73" s="216">
        <v>0</v>
      </c>
      <c r="CK73" s="216">
        <v>0</v>
      </c>
      <c r="CL73" s="216">
        <v>0</v>
      </c>
      <c r="CM73" s="216">
        <v>0</v>
      </c>
    </row>
    <row r="74" spans="1:91" s="216" customFormat="1" ht="15" customHeight="1" x14ac:dyDescent="0.5">
      <c r="A74" s="245" t="s">
        <v>241</v>
      </c>
      <c r="B74" s="216">
        <v>0</v>
      </c>
      <c r="C74" s="216">
        <v>0</v>
      </c>
      <c r="D74" s="216">
        <v>0.8</v>
      </c>
      <c r="E74" s="216">
        <v>0.8</v>
      </c>
      <c r="F74" s="216">
        <v>0.8</v>
      </c>
      <c r="G74" s="216">
        <v>0.8</v>
      </c>
      <c r="H74" s="216">
        <v>0.8</v>
      </c>
      <c r="I74" s="216">
        <v>0.8</v>
      </c>
      <c r="J74" s="216">
        <v>0.8</v>
      </c>
      <c r="K74" s="216">
        <v>0.8</v>
      </c>
      <c r="L74" s="216">
        <v>0.8</v>
      </c>
      <c r="M74" s="216">
        <v>0.8</v>
      </c>
      <c r="N74" s="216">
        <v>0.5</v>
      </c>
      <c r="O74" s="216">
        <v>0.8</v>
      </c>
      <c r="P74" s="216">
        <v>0.8</v>
      </c>
      <c r="Q74" s="216">
        <v>0.8</v>
      </c>
      <c r="R74" s="216">
        <v>0.5</v>
      </c>
      <c r="S74" s="216">
        <v>0.5</v>
      </c>
      <c r="T74" s="216">
        <v>0.5</v>
      </c>
      <c r="U74" s="216">
        <v>0.5</v>
      </c>
      <c r="V74" s="216">
        <v>0.5</v>
      </c>
      <c r="W74" s="216">
        <v>0.5</v>
      </c>
      <c r="X74" s="216">
        <v>0.5</v>
      </c>
      <c r="Y74" s="216">
        <v>0.5</v>
      </c>
      <c r="Z74" s="216">
        <v>0.1</v>
      </c>
      <c r="AA74" s="216">
        <v>0.1</v>
      </c>
      <c r="AB74" s="216">
        <v>0.1</v>
      </c>
      <c r="AC74" s="216">
        <v>0.1</v>
      </c>
      <c r="AD74" s="216">
        <v>0.1</v>
      </c>
      <c r="AE74" s="216">
        <v>0.1</v>
      </c>
      <c r="AF74" s="216">
        <v>0.1</v>
      </c>
      <c r="AG74" s="216">
        <v>0.5</v>
      </c>
      <c r="AH74" s="216">
        <v>0.5</v>
      </c>
      <c r="AI74" s="216">
        <v>0.5</v>
      </c>
      <c r="AJ74" s="216">
        <v>0.5</v>
      </c>
      <c r="AK74" s="216">
        <v>0.5</v>
      </c>
      <c r="AL74" s="216">
        <v>0.5</v>
      </c>
      <c r="AM74" s="216">
        <v>0.5</v>
      </c>
      <c r="AN74" s="216">
        <v>0.5</v>
      </c>
      <c r="AO74" s="216">
        <v>0.5</v>
      </c>
      <c r="AP74" s="216">
        <v>0.5</v>
      </c>
      <c r="AQ74" s="216">
        <v>0.5</v>
      </c>
      <c r="AR74" s="216">
        <v>0.5</v>
      </c>
      <c r="AS74" s="216">
        <v>0.8</v>
      </c>
      <c r="AT74" s="216">
        <v>0.5</v>
      </c>
      <c r="AU74" s="216">
        <v>0.5</v>
      </c>
      <c r="AV74" s="216">
        <v>0.8</v>
      </c>
      <c r="AW74" s="216">
        <v>0.5</v>
      </c>
      <c r="AX74" s="216">
        <v>0.8</v>
      </c>
      <c r="AY74" s="216">
        <v>0.8</v>
      </c>
      <c r="AZ74" s="216">
        <v>0.8</v>
      </c>
      <c r="BA74" s="216">
        <v>0.8</v>
      </c>
      <c r="BB74" s="216">
        <v>0.5</v>
      </c>
      <c r="BC74" s="216">
        <v>0.8</v>
      </c>
      <c r="BD74" s="216">
        <v>0.8</v>
      </c>
      <c r="BE74" s="216">
        <v>0.8</v>
      </c>
      <c r="BF74" s="216">
        <v>0.8</v>
      </c>
      <c r="BG74" s="216">
        <v>0.8</v>
      </c>
      <c r="BH74" s="216">
        <v>0.8</v>
      </c>
      <c r="BI74" s="216">
        <v>0.8</v>
      </c>
      <c r="BJ74" s="216">
        <v>0.8</v>
      </c>
      <c r="BK74" s="216">
        <v>0.8</v>
      </c>
      <c r="BL74" s="216">
        <v>0.8</v>
      </c>
      <c r="BM74" s="216">
        <v>0.8</v>
      </c>
      <c r="BN74" s="216">
        <v>0.8</v>
      </c>
      <c r="BO74" s="216">
        <v>0.8</v>
      </c>
      <c r="BP74" s="216">
        <v>0.8</v>
      </c>
      <c r="BQ74" s="216">
        <v>0.8</v>
      </c>
      <c r="BR74" s="216">
        <v>0.8</v>
      </c>
      <c r="BS74" s="216">
        <v>0.8</v>
      </c>
      <c r="BT74" s="216">
        <v>0.8</v>
      </c>
      <c r="BU74" s="216">
        <v>0.8</v>
      </c>
      <c r="BV74" s="216">
        <v>0.8</v>
      </c>
      <c r="BW74" s="216">
        <v>0.8</v>
      </c>
      <c r="BX74" s="216">
        <v>0.8</v>
      </c>
      <c r="BY74" s="216">
        <v>0.8</v>
      </c>
      <c r="BZ74" s="216">
        <v>0.8</v>
      </c>
      <c r="CA74" s="216">
        <v>0.8</v>
      </c>
      <c r="CB74" s="216">
        <v>0.5</v>
      </c>
      <c r="CC74" s="216">
        <v>0.5</v>
      </c>
      <c r="CD74" s="216">
        <v>0.8</v>
      </c>
      <c r="CE74" s="216">
        <v>0.8</v>
      </c>
      <c r="CF74" s="216">
        <v>0.8</v>
      </c>
      <c r="CG74" s="216">
        <v>0.8</v>
      </c>
      <c r="CH74" s="216">
        <v>0.5</v>
      </c>
      <c r="CI74" s="216">
        <v>0</v>
      </c>
      <c r="CJ74" s="216">
        <v>0</v>
      </c>
      <c r="CK74" s="216">
        <v>0</v>
      </c>
      <c r="CL74" s="216">
        <v>0</v>
      </c>
      <c r="CM74" s="216">
        <v>0</v>
      </c>
    </row>
    <row r="75" spans="1:91" s="216" customFormat="1" ht="15" customHeight="1" x14ac:dyDescent="0.5">
      <c r="A75" s="245" t="s">
        <v>242</v>
      </c>
      <c r="B75" s="216">
        <v>0</v>
      </c>
      <c r="C75" s="216">
        <v>0</v>
      </c>
      <c r="D75" s="216">
        <v>0.8</v>
      </c>
      <c r="E75" s="216">
        <v>0.8</v>
      </c>
      <c r="F75" s="216">
        <v>0.8</v>
      </c>
      <c r="G75" s="216">
        <v>0.8</v>
      </c>
      <c r="H75" s="216">
        <v>0.8</v>
      </c>
      <c r="I75" s="216">
        <v>0.8</v>
      </c>
      <c r="J75" s="216">
        <v>0.8</v>
      </c>
      <c r="K75" s="216">
        <v>0.8</v>
      </c>
      <c r="L75" s="216">
        <v>0.8</v>
      </c>
      <c r="M75" s="216">
        <v>0.8</v>
      </c>
      <c r="N75" s="216">
        <v>0.5</v>
      </c>
      <c r="O75" s="216">
        <v>0.8</v>
      </c>
      <c r="P75" s="216">
        <v>0.8</v>
      </c>
      <c r="Q75" s="216">
        <v>0.8</v>
      </c>
      <c r="R75" s="216">
        <v>0.5</v>
      </c>
      <c r="S75" s="216">
        <v>0.5</v>
      </c>
      <c r="T75" s="216">
        <v>0.5</v>
      </c>
      <c r="U75" s="216">
        <v>0.5</v>
      </c>
      <c r="V75" s="216">
        <v>0.5</v>
      </c>
      <c r="W75" s="216">
        <v>0.5</v>
      </c>
      <c r="X75" s="216">
        <v>0.5</v>
      </c>
      <c r="Y75" s="216">
        <v>0.5</v>
      </c>
      <c r="Z75" s="216">
        <v>0.1</v>
      </c>
      <c r="AA75" s="216">
        <v>0.1</v>
      </c>
      <c r="AB75" s="216">
        <v>0.1</v>
      </c>
      <c r="AC75" s="216">
        <v>0.1</v>
      </c>
      <c r="AD75" s="216">
        <v>0.1</v>
      </c>
      <c r="AE75" s="216">
        <v>0.1</v>
      </c>
      <c r="AF75" s="216">
        <v>0.1</v>
      </c>
      <c r="AG75" s="216">
        <v>0.5</v>
      </c>
      <c r="AH75" s="216">
        <v>0.5</v>
      </c>
      <c r="AI75" s="216">
        <v>0.5</v>
      </c>
      <c r="AJ75" s="216">
        <v>0.5</v>
      </c>
      <c r="AK75" s="216">
        <v>0.5</v>
      </c>
      <c r="AL75" s="216">
        <v>0.5</v>
      </c>
      <c r="AM75" s="216">
        <v>0.5</v>
      </c>
      <c r="AN75" s="216">
        <v>0.5</v>
      </c>
      <c r="AO75" s="216">
        <v>0.5</v>
      </c>
      <c r="AP75" s="216">
        <v>0.5</v>
      </c>
      <c r="AQ75" s="216">
        <v>0.5</v>
      </c>
      <c r="AR75" s="216">
        <v>0.5</v>
      </c>
      <c r="AS75" s="216">
        <v>0.8</v>
      </c>
      <c r="AT75" s="216">
        <v>0.5</v>
      </c>
      <c r="AU75" s="216">
        <v>0.5</v>
      </c>
      <c r="AV75" s="216">
        <v>0.8</v>
      </c>
      <c r="AW75" s="216">
        <v>0.5</v>
      </c>
      <c r="AX75" s="216">
        <v>0.8</v>
      </c>
      <c r="AY75" s="216">
        <v>0.8</v>
      </c>
      <c r="AZ75" s="216">
        <v>0.8</v>
      </c>
      <c r="BA75" s="216">
        <v>0.8</v>
      </c>
      <c r="BB75" s="216">
        <v>0.5</v>
      </c>
      <c r="BC75" s="216">
        <v>0.8</v>
      </c>
      <c r="BD75" s="216">
        <v>0.8</v>
      </c>
      <c r="BE75" s="216">
        <v>0.8</v>
      </c>
      <c r="BF75" s="216">
        <v>0.8</v>
      </c>
      <c r="BG75" s="216">
        <v>0.8</v>
      </c>
      <c r="BH75" s="216">
        <v>0.8</v>
      </c>
      <c r="BI75" s="216">
        <v>0.8</v>
      </c>
      <c r="BJ75" s="216">
        <v>0.8</v>
      </c>
      <c r="BK75" s="216">
        <v>0.8</v>
      </c>
      <c r="BL75" s="216">
        <v>0.8</v>
      </c>
      <c r="BM75" s="216">
        <v>0.8</v>
      </c>
      <c r="BN75" s="216">
        <v>0.8</v>
      </c>
      <c r="BO75" s="216">
        <v>0.8</v>
      </c>
      <c r="BP75" s="216">
        <v>0.8</v>
      </c>
      <c r="BQ75" s="216">
        <v>0.8</v>
      </c>
      <c r="BR75" s="216">
        <v>0.8</v>
      </c>
      <c r="BS75" s="216">
        <v>0.8</v>
      </c>
      <c r="BT75" s="216">
        <v>0.8</v>
      </c>
      <c r="BU75" s="216">
        <v>0.8</v>
      </c>
      <c r="BV75" s="216">
        <v>0.8</v>
      </c>
      <c r="BW75" s="216">
        <v>0.8</v>
      </c>
      <c r="BX75" s="216">
        <v>0.8</v>
      </c>
      <c r="BY75" s="216">
        <v>0.8</v>
      </c>
      <c r="BZ75" s="216">
        <v>0.8</v>
      </c>
      <c r="CA75" s="216">
        <v>0.8</v>
      </c>
      <c r="CB75" s="216">
        <v>0.5</v>
      </c>
      <c r="CC75" s="216">
        <v>0.5</v>
      </c>
      <c r="CD75" s="216">
        <v>0.8</v>
      </c>
      <c r="CE75" s="216">
        <v>0.8</v>
      </c>
      <c r="CF75" s="216">
        <v>0.8</v>
      </c>
      <c r="CG75" s="216">
        <v>0.8</v>
      </c>
      <c r="CH75" s="216">
        <v>0.5</v>
      </c>
      <c r="CI75" s="216">
        <v>0</v>
      </c>
      <c r="CJ75" s="216">
        <v>0</v>
      </c>
      <c r="CK75" s="216">
        <v>0</v>
      </c>
      <c r="CL75" s="216">
        <v>0</v>
      </c>
      <c r="CM75" s="216">
        <v>0</v>
      </c>
    </row>
    <row r="76" spans="1:91" s="216" customFormat="1" ht="15" customHeight="1" x14ac:dyDescent="0.5">
      <c r="A76" s="245" t="s">
        <v>243</v>
      </c>
      <c r="B76" s="216">
        <v>0</v>
      </c>
      <c r="C76" s="216">
        <v>0</v>
      </c>
      <c r="D76" s="216">
        <v>0.8</v>
      </c>
      <c r="E76" s="216">
        <v>0.8</v>
      </c>
      <c r="F76" s="216">
        <v>0.8</v>
      </c>
      <c r="G76" s="216">
        <v>0.8</v>
      </c>
      <c r="H76" s="216">
        <v>0.8</v>
      </c>
      <c r="I76" s="216">
        <v>0.8</v>
      </c>
      <c r="J76" s="216">
        <v>0.8</v>
      </c>
      <c r="K76" s="216">
        <v>0.8</v>
      </c>
      <c r="L76" s="216">
        <v>0.8</v>
      </c>
      <c r="M76" s="216">
        <v>0.8</v>
      </c>
      <c r="N76" s="216">
        <v>0.5</v>
      </c>
      <c r="O76" s="216">
        <v>0.8</v>
      </c>
      <c r="P76" s="216">
        <v>0.8</v>
      </c>
      <c r="Q76" s="216">
        <v>0.8</v>
      </c>
      <c r="R76" s="216">
        <v>0.5</v>
      </c>
      <c r="S76" s="216">
        <v>0.5</v>
      </c>
      <c r="T76" s="216">
        <v>0.5</v>
      </c>
      <c r="U76" s="216">
        <v>0.5</v>
      </c>
      <c r="V76" s="216">
        <v>0.5</v>
      </c>
      <c r="W76" s="216">
        <v>0.5</v>
      </c>
      <c r="X76" s="216">
        <v>0.5</v>
      </c>
      <c r="Y76" s="216">
        <v>0.5</v>
      </c>
      <c r="Z76" s="216">
        <v>0.1</v>
      </c>
      <c r="AA76" s="216">
        <v>0.1</v>
      </c>
      <c r="AB76" s="216">
        <v>0.1</v>
      </c>
      <c r="AC76" s="216">
        <v>0.1</v>
      </c>
      <c r="AD76" s="216">
        <v>0.1</v>
      </c>
      <c r="AE76" s="216">
        <v>0.1</v>
      </c>
      <c r="AF76" s="216">
        <v>0.1</v>
      </c>
      <c r="AG76" s="216">
        <v>0.5</v>
      </c>
      <c r="AH76" s="216">
        <v>0.5</v>
      </c>
      <c r="AI76" s="216">
        <v>0.5</v>
      </c>
      <c r="AJ76" s="216">
        <v>0.5</v>
      </c>
      <c r="AK76" s="216">
        <v>0.5</v>
      </c>
      <c r="AL76" s="216">
        <v>0.5</v>
      </c>
      <c r="AM76" s="216">
        <v>0.5</v>
      </c>
      <c r="AN76" s="216">
        <v>0.5</v>
      </c>
      <c r="AO76" s="216">
        <v>0.5</v>
      </c>
      <c r="AP76" s="216">
        <v>0.5</v>
      </c>
      <c r="AQ76" s="216">
        <v>0.5</v>
      </c>
      <c r="AR76" s="216">
        <v>0.5</v>
      </c>
      <c r="AS76" s="216">
        <v>0.8</v>
      </c>
      <c r="AT76" s="216">
        <v>0.5</v>
      </c>
      <c r="AU76" s="216">
        <v>0.5</v>
      </c>
      <c r="AV76" s="216">
        <v>0.8</v>
      </c>
      <c r="AW76" s="216">
        <v>0.5</v>
      </c>
      <c r="AX76" s="216">
        <v>0.8</v>
      </c>
      <c r="AY76" s="216">
        <v>0.8</v>
      </c>
      <c r="AZ76" s="216">
        <v>0.8</v>
      </c>
      <c r="BA76" s="216">
        <v>0.8</v>
      </c>
      <c r="BB76" s="216">
        <v>0.5</v>
      </c>
      <c r="BC76" s="216">
        <v>0.8</v>
      </c>
      <c r="BD76" s="216">
        <v>0.8</v>
      </c>
      <c r="BE76" s="216">
        <v>0.8</v>
      </c>
      <c r="BF76" s="216">
        <v>0.8</v>
      </c>
      <c r="BG76" s="216">
        <v>0.8</v>
      </c>
      <c r="BH76" s="216">
        <v>0.8</v>
      </c>
      <c r="BI76" s="216">
        <v>0.8</v>
      </c>
      <c r="BJ76" s="216">
        <v>0.8</v>
      </c>
      <c r="BK76" s="216">
        <v>0.8</v>
      </c>
      <c r="BL76" s="216">
        <v>0.8</v>
      </c>
      <c r="BM76" s="216">
        <v>0.8</v>
      </c>
      <c r="BN76" s="216">
        <v>0.8</v>
      </c>
      <c r="BO76" s="216">
        <v>0.8</v>
      </c>
      <c r="BP76" s="216">
        <v>0.8</v>
      </c>
      <c r="BQ76" s="216">
        <v>0.8</v>
      </c>
      <c r="BR76" s="216">
        <v>0.8</v>
      </c>
      <c r="BS76" s="216">
        <v>0.8</v>
      </c>
      <c r="BT76" s="216">
        <v>0.8</v>
      </c>
      <c r="BU76" s="216">
        <v>0.8</v>
      </c>
      <c r="BV76" s="216">
        <v>0.8</v>
      </c>
      <c r="BW76" s="216">
        <v>0.8</v>
      </c>
      <c r="BX76" s="216">
        <v>0.8</v>
      </c>
      <c r="BY76" s="216">
        <v>0.8</v>
      </c>
      <c r="BZ76" s="216">
        <v>0.8</v>
      </c>
      <c r="CA76" s="216">
        <v>0.8</v>
      </c>
      <c r="CB76" s="216">
        <v>0.5</v>
      </c>
      <c r="CC76" s="216">
        <v>0.5</v>
      </c>
      <c r="CD76" s="216">
        <v>0.8</v>
      </c>
      <c r="CE76" s="216">
        <v>0.8</v>
      </c>
      <c r="CF76" s="216">
        <v>0.8</v>
      </c>
      <c r="CG76" s="216">
        <v>0.8</v>
      </c>
      <c r="CH76" s="216">
        <v>0.5</v>
      </c>
      <c r="CI76" s="216">
        <v>0</v>
      </c>
      <c r="CJ76" s="216">
        <v>0</v>
      </c>
      <c r="CK76" s="216">
        <v>0</v>
      </c>
      <c r="CL76" s="216">
        <v>0</v>
      </c>
      <c r="CM76" s="216">
        <v>0</v>
      </c>
    </row>
    <row r="77" spans="1:91" s="216" customFormat="1" ht="15" customHeight="1" x14ac:dyDescent="0.5">
      <c r="A77" s="245" t="s">
        <v>244</v>
      </c>
      <c r="B77" s="216">
        <v>0</v>
      </c>
      <c r="C77" s="216">
        <v>0</v>
      </c>
      <c r="D77" s="216">
        <v>0.8</v>
      </c>
      <c r="E77" s="216">
        <v>0.8</v>
      </c>
      <c r="F77" s="216">
        <v>0.8</v>
      </c>
      <c r="G77" s="216">
        <v>0.8</v>
      </c>
      <c r="H77" s="216">
        <v>0.8</v>
      </c>
      <c r="I77" s="216">
        <v>0.8</v>
      </c>
      <c r="J77" s="216">
        <v>0.8</v>
      </c>
      <c r="K77" s="216">
        <v>0.8</v>
      </c>
      <c r="L77" s="216">
        <v>0.8</v>
      </c>
      <c r="M77" s="216">
        <v>0.8</v>
      </c>
      <c r="N77" s="216">
        <v>0.5</v>
      </c>
      <c r="O77" s="216">
        <v>0.8</v>
      </c>
      <c r="P77" s="216">
        <v>0.8</v>
      </c>
      <c r="Q77" s="216">
        <v>0.8</v>
      </c>
      <c r="R77" s="216">
        <v>0.5</v>
      </c>
      <c r="S77" s="216">
        <v>0.5</v>
      </c>
      <c r="T77" s="216">
        <v>0.5</v>
      </c>
      <c r="U77" s="216">
        <v>0.5</v>
      </c>
      <c r="V77" s="216">
        <v>0.5</v>
      </c>
      <c r="W77" s="216">
        <v>0.5</v>
      </c>
      <c r="X77" s="216">
        <v>0.5</v>
      </c>
      <c r="Y77" s="216">
        <v>0.5</v>
      </c>
      <c r="Z77" s="216">
        <v>0.1</v>
      </c>
      <c r="AA77" s="216">
        <v>0.1</v>
      </c>
      <c r="AB77" s="216">
        <v>0.1</v>
      </c>
      <c r="AC77" s="216">
        <v>0.1</v>
      </c>
      <c r="AD77" s="216">
        <v>0.1</v>
      </c>
      <c r="AE77" s="216">
        <v>0.1</v>
      </c>
      <c r="AF77" s="216">
        <v>0.1</v>
      </c>
      <c r="AG77" s="216">
        <v>0.5</v>
      </c>
      <c r="AH77" s="216">
        <v>0.5</v>
      </c>
      <c r="AI77" s="216">
        <v>0.5</v>
      </c>
      <c r="AJ77" s="216">
        <v>0.5</v>
      </c>
      <c r="AK77" s="216">
        <v>0.5</v>
      </c>
      <c r="AL77" s="216">
        <v>0.5</v>
      </c>
      <c r="AM77" s="216">
        <v>0.5</v>
      </c>
      <c r="AN77" s="216">
        <v>0.5</v>
      </c>
      <c r="AO77" s="216">
        <v>0.5</v>
      </c>
      <c r="AP77" s="216">
        <v>0.5</v>
      </c>
      <c r="AQ77" s="216">
        <v>0.5</v>
      </c>
      <c r="AR77" s="216">
        <v>0.5</v>
      </c>
      <c r="AS77" s="216">
        <v>0.8</v>
      </c>
      <c r="AT77" s="216">
        <v>0.5</v>
      </c>
      <c r="AU77" s="216">
        <v>0.5</v>
      </c>
      <c r="AV77" s="216">
        <v>0.8</v>
      </c>
      <c r="AW77" s="216">
        <v>0.5</v>
      </c>
      <c r="AX77" s="216">
        <v>0.8</v>
      </c>
      <c r="AY77" s="216">
        <v>0.8</v>
      </c>
      <c r="AZ77" s="216">
        <v>0.8</v>
      </c>
      <c r="BA77" s="216">
        <v>0.8</v>
      </c>
      <c r="BB77" s="216">
        <v>0.5</v>
      </c>
      <c r="BC77" s="216">
        <v>0.8</v>
      </c>
      <c r="BD77" s="216">
        <v>0.8</v>
      </c>
      <c r="BE77" s="216">
        <v>0.8</v>
      </c>
      <c r="BF77" s="216">
        <v>0.8</v>
      </c>
      <c r="BG77" s="216">
        <v>0.8</v>
      </c>
      <c r="BH77" s="216">
        <v>0.8</v>
      </c>
      <c r="BI77" s="216">
        <v>0.8</v>
      </c>
      <c r="BJ77" s="216">
        <v>0.8</v>
      </c>
      <c r="BK77" s="216">
        <v>0.8</v>
      </c>
      <c r="BL77" s="216">
        <v>0.8</v>
      </c>
      <c r="BM77" s="216">
        <v>0.8</v>
      </c>
      <c r="BN77" s="216">
        <v>0.8</v>
      </c>
      <c r="BO77" s="216">
        <v>0.8</v>
      </c>
      <c r="BP77" s="216">
        <v>0.8</v>
      </c>
      <c r="BQ77" s="216">
        <v>0.8</v>
      </c>
      <c r="BR77" s="216">
        <v>0.8</v>
      </c>
      <c r="BS77" s="216">
        <v>0.8</v>
      </c>
      <c r="BT77" s="216">
        <v>0.8</v>
      </c>
      <c r="BU77" s="216">
        <v>0.8</v>
      </c>
      <c r="BV77" s="216">
        <v>0.8</v>
      </c>
      <c r="BW77" s="216">
        <v>0.8</v>
      </c>
      <c r="BX77" s="216">
        <v>0.8</v>
      </c>
      <c r="BY77" s="216">
        <v>0.8</v>
      </c>
      <c r="BZ77" s="216">
        <v>0.8</v>
      </c>
      <c r="CA77" s="216">
        <v>0.8</v>
      </c>
      <c r="CB77" s="216">
        <v>0.5</v>
      </c>
      <c r="CC77" s="216">
        <v>0.5</v>
      </c>
      <c r="CD77" s="216">
        <v>0.8</v>
      </c>
      <c r="CE77" s="216">
        <v>0.8</v>
      </c>
      <c r="CF77" s="216">
        <v>0.8</v>
      </c>
      <c r="CG77" s="216">
        <v>0.8</v>
      </c>
      <c r="CH77" s="216">
        <v>0.5</v>
      </c>
      <c r="CI77" s="216">
        <v>0</v>
      </c>
      <c r="CJ77" s="216">
        <v>0</v>
      </c>
      <c r="CK77" s="216">
        <v>0</v>
      </c>
      <c r="CL77" s="216">
        <v>0</v>
      </c>
      <c r="CM77" s="216">
        <v>0</v>
      </c>
    </row>
    <row r="78" spans="1:91" s="216" customFormat="1" ht="15" customHeight="1" x14ac:dyDescent="0.5">
      <c r="A78" s="245" t="s">
        <v>245</v>
      </c>
      <c r="B78" s="216">
        <v>0</v>
      </c>
      <c r="C78" s="216">
        <v>0</v>
      </c>
      <c r="D78" s="216">
        <v>0.8</v>
      </c>
      <c r="E78" s="216">
        <v>0.8</v>
      </c>
      <c r="F78" s="216">
        <v>0.8</v>
      </c>
      <c r="G78" s="216">
        <v>0.8</v>
      </c>
      <c r="H78" s="216">
        <v>0.8</v>
      </c>
      <c r="I78" s="216">
        <v>0.8</v>
      </c>
      <c r="J78" s="216">
        <v>0.8</v>
      </c>
      <c r="K78" s="216">
        <v>0.8</v>
      </c>
      <c r="L78" s="216">
        <v>0.8</v>
      </c>
      <c r="M78" s="216">
        <v>0.8</v>
      </c>
      <c r="N78" s="216">
        <v>0.5</v>
      </c>
      <c r="O78" s="216">
        <v>0.8</v>
      </c>
      <c r="P78" s="216">
        <v>0.8</v>
      </c>
      <c r="Q78" s="216">
        <v>0.8</v>
      </c>
      <c r="R78" s="216">
        <v>0.5</v>
      </c>
      <c r="S78" s="216">
        <v>0.5</v>
      </c>
      <c r="T78" s="216">
        <v>0.5</v>
      </c>
      <c r="U78" s="216">
        <v>0.5</v>
      </c>
      <c r="V78" s="216">
        <v>0.5</v>
      </c>
      <c r="W78" s="216">
        <v>0.5</v>
      </c>
      <c r="X78" s="216">
        <v>0.5</v>
      </c>
      <c r="Y78" s="216">
        <v>0.5</v>
      </c>
      <c r="Z78" s="216">
        <v>0.1</v>
      </c>
      <c r="AA78" s="216">
        <v>0.1</v>
      </c>
      <c r="AB78" s="216">
        <v>0.1</v>
      </c>
      <c r="AC78" s="216">
        <v>0.1</v>
      </c>
      <c r="AD78" s="216">
        <v>0.1</v>
      </c>
      <c r="AE78" s="216">
        <v>0.1</v>
      </c>
      <c r="AF78" s="216">
        <v>0.1</v>
      </c>
      <c r="AG78" s="216">
        <v>0.5</v>
      </c>
      <c r="AH78" s="216">
        <v>0.5</v>
      </c>
      <c r="AI78" s="216">
        <v>0.5</v>
      </c>
      <c r="AJ78" s="216">
        <v>0.5</v>
      </c>
      <c r="AK78" s="216">
        <v>0.5</v>
      </c>
      <c r="AL78" s="216">
        <v>0.5</v>
      </c>
      <c r="AM78" s="216">
        <v>0.5</v>
      </c>
      <c r="AN78" s="216">
        <v>0.5</v>
      </c>
      <c r="AO78" s="216">
        <v>0.5</v>
      </c>
      <c r="AP78" s="216">
        <v>0.5</v>
      </c>
      <c r="AQ78" s="216">
        <v>0.5</v>
      </c>
      <c r="AR78" s="216">
        <v>0.5</v>
      </c>
      <c r="AS78" s="216">
        <v>0.8</v>
      </c>
      <c r="AT78" s="216">
        <v>0.5</v>
      </c>
      <c r="AU78" s="216">
        <v>0.5</v>
      </c>
      <c r="AV78" s="216">
        <v>0.8</v>
      </c>
      <c r="AW78" s="216">
        <v>0.5</v>
      </c>
      <c r="AX78" s="216">
        <v>0.8</v>
      </c>
      <c r="AY78" s="216">
        <v>0.8</v>
      </c>
      <c r="AZ78" s="216">
        <v>0.8</v>
      </c>
      <c r="BA78" s="216">
        <v>0.8</v>
      </c>
      <c r="BB78" s="216">
        <v>0.5</v>
      </c>
      <c r="BC78" s="216">
        <v>0.8</v>
      </c>
      <c r="BD78" s="216">
        <v>0.8</v>
      </c>
      <c r="BE78" s="216">
        <v>0.8</v>
      </c>
      <c r="BF78" s="216">
        <v>0.8</v>
      </c>
      <c r="BG78" s="216">
        <v>0.8</v>
      </c>
      <c r="BH78" s="216">
        <v>0.8</v>
      </c>
      <c r="BI78" s="216">
        <v>0.8</v>
      </c>
      <c r="BJ78" s="216">
        <v>0.8</v>
      </c>
      <c r="BK78" s="216">
        <v>0.8</v>
      </c>
      <c r="BL78" s="216">
        <v>0.8</v>
      </c>
      <c r="BM78" s="216">
        <v>0.8</v>
      </c>
      <c r="BN78" s="216">
        <v>0.8</v>
      </c>
      <c r="BO78" s="216">
        <v>0.8</v>
      </c>
      <c r="BP78" s="216">
        <v>0.8</v>
      </c>
      <c r="BQ78" s="216">
        <v>0.8</v>
      </c>
      <c r="BR78" s="216">
        <v>0.8</v>
      </c>
      <c r="BS78" s="216">
        <v>0.8</v>
      </c>
      <c r="BT78" s="216">
        <v>0.8</v>
      </c>
      <c r="BU78" s="216">
        <v>0.8</v>
      </c>
      <c r="BV78" s="216">
        <v>0.8</v>
      </c>
      <c r="BW78" s="216">
        <v>0.8</v>
      </c>
      <c r="BX78" s="216">
        <v>0.8</v>
      </c>
      <c r="BY78" s="216">
        <v>0.8</v>
      </c>
      <c r="BZ78" s="216">
        <v>0.8</v>
      </c>
      <c r="CA78" s="216">
        <v>0.8</v>
      </c>
      <c r="CB78" s="216">
        <v>0.5</v>
      </c>
      <c r="CC78" s="216">
        <v>0.5</v>
      </c>
      <c r="CD78" s="216">
        <v>0.8</v>
      </c>
      <c r="CE78" s="216">
        <v>0.8</v>
      </c>
      <c r="CF78" s="216">
        <v>0.8</v>
      </c>
      <c r="CG78" s="216">
        <v>0.8</v>
      </c>
      <c r="CH78" s="216">
        <v>0.5</v>
      </c>
      <c r="CI78" s="216">
        <v>0</v>
      </c>
      <c r="CJ78" s="216">
        <v>0</v>
      </c>
      <c r="CK78" s="216">
        <v>0</v>
      </c>
      <c r="CL78" s="216">
        <v>0</v>
      </c>
      <c r="CM78" s="216">
        <v>0</v>
      </c>
    </row>
    <row r="79" spans="1:91" s="216" customFormat="1" ht="15" customHeight="1" x14ac:dyDescent="0.5">
      <c r="A79" s="245" t="s">
        <v>246</v>
      </c>
      <c r="B79" s="216">
        <v>0</v>
      </c>
      <c r="C79" s="216">
        <v>0</v>
      </c>
      <c r="D79" s="216">
        <v>0.8</v>
      </c>
      <c r="E79" s="216">
        <v>0.8</v>
      </c>
      <c r="F79" s="216">
        <v>0.8</v>
      </c>
      <c r="G79" s="216">
        <v>0.8</v>
      </c>
      <c r="H79" s="216">
        <v>0.8</v>
      </c>
      <c r="I79" s="216">
        <v>0.8</v>
      </c>
      <c r="J79" s="216">
        <v>0.8</v>
      </c>
      <c r="K79" s="216">
        <v>0.8</v>
      </c>
      <c r="L79" s="216">
        <v>0.8</v>
      </c>
      <c r="M79" s="216">
        <v>0.8</v>
      </c>
      <c r="N79" s="216">
        <v>0.5</v>
      </c>
      <c r="O79" s="216">
        <v>0.8</v>
      </c>
      <c r="P79" s="216">
        <v>0.8</v>
      </c>
      <c r="Q79" s="216">
        <v>0.8</v>
      </c>
      <c r="R79" s="216">
        <v>0.5</v>
      </c>
      <c r="S79" s="216">
        <v>0.5</v>
      </c>
      <c r="T79" s="216">
        <v>0.5</v>
      </c>
      <c r="U79" s="216">
        <v>0.5</v>
      </c>
      <c r="V79" s="216">
        <v>0.5</v>
      </c>
      <c r="W79" s="216">
        <v>0.5</v>
      </c>
      <c r="X79" s="216">
        <v>0.5</v>
      </c>
      <c r="Y79" s="216">
        <v>0.5</v>
      </c>
      <c r="Z79" s="216">
        <v>0.1</v>
      </c>
      <c r="AA79" s="216">
        <v>0.1</v>
      </c>
      <c r="AB79" s="216">
        <v>0.1</v>
      </c>
      <c r="AC79" s="216">
        <v>0.1</v>
      </c>
      <c r="AD79" s="216">
        <v>0.1</v>
      </c>
      <c r="AE79" s="216">
        <v>0.1</v>
      </c>
      <c r="AF79" s="216">
        <v>0.1</v>
      </c>
      <c r="AG79" s="216">
        <v>0.5</v>
      </c>
      <c r="AH79" s="216">
        <v>0.5</v>
      </c>
      <c r="AI79" s="216">
        <v>0.5</v>
      </c>
      <c r="AJ79" s="216">
        <v>0.5</v>
      </c>
      <c r="AK79" s="216">
        <v>0.5</v>
      </c>
      <c r="AL79" s="216">
        <v>0.5</v>
      </c>
      <c r="AM79" s="216">
        <v>0.5</v>
      </c>
      <c r="AN79" s="216">
        <v>0.5</v>
      </c>
      <c r="AO79" s="216">
        <v>0.5</v>
      </c>
      <c r="AP79" s="216">
        <v>0.5</v>
      </c>
      <c r="AQ79" s="216">
        <v>0.5</v>
      </c>
      <c r="AR79" s="216">
        <v>0.5</v>
      </c>
      <c r="AS79" s="216">
        <v>0.8</v>
      </c>
      <c r="AT79" s="216">
        <v>0.5</v>
      </c>
      <c r="AU79" s="216">
        <v>0.5</v>
      </c>
      <c r="AV79" s="216">
        <v>0.8</v>
      </c>
      <c r="AW79" s="216">
        <v>0.5</v>
      </c>
      <c r="AX79" s="216">
        <v>0.8</v>
      </c>
      <c r="AY79" s="216">
        <v>0.8</v>
      </c>
      <c r="AZ79" s="216">
        <v>0.8</v>
      </c>
      <c r="BA79" s="216">
        <v>0.8</v>
      </c>
      <c r="BB79" s="216">
        <v>0.5</v>
      </c>
      <c r="BC79" s="216">
        <v>0.8</v>
      </c>
      <c r="BD79" s="216">
        <v>0.8</v>
      </c>
      <c r="BE79" s="216">
        <v>0.8</v>
      </c>
      <c r="BF79" s="216">
        <v>0.8</v>
      </c>
      <c r="BG79" s="216">
        <v>0.8</v>
      </c>
      <c r="BH79" s="216">
        <v>0.8</v>
      </c>
      <c r="BI79" s="216">
        <v>0.8</v>
      </c>
      <c r="BJ79" s="216">
        <v>0.8</v>
      </c>
      <c r="BK79" s="216">
        <v>0.8</v>
      </c>
      <c r="BL79" s="216">
        <v>0.8</v>
      </c>
      <c r="BM79" s="216">
        <v>0.8</v>
      </c>
      <c r="BN79" s="216">
        <v>0.8</v>
      </c>
      <c r="BO79" s="216">
        <v>0.8</v>
      </c>
      <c r="BP79" s="216">
        <v>0.8</v>
      </c>
      <c r="BQ79" s="216">
        <v>0.8</v>
      </c>
      <c r="BR79" s="216">
        <v>0.8</v>
      </c>
      <c r="BS79" s="216">
        <v>0.8</v>
      </c>
      <c r="BT79" s="216">
        <v>0.8</v>
      </c>
      <c r="BU79" s="216">
        <v>0.8</v>
      </c>
      <c r="BV79" s="216">
        <v>0.8</v>
      </c>
      <c r="BW79" s="216">
        <v>0.8</v>
      </c>
      <c r="BX79" s="216">
        <v>0.8</v>
      </c>
      <c r="BY79" s="216">
        <v>0.8</v>
      </c>
      <c r="BZ79" s="216">
        <v>0.8</v>
      </c>
      <c r="CA79" s="216">
        <v>0.8</v>
      </c>
      <c r="CB79" s="216">
        <v>0.5</v>
      </c>
      <c r="CC79" s="216">
        <v>0.5</v>
      </c>
      <c r="CD79" s="216">
        <v>0.8</v>
      </c>
      <c r="CE79" s="216">
        <v>0.8</v>
      </c>
      <c r="CF79" s="216">
        <v>0.8</v>
      </c>
      <c r="CG79" s="216">
        <v>0.8</v>
      </c>
      <c r="CH79" s="216">
        <v>0.5</v>
      </c>
      <c r="CI79" s="216">
        <v>0</v>
      </c>
      <c r="CJ79" s="216">
        <v>0</v>
      </c>
      <c r="CK79" s="216">
        <v>0</v>
      </c>
      <c r="CL79" s="216">
        <v>0</v>
      </c>
      <c r="CM79" s="216">
        <v>0</v>
      </c>
    </row>
    <row r="80" spans="1:91" s="216" customFormat="1" ht="15" customHeight="1" x14ac:dyDescent="0.5">
      <c r="A80" s="245" t="s">
        <v>247</v>
      </c>
      <c r="B80" s="216">
        <v>0</v>
      </c>
      <c r="C80" s="216">
        <v>0</v>
      </c>
      <c r="D80" s="216">
        <v>0.8</v>
      </c>
      <c r="E80" s="216">
        <v>0.8</v>
      </c>
      <c r="F80" s="216">
        <v>0.8</v>
      </c>
      <c r="G80" s="216">
        <v>0.8</v>
      </c>
      <c r="H80" s="216">
        <v>0.8</v>
      </c>
      <c r="I80" s="216">
        <v>0.8</v>
      </c>
      <c r="J80" s="216">
        <v>0.8</v>
      </c>
      <c r="K80" s="216">
        <v>0.8</v>
      </c>
      <c r="L80" s="216">
        <v>0.8</v>
      </c>
      <c r="M80" s="216">
        <v>0.8</v>
      </c>
      <c r="N80" s="216">
        <v>0.5</v>
      </c>
      <c r="O80" s="216">
        <v>0.8</v>
      </c>
      <c r="P80" s="216">
        <v>0.8</v>
      </c>
      <c r="Q80" s="216">
        <v>0.8</v>
      </c>
      <c r="R80" s="216">
        <v>0.5</v>
      </c>
      <c r="S80" s="216">
        <v>0.5</v>
      </c>
      <c r="T80" s="216">
        <v>0.5</v>
      </c>
      <c r="U80" s="216">
        <v>0.5</v>
      </c>
      <c r="V80" s="216">
        <v>0.5</v>
      </c>
      <c r="W80" s="216">
        <v>0.5</v>
      </c>
      <c r="X80" s="216">
        <v>0.5</v>
      </c>
      <c r="Y80" s="216">
        <v>0.5</v>
      </c>
      <c r="Z80" s="216">
        <v>0.1</v>
      </c>
      <c r="AA80" s="216">
        <v>0.1</v>
      </c>
      <c r="AB80" s="216">
        <v>0.1</v>
      </c>
      <c r="AC80" s="216">
        <v>0.1</v>
      </c>
      <c r="AD80" s="216">
        <v>0.1</v>
      </c>
      <c r="AE80" s="216">
        <v>0.1</v>
      </c>
      <c r="AF80" s="216">
        <v>0.1</v>
      </c>
      <c r="AG80" s="216">
        <v>0.5</v>
      </c>
      <c r="AH80" s="216">
        <v>0.5</v>
      </c>
      <c r="AI80" s="216">
        <v>0.5</v>
      </c>
      <c r="AJ80" s="216">
        <v>0.5</v>
      </c>
      <c r="AK80" s="216">
        <v>0.5</v>
      </c>
      <c r="AL80" s="216">
        <v>0.5</v>
      </c>
      <c r="AM80" s="216">
        <v>0.5</v>
      </c>
      <c r="AN80" s="216">
        <v>0.5</v>
      </c>
      <c r="AO80" s="216">
        <v>0.5</v>
      </c>
      <c r="AP80" s="216">
        <v>0.5</v>
      </c>
      <c r="AQ80" s="216">
        <v>0.5</v>
      </c>
      <c r="AR80" s="216">
        <v>0.5</v>
      </c>
      <c r="AS80" s="216">
        <v>0.8</v>
      </c>
      <c r="AT80" s="216">
        <v>0.5</v>
      </c>
      <c r="AU80" s="216">
        <v>0.5</v>
      </c>
      <c r="AV80" s="216">
        <v>0.8</v>
      </c>
      <c r="AW80" s="216">
        <v>0.5</v>
      </c>
      <c r="AX80" s="216">
        <v>0.8</v>
      </c>
      <c r="AY80" s="216">
        <v>0.8</v>
      </c>
      <c r="AZ80" s="216">
        <v>0.8</v>
      </c>
      <c r="BA80" s="216">
        <v>0.8</v>
      </c>
      <c r="BB80" s="216">
        <v>0.5</v>
      </c>
      <c r="BC80" s="216">
        <v>0.8</v>
      </c>
      <c r="BD80" s="216">
        <v>0.8</v>
      </c>
      <c r="BE80" s="216">
        <v>0.8</v>
      </c>
      <c r="BF80" s="216">
        <v>0.8</v>
      </c>
      <c r="BG80" s="216">
        <v>0.8</v>
      </c>
      <c r="BH80" s="216">
        <v>0.8</v>
      </c>
      <c r="BI80" s="216">
        <v>0.8</v>
      </c>
      <c r="BJ80" s="216">
        <v>0.8</v>
      </c>
      <c r="BK80" s="216">
        <v>0.8</v>
      </c>
      <c r="BL80" s="216">
        <v>0.8</v>
      </c>
      <c r="BM80" s="216">
        <v>0.8</v>
      </c>
      <c r="BN80" s="216">
        <v>0.8</v>
      </c>
      <c r="BO80" s="216">
        <v>0.8</v>
      </c>
      <c r="BP80" s="216">
        <v>0.8</v>
      </c>
      <c r="BQ80" s="216">
        <v>0.8</v>
      </c>
      <c r="BR80" s="216">
        <v>0.8</v>
      </c>
      <c r="BS80" s="216">
        <v>0.8</v>
      </c>
      <c r="BT80" s="216">
        <v>0.8</v>
      </c>
      <c r="BU80" s="216">
        <v>0.8</v>
      </c>
      <c r="BV80" s="216">
        <v>0.8</v>
      </c>
      <c r="BW80" s="216">
        <v>0.8</v>
      </c>
      <c r="BX80" s="216">
        <v>0.8</v>
      </c>
      <c r="BY80" s="216">
        <v>0.8</v>
      </c>
      <c r="BZ80" s="216">
        <v>0.8</v>
      </c>
      <c r="CA80" s="216">
        <v>0.8</v>
      </c>
      <c r="CB80" s="216">
        <v>0.5</v>
      </c>
      <c r="CC80" s="216">
        <v>0.5</v>
      </c>
      <c r="CD80" s="216">
        <v>0.8</v>
      </c>
      <c r="CE80" s="216">
        <v>0.8</v>
      </c>
      <c r="CF80" s="216">
        <v>0.8</v>
      </c>
      <c r="CG80" s="216">
        <v>0.8</v>
      </c>
      <c r="CH80" s="216">
        <v>0.5</v>
      </c>
      <c r="CI80" s="216">
        <v>0</v>
      </c>
      <c r="CJ80" s="216">
        <v>0</v>
      </c>
      <c r="CK80" s="216">
        <v>0</v>
      </c>
      <c r="CL80" s="216">
        <v>0</v>
      </c>
      <c r="CM80" s="216">
        <v>0</v>
      </c>
    </row>
    <row r="81" spans="1:91" s="216" customFormat="1" ht="15" customHeight="1" x14ac:dyDescent="0.5">
      <c r="A81" s="246" t="s">
        <v>280</v>
      </c>
      <c r="B81" s="216">
        <v>0</v>
      </c>
      <c r="C81" s="216">
        <v>0</v>
      </c>
      <c r="D81" s="216">
        <v>0.8</v>
      </c>
      <c r="E81" s="216">
        <v>0.8</v>
      </c>
      <c r="F81" s="216">
        <v>0.8</v>
      </c>
      <c r="G81" s="216">
        <v>0.8</v>
      </c>
      <c r="H81" s="216">
        <v>0.8</v>
      </c>
      <c r="I81" s="216">
        <v>0.8</v>
      </c>
      <c r="J81" s="216">
        <v>0.8</v>
      </c>
      <c r="K81" s="216">
        <v>0.8</v>
      </c>
      <c r="L81" s="216">
        <v>0.8</v>
      </c>
      <c r="M81" s="216">
        <v>0.8</v>
      </c>
      <c r="N81" s="216">
        <v>0.5</v>
      </c>
      <c r="O81" s="216">
        <v>0.8</v>
      </c>
      <c r="P81" s="216">
        <v>0.8</v>
      </c>
      <c r="Q81" s="216">
        <v>0.8</v>
      </c>
      <c r="R81" s="216">
        <v>0.5</v>
      </c>
      <c r="S81" s="216">
        <v>0.5</v>
      </c>
      <c r="T81" s="216">
        <v>0.5</v>
      </c>
      <c r="U81" s="216">
        <v>0.5</v>
      </c>
      <c r="V81" s="216">
        <v>0.5</v>
      </c>
      <c r="W81" s="216">
        <v>0.5</v>
      </c>
      <c r="X81" s="216">
        <v>0.5</v>
      </c>
      <c r="Y81" s="216">
        <v>0.5</v>
      </c>
      <c r="Z81" s="216">
        <v>0.1</v>
      </c>
      <c r="AA81" s="216">
        <v>0.1</v>
      </c>
      <c r="AB81" s="216">
        <v>0.1</v>
      </c>
      <c r="AC81" s="216">
        <v>0.1</v>
      </c>
      <c r="AD81" s="216">
        <v>0.1</v>
      </c>
      <c r="AE81" s="216">
        <v>0.1</v>
      </c>
      <c r="AF81" s="216">
        <v>0.1</v>
      </c>
      <c r="AG81" s="216">
        <v>0.5</v>
      </c>
      <c r="AH81" s="216">
        <v>0.5</v>
      </c>
      <c r="AI81" s="216">
        <v>0.5</v>
      </c>
      <c r="AJ81" s="216">
        <v>0.5</v>
      </c>
      <c r="AK81" s="216">
        <v>0.5</v>
      </c>
      <c r="AL81" s="216">
        <v>0.5</v>
      </c>
      <c r="AM81" s="216">
        <v>0.5</v>
      </c>
      <c r="AN81" s="216">
        <v>0.5</v>
      </c>
      <c r="AO81" s="216">
        <v>0.5</v>
      </c>
      <c r="AP81" s="216">
        <v>0.5</v>
      </c>
      <c r="AQ81" s="216">
        <v>0.5</v>
      </c>
      <c r="AR81" s="216">
        <v>0.5</v>
      </c>
      <c r="AS81" s="216">
        <v>0.8</v>
      </c>
      <c r="AT81" s="216">
        <v>0.5</v>
      </c>
      <c r="AU81" s="216">
        <v>0.5</v>
      </c>
      <c r="AV81" s="216">
        <v>0.8</v>
      </c>
      <c r="AW81" s="216">
        <v>0.5</v>
      </c>
      <c r="AX81" s="216">
        <v>0.8</v>
      </c>
      <c r="AY81" s="216">
        <v>0.8</v>
      </c>
      <c r="AZ81" s="216">
        <v>0.8</v>
      </c>
      <c r="BA81" s="216">
        <v>0.8</v>
      </c>
      <c r="BB81" s="216">
        <v>0.5</v>
      </c>
      <c r="BC81" s="216">
        <v>0.8</v>
      </c>
      <c r="BD81" s="216">
        <v>0.8</v>
      </c>
      <c r="BE81" s="216">
        <v>0.8</v>
      </c>
      <c r="BF81" s="216">
        <v>0.8</v>
      </c>
      <c r="BG81" s="216">
        <v>0.8</v>
      </c>
      <c r="BH81" s="216">
        <v>0.8</v>
      </c>
      <c r="BI81" s="216">
        <v>0.8</v>
      </c>
      <c r="BJ81" s="216">
        <v>0.8</v>
      </c>
      <c r="BK81" s="216">
        <v>0.8</v>
      </c>
      <c r="BL81" s="216">
        <v>0.8</v>
      </c>
      <c r="BM81" s="216">
        <v>0.8</v>
      </c>
      <c r="BN81" s="216">
        <v>0.8</v>
      </c>
      <c r="BO81" s="216">
        <v>0.8</v>
      </c>
      <c r="BP81" s="216">
        <v>0.8</v>
      </c>
      <c r="BQ81" s="216">
        <v>0.8</v>
      </c>
      <c r="BR81" s="216">
        <v>0.8</v>
      </c>
      <c r="BS81" s="216">
        <v>0.8</v>
      </c>
      <c r="BT81" s="216">
        <v>0.8</v>
      </c>
      <c r="BU81" s="216">
        <v>0.8</v>
      </c>
      <c r="BV81" s="216">
        <v>0.8</v>
      </c>
      <c r="BW81" s="216">
        <v>0.8</v>
      </c>
      <c r="BX81" s="216">
        <v>0.8</v>
      </c>
      <c r="BY81" s="216">
        <v>0.8</v>
      </c>
      <c r="BZ81" s="216">
        <v>0.8</v>
      </c>
      <c r="CA81" s="216">
        <v>0.8</v>
      </c>
      <c r="CB81" s="216">
        <v>0.5</v>
      </c>
      <c r="CC81" s="216">
        <v>0.5</v>
      </c>
      <c r="CD81" s="216">
        <v>0.8</v>
      </c>
      <c r="CE81" s="216">
        <v>0.8</v>
      </c>
      <c r="CF81" s="216">
        <v>0.8</v>
      </c>
      <c r="CG81" s="216">
        <v>0.8</v>
      </c>
      <c r="CH81" s="216">
        <v>0.5</v>
      </c>
      <c r="CI81" s="216">
        <v>0</v>
      </c>
      <c r="CJ81" s="216">
        <v>0</v>
      </c>
      <c r="CK81" s="216">
        <v>0</v>
      </c>
      <c r="CL81" s="216">
        <v>0</v>
      </c>
      <c r="CM81" s="216">
        <v>0</v>
      </c>
    </row>
    <row r="82" spans="1:91" s="216" customFormat="1" ht="15" customHeight="1" x14ac:dyDescent="0.5">
      <c r="A82" s="246" t="s">
        <v>281</v>
      </c>
      <c r="B82" s="216">
        <v>0</v>
      </c>
      <c r="C82" s="216">
        <v>0</v>
      </c>
      <c r="D82" s="216">
        <v>0.8</v>
      </c>
      <c r="E82" s="216">
        <v>0.8</v>
      </c>
      <c r="F82" s="216">
        <v>0.8</v>
      </c>
      <c r="G82" s="216">
        <v>0.8</v>
      </c>
      <c r="H82" s="216">
        <v>0.8</v>
      </c>
      <c r="I82" s="216">
        <v>0.8</v>
      </c>
      <c r="J82" s="216">
        <v>0.8</v>
      </c>
      <c r="K82" s="216">
        <v>0.8</v>
      </c>
      <c r="L82" s="216">
        <v>0.8</v>
      </c>
      <c r="M82" s="216">
        <v>0.8</v>
      </c>
      <c r="N82" s="216">
        <v>0.5</v>
      </c>
      <c r="O82" s="216">
        <v>0.8</v>
      </c>
      <c r="P82" s="216">
        <v>0.8</v>
      </c>
      <c r="Q82" s="216">
        <v>0.8</v>
      </c>
      <c r="R82" s="216">
        <v>0.5</v>
      </c>
      <c r="S82" s="216">
        <v>0.5</v>
      </c>
      <c r="T82" s="216">
        <v>0.5</v>
      </c>
      <c r="U82" s="216">
        <v>0.5</v>
      </c>
      <c r="V82" s="216">
        <v>0.5</v>
      </c>
      <c r="W82" s="216">
        <v>0.5</v>
      </c>
      <c r="X82" s="216">
        <v>0.5</v>
      </c>
      <c r="Y82" s="216">
        <v>0.5</v>
      </c>
      <c r="Z82" s="216">
        <v>0.1</v>
      </c>
      <c r="AA82" s="216">
        <v>0.1</v>
      </c>
      <c r="AB82" s="216">
        <v>0.1</v>
      </c>
      <c r="AC82" s="216">
        <v>0.1</v>
      </c>
      <c r="AD82" s="216">
        <v>0.1</v>
      </c>
      <c r="AE82" s="216">
        <v>0.1</v>
      </c>
      <c r="AF82" s="216">
        <v>0.1</v>
      </c>
      <c r="AG82" s="216">
        <v>0.5</v>
      </c>
      <c r="AH82" s="216">
        <v>0.5</v>
      </c>
      <c r="AI82" s="216">
        <v>0.5</v>
      </c>
      <c r="AJ82" s="216">
        <v>0.5</v>
      </c>
      <c r="AK82" s="216">
        <v>0.5</v>
      </c>
      <c r="AL82" s="216">
        <v>0.5</v>
      </c>
      <c r="AM82" s="216">
        <v>0.5</v>
      </c>
      <c r="AN82" s="216">
        <v>0.5</v>
      </c>
      <c r="AO82" s="216">
        <v>0.5</v>
      </c>
      <c r="AP82" s="216">
        <v>0.5</v>
      </c>
      <c r="AQ82" s="216">
        <v>0.5</v>
      </c>
      <c r="AR82" s="216">
        <v>0.5</v>
      </c>
      <c r="AS82" s="216">
        <v>0.8</v>
      </c>
      <c r="AT82" s="216">
        <v>0.5</v>
      </c>
      <c r="AU82" s="216">
        <v>0.5</v>
      </c>
      <c r="AV82" s="216">
        <v>0.8</v>
      </c>
      <c r="AW82" s="216">
        <v>0.5</v>
      </c>
      <c r="AX82" s="216">
        <v>0.8</v>
      </c>
      <c r="AY82" s="216">
        <v>0.8</v>
      </c>
      <c r="AZ82" s="216">
        <v>0.8</v>
      </c>
      <c r="BA82" s="216">
        <v>0.8</v>
      </c>
      <c r="BB82" s="216">
        <v>0.5</v>
      </c>
      <c r="BC82" s="216">
        <v>0.8</v>
      </c>
      <c r="BD82" s="216">
        <v>0.8</v>
      </c>
      <c r="BE82" s="216">
        <v>0.8</v>
      </c>
      <c r="BF82" s="216">
        <v>0.8</v>
      </c>
      <c r="BG82" s="216">
        <v>0.8</v>
      </c>
      <c r="BH82" s="216">
        <v>0.8</v>
      </c>
      <c r="BI82" s="216">
        <v>0.8</v>
      </c>
      <c r="BJ82" s="216">
        <v>0.8</v>
      </c>
      <c r="BK82" s="216">
        <v>0.8</v>
      </c>
      <c r="BL82" s="216">
        <v>0.8</v>
      </c>
      <c r="BM82" s="216">
        <v>0.8</v>
      </c>
      <c r="BN82" s="216">
        <v>0.8</v>
      </c>
      <c r="BO82" s="216">
        <v>0.8</v>
      </c>
      <c r="BP82" s="216">
        <v>0.8</v>
      </c>
      <c r="BQ82" s="216">
        <v>0.8</v>
      </c>
      <c r="BR82" s="216">
        <v>0.8</v>
      </c>
      <c r="BS82" s="216">
        <v>0.8</v>
      </c>
      <c r="BT82" s="216">
        <v>0.8</v>
      </c>
      <c r="BU82" s="216">
        <v>0.8</v>
      </c>
      <c r="BV82" s="216">
        <v>0.8</v>
      </c>
      <c r="BW82" s="216">
        <v>0.8</v>
      </c>
      <c r="BX82" s="216">
        <v>0.8</v>
      </c>
      <c r="BY82" s="216">
        <v>0.8</v>
      </c>
      <c r="BZ82" s="216">
        <v>0.8</v>
      </c>
      <c r="CA82" s="216">
        <v>0.8</v>
      </c>
      <c r="CB82" s="216">
        <v>0.5</v>
      </c>
      <c r="CC82" s="216">
        <v>0.5</v>
      </c>
      <c r="CD82" s="216">
        <v>0.8</v>
      </c>
      <c r="CE82" s="216">
        <v>0.8</v>
      </c>
      <c r="CF82" s="216">
        <v>0.8</v>
      </c>
      <c r="CG82" s="216">
        <v>0.8</v>
      </c>
      <c r="CH82" s="216">
        <v>0.5</v>
      </c>
      <c r="CI82" s="216">
        <v>0</v>
      </c>
      <c r="CJ82" s="216">
        <v>0</v>
      </c>
      <c r="CK82" s="216">
        <v>0</v>
      </c>
      <c r="CL82" s="216">
        <v>0</v>
      </c>
      <c r="CM82" s="216">
        <v>0</v>
      </c>
    </row>
    <row r="83" spans="1:91" s="216" customFormat="1" ht="15" customHeight="1" x14ac:dyDescent="0.5">
      <c r="A83" s="245" t="s">
        <v>248</v>
      </c>
      <c r="B83" s="216">
        <v>0</v>
      </c>
      <c r="C83" s="216">
        <v>0</v>
      </c>
      <c r="D83" s="216">
        <v>0.8</v>
      </c>
      <c r="E83" s="216">
        <v>0.8</v>
      </c>
      <c r="F83" s="216">
        <v>0.8</v>
      </c>
      <c r="G83" s="216">
        <v>0.8</v>
      </c>
      <c r="H83" s="216">
        <v>0.8</v>
      </c>
      <c r="I83" s="216">
        <v>0.8</v>
      </c>
      <c r="J83" s="216">
        <v>0.8</v>
      </c>
      <c r="K83" s="216">
        <v>0.8</v>
      </c>
      <c r="L83" s="216">
        <v>0.8</v>
      </c>
      <c r="M83" s="216">
        <v>0.8</v>
      </c>
      <c r="N83" s="216">
        <v>0.5</v>
      </c>
      <c r="O83" s="216">
        <v>0.8</v>
      </c>
      <c r="P83" s="216">
        <v>0.8</v>
      </c>
      <c r="Q83" s="216">
        <v>0.8</v>
      </c>
      <c r="R83" s="216">
        <v>0.5</v>
      </c>
      <c r="S83" s="216">
        <v>0.5</v>
      </c>
      <c r="T83" s="216">
        <v>0.5</v>
      </c>
      <c r="U83" s="216">
        <v>0.5</v>
      </c>
      <c r="V83" s="216">
        <v>0.5</v>
      </c>
      <c r="W83" s="216">
        <v>0.5</v>
      </c>
      <c r="X83" s="216">
        <v>0.5</v>
      </c>
      <c r="Y83" s="216">
        <v>0.5</v>
      </c>
      <c r="Z83" s="216">
        <v>0.1</v>
      </c>
      <c r="AA83" s="216">
        <v>0.1</v>
      </c>
      <c r="AB83" s="216">
        <v>0.1</v>
      </c>
      <c r="AC83" s="216">
        <v>0.1</v>
      </c>
      <c r="AD83" s="216">
        <v>0.1</v>
      </c>
      <c r="AE83" s="216">
        <v>0.1</v>
      </c>
      <c r="AF83" s="216">
        <v>0.1</v>
      </c>
      <c r="AG83" s="216">
        <v>0.5</v>
      </c>
      <c r="AH83" s="216">
        <v>0.5</v>
      </c>
      <c r="AI83" s="216">
        <v>0.5</v>
      </c>
      <c r="AJ83" s="216">
        <v>0.5</v>
      </c>
      <c r="AK83" s="216">
        <v>0.5</v>
      </c>
      <c r="AL83" s="216">
        <v>0.5</v>
      </c>
      <c r="AM83" s="216">
        <v>0.5</v>
      </c>
      <c r="AN83" s="216">
        <v>0.5</v>
      </c>
      <c r="AO83" s="216">
        <v>0.5</v>
      </c>
      <c r="AP83" s="216">
        <v>0.5</v>
      </c>
      <c r="AQ83" s="216">
        <v>0.5</v>
      </c>
      <c r="AR83" s="216">
        <v>0.5</v>
      </c>
      <c r="AS83" s="216">
        <v>0.8</v>
      </c>
      <c r="AT83" s="216">
        <v>0.5</v>
      </c>
      <c r="AU83" s="216">
        <v>0.5</v>
      </c>
      <c r="AV83" s="216">
        <v>0.8</v>
      </c>
      <c r="AW83" s="216">
        <v>0.5</v>
      </c>
      <c r="AX83" s="216">
        <v>0.8</v>
      </c>
      <c r="AY83" s="216">
        <v>0.8</v>
      </c>
      <c r="AZ83" s="216">
        <v>0.8</v>
      </c>
      <c r="BA83" s="216">
        <v>0.8</v>
      </c>
      <c r="BB83" s="216">
        <v>0.5</v>
      </c>
      <c r="BC83" s="216">
        <v>0.8</v>
      </c>
      <c r="BD83" s="216">
        <v>0.8</v>
      </c>
      <c r="BE83" s="216">
        <v>0.8</v>
      </c>
      <c r="BF83" s="216">
        <v>0.8</v>
      </c>
      <c r="BG83" s="216">
        <v>0.8</v>
      </c>
      <c r="BH83" s="216">
        <v>0.8</v>
      </c>
      <c r="BI83" s="216">
        <v>0.8</v>
      </c>
      <c r="BJ83" s="216">
        <v>0.8</v>
      </c>
      <c r="BK83" s="216">
        <v>0.8</v>
      </c>
      <c r="BL83" s="216">
        <v>0.8</v>
      </c>
      <c r="BM83" s="216">
        <v>0.8</v>
      </c>
      <c r="BN83" s="216">
        <v>0.8</v>
      </c>
      <c r="BO83" s="216">
        <v>0.8</v>
      </c>
      <c r="BP83" s="216">
        <v>0.8</v>
      </c>
      <c r="BQ83" s="216">
        <v>0.8</v>
      </c>
      <c r="BR83" s="216">
        <v>0.8</v>
      </c>
      <c r="BS83" s="216">
        <v>0.8</v>
      </c>
      <c r="BT83" s="216">
        <v>0.8</v>
      </c>
      <c r="BU83" s="216">
        <v>0.8</v>
      </c>
      <c r="BV83" s="216">
        <v>0.8</v>
      </c>
      <c r="BW83" s="216">
        <v>0.8</v>
      </c>
      <c r="BX83" s="216">
        <v>0.8</v>
      </c>
      <c r="BY83" s="216">
        <v>0.8</v>
      </c>
      <c r="BZ83" s="216">
        <v>0.8</v>
      </c>
      <c r="CA83" s="216">
        <v>0.8</v>
      </c>
      <c r="CB83" s="216">
        <v>0.5</v>
      </c>
      <c r="CC83" s="216">
        <v>0.5</v>
      </c>
      <c r="CD83" s="216">
        <v>0.8</v>
      </c>
      <c r="CE83" s="216">
        <v>0.8</v>
      </c>
      <c r="CF83" s="216">
        <v>0.8</v>
      </c>
      <c r="CG83" s="216">
        <v>0.8</v>
      </c>
      <c r="CH83" s="216">
        <v>0.5</v>
      </c>
      <c r="CI83" s="216">
        <v>0</v>
      </c>
      <c r="CJ83" s="216">
        <v>0</v>
      </c>
      <c r="CK83" s="216">
        <v>0</v>
      </c>
      <c r="CL83" s="216">
        <v>0</v>
      </c>
      <c r="CM83" s="216">
        <v>0</v>
      </c>
    </row>
    <row r="84" spans="1:91" s="216" customFormat="1" ht="15" customHeight="1" x14ac:dyDescent="0.5">
      <c r="A84" s="245" t="s">
        <v>249</v>
      </c>
      <c r="B84" s="216">
        <v>0</v>
      </c>
      <c r="C84" s="216">
        <v>0</v>
      </c>
      <c r="D84" s="216">
        <v>0.8</v>
      </c>
      <c r="E84" s="216">
        <v>0.8</v>
      </c>
      <c r="F84" s="216">
        <v>0.8</v>
      </c>
      <c r="G84" s="216">
        <v>0.8</v>
      </c>
      <c r="H84" s="216">
        <v>0.8</v>
      </c>
      <c r="I84" s="216">
        <v>0.8</v>
      </c>
      <c r="J84" s="216">
        <v>0.8</v>
      </c>
      <c r="K84" s="216">
        <v>0.8</v>
      </c>
      <c r="L84" s="216">
        <v>0.8</v>
      </c>
      <c r="M84" s="216">
        <v>0.8</v>
      </c>
      <c r="N84" s="216">
        <v>0.5</v>
      </c>
      <c r="O84" s="216">
        <v>0.8</v>
      </c>
      <c r="P84" s="216">
        <v>0.8</v>
      </c>
      <c r="Q84" s="216">
        <v>0.8</v>
      </c>
      <c r="R84" s="216">
        <v>0.5</v>
      </c>
      <c r="S84" s="216">
        <v>0.5</v>
      </c>
      <c r="T84" s="216">
        <v>0.5</v>
      </c>
      <c r="U84" s="216">
        <v>0.5</v>
      </c>
      <c r="V84" s="216">
        <v>0.5</v>
      </c>
      <c r="W84" s="216">
        <v>0.5</v>
      </c>
      <c r="X84" s="216">
        <v>0.5</v>
      </c>
      <c r="Y84" s="216">
        <v>0.5</v>
      </c>
      <c r="Z84" s="216">
        <v>0.1</v>
      </c>
      <c r="AA84" s="216">
        <v>0.1</v>
      </c>
      <c r="AB84" s="216">
        <v>0.1</v>
      </c>
      <c r="AC84" s="216">
        <v>0.1</v>
      </c>
      <c r="AD84" s="216">
        <v>0.1</v>
      </c>
      <c r="AE84" s="216">
        <v>0.1</v>
      </c>
      <c r="AF84" s="216">
        <v>0.1</v>
      </c>
      <c r="AG84" s="216">
        <v>0.5</v>
      </c>
      <c r="AH84" s="216">
        <v>0.5</v>
      </c>
      <c r="AI84" s="216">
        <v>0.5</v>
      </c>
      <c r="AJ84" s="216">
        <v>0.5</v>
      </c>
      <c r="AK84" s="216">
        <v>0.5</v>
      </c>
      <c r="AL84" s="216">
        <v>0.5</v>
      </c>
      <c r="AM84" s="216">
        <v>0.5</v>
      </c>
      <c r="AN84" s="216">
        <v>0.5</v>
      </c>
      <c r="AO84" s="216">
        <v>0.5</v>
      </c>
      <c r="AP84" s="216">
        <v>0.5</v>
      </c>
      <c r="AQ84" s="216">
        <v>0.5</v>
      </c>
      <c r="AR84" s="216">
        <v>0.5</v>
      </c>
      <c r="AS84" s="216">
        <v>0.8</v>
      </c>
      <c r="AT84" s="216">
        <v>0.5</v>
      </c>
      <c r="AU84" s="216">
        <v>0.5</v>
      </c>
      <c r="AV84" s="216">
        <v>0.8</v>
      </c>
      <c r="AW84" s="216">
        <v>0.5</v>
      </c>
      <c r="AX84" s="216">
        <v>0.8</v>
      </c>
      <c r="AY84" s="216">
        <v>0.8</v>
      </c>
      <c r="AZ84" s="216">
        <v>0.8</v>
      </c>
      <c r="BA84" s="216">
        <v>0.8</v>
      </c>
      <c r="BB84" s="216">
        <v>0.5</v>
      </c>
      <c r="BC84" s="216">
        <v>0.8</v>
      </c>
      <c r="BD84" s="216">
        <v>0.8</v>
      </c>
      <c r="BE84" s="216">
        <v>0.8</v>
      </c>
      <c r="BF84" s="216">
        <v>0.8</v>
      </c>
      <c r="BG84" s="216">
        <v>0.8</v>
      </c>
      <c r="BH84" s="216">
        <v>0.8</v>
      </c>
      <c r="BI84" s="216">
        <v>0.8</v>
      </c>
      <c r="BJ84" s="216">
        <v>0.8</v>
      </c>
      <c r="BK84" s="216">
        <v>0.8</v>
      </c>
      <c r="BL84" s="216">
        <v>0.8</v>
      </c>
      <c r="BM84" s="216">
        <v>0.8</v>
      </c>
      <c r="BN84" s="216">
        <v>0.8</v>
      </c>
      <c r="BO84" s="216">
        <v>0.8</v>
      </c>
      <c r="BP84" s="216">
        <v>0.8</v>
      </c>
      <c r="BQ84" s="216">
        <v>0.8</v>
      </c>
      <c r="BR84" s="216">
        <v>0.8</v>
      </c>
      <c r="BS84" s="216">
        <v>0.8</v>
      </c>
      <c r="BT84" s="216">
        <v>0.8</v>
      </c>
      <c r="BU84" s="216">
        <v>0.8</v>
      </c>
      <c r="BV84" s="216">
        <v>0.8</v>
      </c>
      <c r="BW84" s="216">
        <v>0.8</v>
      </c>
      <c r="BX84" s="216">
        <v>0.8</v>
      </c>
      <c r="BY84" s="216">
        <v>0.8</v>
      </c>
      <c r="BZ84" s="216">
        <v>0.8</v>
      </c>
      <c r="CA84" s="216">
        <v>0.8</v>
      </c>
      <c r="CB84" s="216">
        <v>0.5</v>
      </c>
      <c r="CC84" s="216">
        <v>0.5</v>
      </c>
      <c r="CD84" s="216">
        <v>0.8</v>
      </c>
      <c r="CE84" s="216">
        <v>0.8</v>
      </c>
      <c r="CF84" s="216">
        <v>0.8</v>
      </c>
      <c r="CG84" s="216">
        <v>0.8</v>
      </c>
      <c r="CH84" s="216">
        <v>0.5</v>
      </c>
      <c r="CI84" s="216">
        <v>0</v>
      </c>
      <c r="CJ84" s="216">
        <v>0</v>
      </c>
      <c r="CK84" s="216">
        <v>0</v>
      </c>
      <c r="CL84" s="216">
        <v>0</v>
      </c>
      <c r="CM84" s="216">
        <v>0</v>
      </c>
    </row>
    <row r="85" spans="1:91" s="216" customFormat="1" ht="15" customHeight="1" x14ac:dyDescent="0.5">
      <c r="A85" s="246" t="s">
        <v>282</v>
      </c>
      <c r="B85" s="216">
        <v>0</v>
      </c>
      <c r="C85" s="216">
        <v>0</v>
      </c>
      <c r="D85" s="216">
        <v>0.8</v>
      </c>
      <c r="E85" s="216">
        <v>0.8</v>
      </c>
      <c r="F85" s="216">
        <v>0.8</v>
      </c>
      <c r="G85" s="216">
        <v>0.8</v>
      </c>
      <c r="H85" s="216">
        <v>0.8</v>
      </c>
      <c r="I85" s="216">
        <v>0.8</v>
      </c>
      <c r="J85" s="216">
        <v>0.8</v>
      </c>
      <c r="K85" s="216">
        <v>0.8</v>
      </c>
      <c r="L85" s="216">
        <v>0.8</v>
      </c>
      <c r="M85" s="216">
        <v>0.8</v>
      </c>
      <c r="N85" s="216">
        <v>0.5</v>
      </c>
      <c r="O85" s="216">
        <v>0.8</v>
      </c>
      <c r="P85" s="216">
        <v>0.8</v>
      </c>
      <c r="Q85" s="216">
        <v>0.8</v>
      </c>
      <c r="R85" s="216">
        <v>0.5</v>
      </c>
      <c r="S85" s="216">
        <v>0.5</v>
      </c>
      <c r="T85" s="216">
        <v>0.5</v>
      </c>
      <c r="U85" s="216">
        <v>0.5</v>
      </c>
      <c r="V85" s="216">
        <v>0.5</v>
      </c>
      <c r="W85" s="216">
        <v>0.5</v>
      </c>
      <c r="X85" s="216">
        <v>0.5</v>
      </c>
      <c r="Y85" s="216">
        <v>0.5</v>
      </c>
      <c r="Z85" s="216">
        <v>0.1</v>
      </c>
      <c r="AA85" s="216">
        <v>0.1</v>
      </c>
      <c r="AB85" s="216">
        <v>0.1</v>
      </c>
      <c r="AC85" s="216">
        <v>0.1</v>
      </c>
      <c r="AD85" s="216">
        <v>0.1</v>
      </c>
      <c r="AE85" s="216">
        <v>0.1</v>
      </c>
      <c r="AF85" s="216">
        <v>0.1</v>
      </c>
      <c r="AG85" s="216">
        <v>0.5</v>
      </c>
      <c r="AH85" s="216">
        <v>0.5</v>
      </c>
      <c r="AI85" s="216">
        <v>0.5</v>
      </c>
      <c r="AJ85" s="216">
        <v>0.5</v>
      </c>
      <c r="AK85" s="216">
        <v>0.5</v>
      </c>
      <c r="AL85" s="216">
        <v>0.5</v>
      </c>
      <c r="AM85" s="216">
        <v>0.5</v>
      </c>
      <c r="AN85" s="216">
        <v>0.5</v>
      </c>
      <c r="AO85" s="216">
        <v>0.5</v>
      </c>
      <c r="AP85" s="216">
        <v>0.5</v>
      </c>
      <c r="AQ85" s="216">
        <v>0.5</v>
      </c>
      <c r="AR85" s="216">
        <v>0.5</v>
      </c>
      <c r="AS85" s="216">
        <v>0.8</v>
      </c>
      <c r="AT85" s="216">
        <v>0.5</v>
      </c>
      <c r="AU85" s="216">
        <v>0.5</v>
      </c>
      <c r="AV85" s="216">
        <v>0.8</v>
      </c>
      <c r="AW85" s="216">
        <v>0.5</v>
      </c>
      <c r="AX85" s="216">
        <v>0.8</v>
      </c>
      <c r="AY85" s="216">
        <v>0.8</v>
      </c>
      <c r="AZ85" s="216">
        <v>0.8</v>
      </c>
      <c r="BA85" s="216">
        <v>0.8</v>
      </c>
      <c r="BB85" s="216">
        <v>0.5</v>
      </c>
      <c r="BC85" s="216">
        <v>0.8</v>
      </c>
      <c r="BD85" s="216">
        <v>0.8</v>
      </c>
      <c r="BE85" s="216">
        <v>0.8</v>
      </c>
      <c r="BF85" s="216">
        <v>0.8</v>
      </c>
      <c r="BG85" s="216">
        <v>0.8</v>
      </c>
      <c r="BH85" s="216">
        <v>0.8</v>
      </c>
      <c r="BI85" s="216">
        <v>0.8</v>
      </c>
      <c r="BJ85" s="216">
        <v>0.8</v>
      </c>
      <c r="BK85" s="216">
        <v>0.8</v>
      </c>
      <c r="BL85" s="216">
        <v>0.8</v>
      </c>
      <c r="BM85" s="216">
        <v>0.8</v>
      </c>
      <c r="BN85" s="216">
        <v>0.8</v>
      </c>
      <c r="BO85" s="216">
        <v>0.8</v>
      </c>
      <c r="BP85" s="216">
        <v>0.8</v>
      </c>
      <c r="BQ85" s="216">
        <v>0.8</v>
      </c>
      <c r="BR85" s="216">
        <v>0.8</v>
      </c>
      <c r="BS85" s="216">
        <v>0.8</v>
      </c>
      <c r="BT85" s="216">
        <v>0.8</v>
      </c>
      <c r="BU85" s="216">
        <v>0.8</v>
      </c>
      <c r="BV85" s="216">
        <v>0.8</v>
      </c>
      <c r="BW85" s="216">
        <v>0.8</v>
      </c>
      <c r="BX85" s="216">
        <v>0.8</v>
      </c>
      <c r="BY85" s="216">
        <v>0.8</v>
      </c>
      <c r="BZ85" s="216">
        <v>0.8</v>
      </c>
      <c r="CA85" s="216">
        <v>0.8</v>
      </c>
      <c r="CB85" s="216">
        <v>0.5</v>
      </c>
      <c r="CC85" s="216">
        <v>0.5</v>
      </c>
      <c r="CD85" s="216">
        <v>0.8</v>
      </c>
      <c r="CE85" s="216">
        <v>0.8</v>
      </c>
      <c r="CF85" s="216">
        <v>0.8</v>
      </c>
      <c r="CG85" s="216">
        <v>0.8</v>
      </c>
      <c r="CH85" s="216">
        <v>0.5</v>
      </c>
      <c r="CI85" s="216">
        <v>0</v>
      </c>
      <c r="CJ85" s="216">
        <v>0</v>
      </c>
      <c r="CK85" s="216">
        <v>0</v>
      </c>
      <c r="CL85" s="216">
        <v>0</v>
      </c>
      <c r="CM85" s="216">
        <v>0</v>
      </c>
    </row>
    <row r="86" spans="1:91" s="216" customFormat="1" ht="15" customHeight="1" x14ac:dyDescent="0.5">
      <c r="A86" s="246" t="s">
        <v>283</v>
      </c>
      <c r="B86" s="216">
        <v>0</v>
      </c>
      <c r="C86" s="216">
        <v>0</v>
      </c>
      <c r="D86" s="216">
        <v>0.8</v>
      </c>
      <c r="E86" s="216">
        <v>0.8</v>
      </c>
      <c r="F86" s="216">
        <v>0.8</v>
      </c>
      <c r="G86" s="216">
        <v>0.8</v>
      </c>
      <c r="H86" s="216">
        <v>0.8</v>
      </c>
      <c r="I86" s="216">
        <v>0.8</v>
      </c>
      <c r="J86" s="216">
        <v>0.8</v>
      </c>
      <c r="K86" s="216">
        <v>0.8</v>
      </c>
      <c r="L86" s="216">
        <v>0.8</v>
      </c>
      <c r="M86" s="216">
        <v>0.8</v>
      </c>
      <c r="N86" s="216">
        <v>0.5</v>
      </c>
      <c r="O86" s="216">
        <v>0.8</v>
      </c>
      <c r="P86" s="216">
        <v>0.8</v>
      </c>
      <c r="Q86" s="216">
        <v>0.8</v>
      </c>
      <c r="R86" s="216">
        <v>0.5</v>
      </c>
      <c r="S86" s="216">
        <v>0.5</v>
      </c>
      <c r="T86" s="216">
        <v>0.5</v>
      </c>
      <c r="U86" s="216">
        <v>0.5</v>
      </c>
      <c r="V86" s="216">
        <v>0.5</v>
      </c>
      <c r="W86" s="216">
        <v>0.5</v>
      </c>
      <c r="X86" s="216">
        <v>0.5</v>
      </c>
      <c r="Y86" s="216">
        <v>0.5</v>
      </c>
      <c r="Z86" s="216">
        <v>0.1</v>
      </c>
      <c r="AA86" s="216">
        <v>0.1</v>
      </c>
      <c r="AB86" s="216">
        <v>0.1</v>
      </c>
      <c r="AC86" s="216">
        <v>0.1</v>
      </c>
      <c r="AD86" s="216">
        <v>0.1</v>
      </c>
      <c r="AE86" s="216">
        <v>0.1</v>
      </c>
      <c r="AF86" s="216">
        <v>0.1</v>
      </c>
      <c r="AG86" s="216">
        <v>0.5</v>
      </c>
      <c r="AH86" s="216">
        <v>0.5</v>
      </c>
      <c r="AI86" s="216">
        <v>0.5</v>
      </c>
      <c r="AJ86" s="216">
        <v>0.5</v>
      </c>
      <c r="AK86" s="216">
        <v>0.5</v>
      </c>
      <c r="AL86" s="216">
        <v>0.5</v>
      </c>
      <c r="AM86" s="216">
        <v>0.5</v>
      </c>
      <c r="AN86" s="216">
        <v>0.5</v>
      </c>
      <c r="AO86" s="216">
        <v>0.5</v>
      </c>
      <c r="AP86" s="216">
        <v>0.5</v>
      </c>
      <c r="AQ86" s="216">
        <v>0.5</v>
      </c>
      <c r="AR86" s="216">
        <v>0.5</v>
      </c>
      <c r="AS86" s="216">
        <v>0.8</v>
      </c>
      <c r="AT86" s="216">
        <v>0.5</v>
      </c>
      <c r="AU86" s="216">
        <v>0.5</v>
      </c>
      <c r="AV86" s="216">
        <v>0.8</v>
      </c>
      <c r="AW86" s="216">
        <v>0.5</v>
      </c>
      <c r="AX86" s="216">
        <v>0.8</v>
      </c>
      <c r="AY86" s="216">
        <v>0.8</v>
      </c>
      <c r="AZ86" s="216">
        <v>0.8</v>
      </c>
      <c r="BA86" s="216">
        <v>0.8</v>
      </c>
      <c r="BB86" s="216">
        <v>0.5</v>
      </c>
      <c r="BC86" s="216">
        <v>0.8</v>
      </c>
      <c r="BD86" s="216">
        <v>0.8</v>
      </c>
      <c r="BE86" s="216">
        <v>0.8</v>
      </c>
      <c r="BF86" s="216">
        <v>0.8</v>
      </c>
      <c r="BG86" s="216">
        <v>0.8</v>
      </c>
      <c r="BH86" s="216">
        <v>0.8</v>
      </c>
      <c r="BI86" s="216">
        <v>0.8</v>
      </c>
      <c r="BJ86" s="216">
        <v>0.8</v>
      </c>
      <c r="BK86" s="216">
        <v>0.8</v>
      </c>
      <c r="BL86" s="216">
        <v>0.8</v>
      </c>
      <c r="BM86" s="216">
        <v>0.8</v>
      </c>
      <c r="BN86" s="216">
        <v>0.8</v>
      </c>
      <c r="BO86" s="216">
        <v>0.8</v>
      </c>
      <c r="BP86" s="216">
        <v>0.8</v>
      </c>
      <c r="BQ86" s="216">
        <v>0.8</v>
      </c>
      <c r="BR86" s="216">
        <v>0.8</v>
      </c>
      <c r="BS86" s="216">
        <v>0.8</v>
      </c>
      <c r="BT86" s="216">
        <v>0.8</v>
      </c>
      <c r="BU86" s="216">
        <v>0.8</v>
      </c>
      <c r="BV86" s="216">
        <v>0.8</v>
      </c>
      <c r="BW86" s="216">
        <v>0.8</v>
      </c>
      <c r="BX86" s="216">
        <v>0.8</v>
      </c>
      <c r="BY86" s="216">
        <v>0.8</v>
      </c>
      <c r="BZ86" s="216">
        <v>0.8</v>
      </c>
      <c r="CA86" s="216">
        <v>0.8</v>
      </c>
      <c r="CB86" s="216">
        <v>0.5</v>
      </c>
      <c r="CC86" s="216">
        <v>0.5</v>
      </c>
      <c r="CD86" s="216">
        <v>0.8</v>
      </c>
      <c r="CE86" s="216">
        <v>0.8</v>
      </c>
      <c r="CF86" s="216">
        <v>0.8</v>
      </c>
      <c r="CG86" s="216">
        <v>0.8</v>
      </c>
      <c r="CH86" s="216">
        <v>0.5</v>
      </c>
      <c r="CI86" s="216">
        <v>0</v>
      </c>
      <c r="CJ86" s="216">
        <v>0</v>
      </c>
      <c r="CK86" s="216">
        <v>0</v>
      </c>
      <c r="CL86" s="216">
        <v>0</v>
      </c>
      <c r="CM86" s="216">
        <v>0</v>
      </c>
    </row>
    <row r="87" spans="1:91" s="216" customFormat="1" ht="15" customHeight="1" x14ac:dyDescent="0.5">
      <c r="A87" s="245" t="s">
        <v>250</v>
      </c>
      <c r="B87" s="216">
        <v>0</v>
      </c>
      <c r="C87" s="216">
        <v>0</v>
      </c>
      <c r="D87" s="216">
        <v>0.8</v>
      </c>
      <c r="E87" s="216">
        <v>0.8</v>
      </c>
      <c r="F87" s="216">
        <v>0.8</v>
      </c>
      <c r="G87" s="216">
        <v>0.8</v>
      </c>
      <c r="H87" s="216">
        <v>0.8</v>
      </c>
      <c r="I87" s="216">
        <v>0.8</v>
      </c>
      <c r="J87" s="216">
        <v>0.8</v>
      </c>
      <c r="K87" s="216">
        <v>0.8</v>
      </c>
      <c r="L87" s="216">
        <v>0.8</v>
      </c>
      <c r="M87" s="216">
        <v>0.8</v>
      </c>
      <c r="N87" s="216">
        <v>0.5</v>
      </c>
      <c r="O87" s="216">
        <v>0.8</v>
      </c>
      <c r="P87" s="216">
        <v>0.8</v>
      </c>
      <c r="Q87" s="216">
        <v>0.8</v>
      </c>
      <c r="R87" s="216">
        <v>0.5</v>
      </c>
      <c r="S87" s="216">
        <v>0.5</v>
      </c>
      <c r="T87" s="216">
        <v>0.5</v>
      </c>
      <c r="U87" s="216">
        <v>0.5</v>
      </c>
      <c r="V87" s="216">
        <v>0.5</v>
      </c>
      <c r="W87" s="216">
        <v>0.5</v>
      </c>
      <c r="X87" s="216">
        <v>0.5</v>
      </c>
      <c r="Y87" s="216">
        <v>0.5</v>
      </c>
      <c r="Z87" s="216">
        <v>0.1</v>
      </c>
      <c r="AA87" s="216">
        <v>0.1</v>
      </c>
      <c r="AB87" s="216">
        <v>0.1</v>
      </c>
      <c r="AC87" s="216">
        <v>0.1</v>
      </c>
      <c r="AD87" s="216">
        <v>0.1</v>
      </c>
      <c r="AE87" s="216">
        <v>0.1</v>
      </c>
      <c r="AF87" s="216">
        <v>0.1</v>
      </c>
      <c r="AG87" s="216">
        <v>0.5</v>
      </c>
      <c r="AH87" s="216">
        <v>0.5</v>
      </c>
      <c r="AI87" s="216">
        <v>0.5</v>
      </c>
      <c r="AJ87" s="216">
        <v>0.5</v>
      </c>
      <c r="AK87" s="216">
        <v>0.5</v>
      </c>
      <c r="AL87" s="216">
        <v>0.5</v>
      </c>
      <c r="AM87" s="216">
        <v>0.5</v>
      </c>
      <c r="AN87" s="216">
        <v>0.5</v>
      </c>
      <c r="AO87" s="216">
        <v>0.5</v>
      </c>
      <c r="AP87" s="216">
        <v>0.5</v>
      </c>
      <c r="AQ87" s="216">
        <v>0.5</v>
      </c>
      <c r="AR87" s="216">
        <v>0.5</v>
      </c>
      <c r="AS87" s="216">
        <v>0.8</v>
      </c>
      <c r="AT87" s="216">
        <v>0.5</v>
      </c>
      <c r="AU87" s="216">
        <v>0.5</v>
      </c>
      <c r="AV87" s="216">
        <v>0.8</v>
      </c>
      <c r="AW87" s="216">
        <v>0.5</v>
      </c>
      <c r="AX87" s="216">
        <v>0.8</v>
      </c>
      <c r="AY87" s="216">
        <v>0.8</v>
      </c>
      <c r="AZ87" s="216">
        <v>0.8</v>
      </c>
      <c r="BA87" s="216">
        <v>0.8</v>
      </c>
      <c r="BB87" s="216">
        <v>0.5</v>
      </c>
      <c r="BC87" s="216">
        <v>0.8</v>
      </c>
      <c r="BD87" s="216">
        <v>0.8</v>
      </c>
      <c r="BE87" s="216">
        <v>0.8</v>
      </c>
      <c r="BF87" s="216">
        <v>0.8</v>
      </c>
      <c r="BG87" s="216">
        <v>0.8</v>
      </c>
      <c r="BH87" s="216">
        <v>0.8</v>
      </c>
      <c r="BI87" s="216">
        <v>0.8</v>
      </c>
      <c r="BJ87" s="216">
        <v>0.8</v>
      </c>
      <c r="BK87" s="216">
        <v>0.8</v>
      </c>
      <c r="BL87" s="216">
        <v>0.8</v>
      </c>
      <c r="BM87" s="216">
        <v>0.8</v>
      </c>
      <c r="BN87" s="216">
        <v>0.8</v>
      </c>
      <c r="BO87" s="216">
        <v>0.8</v>
      </c>
      <c r="BP87" s="216">
        <v>0.8</v>
      </c>
      <c r="BQ87" s="216">
        <v>0.8</v>
      </c>
      <c r="BR87" s="216">
        <v>0.8</v>
      </c>
      <c r="BS87" s="216">
        <v>0.8</v>
      </c>
      <c r="BT87" s="216">
        <v>0.8</v>
      </c>
      <c r="BU87" s="216">
        <v>0.8</v>
      </c>
      <c r="BV87" s="216">
        <v>0.8</v>
      </c>
      <c r="BW87" s="216">
        <v>0.8</v>
      </c>
      <c r="BX87" s="216">
        <v>0.8</v>
      </c>
      <c r="BY87" s="216">
        <v>0.8</v>
      </c>
      <c r="BZ87" s="216">
        <v>0.8</v>
      </c>
      <c r="CA87" s="216">
        <v>0.8</v>
      </c>
      <c r="CB87" s="216">
        <v>0.5</v>
      </c>
      <c r="CC87" s="216">
        <v>0.5</v>
      </c>
      <c r="CD87" s="216">
        <v>0.8</v>
      </c>
      <c r="CE87" s="216">
        <v>0.8</v>
      </c>
      <c r="CF87" s="216">
        <v>0.8</v>
      </c>
      <c r="CG87" s="216">
        <v>0.8</v>
      </c>
      <c r="CH87" s="216">
        <v>0.5</v>
      </c>
      <c r="CI87" s="216">
        <v>0</v>
      </c>
      <c r="CJ87" s="216">
        <v>0</v>
      </c>
      <c r="CK87" s="216">
        <v>0</v>
      </c>
      <c r="CL87" s="216">
        <v>0</v>
      </c>
      <c r="CM87" s="216">
        <v>0</v>
      </c>
    </row>
    <row r="88" spans="1:91" ht="15" x14ac:dyDescent="0.5">
      <c r="A88" s="245" t="s">
        <v>251</v>
      </c>
      <c r="B88" s="216">
        <v>0</v>
      </c>
      <c r="C88" s="216">
        <v>0</v>
      </c>
      <c r="D88" s="216">
        <v>0.8</v>
      </c>
      <c r="E88" s="216">
        <v>0.8</v>
      </c>
      <c r="F88" s="216">
        <v>0.8</v>
      </c>
      <c r="G88" s="216">
        <v>0.8</v>
      </c>
      <c r="H88" s="216">
        <v>0.8</v>
      </c>
      <c r="I88" s="216">
        <v>0.8</v>
      </c>
      <c r="J88" s="216">
        <v>0.8</v>
      </c>
      <c r="K88" s="216">
        <v>0.8</v>
      </c>
      <c r="L88" s="216">
        <v>0.8</v>
      </c>
      <c r="M88" s="216">
        <v>0.8</v>
      </c>
      <c r="N88" s="216">
        <v>0.5</v>
      </c>
      <c r="O88" s="216">
        <v>0.8</v>
      </c>
      <c r="P88" s="216">
        <v>0.8</v>
      </c>
      <c r="Q88" s="216">
        <v>0.8</v>
      </c>
      <c r="R88" s="216">
        <v>0.5</v>
      </c>
      <c r="S88" s="216">
        <v>0.5</v>
      </c>
      <c r="T88" s="216">
        <v>0.5</v>
      </c>
      <c r="U88" s="216">
        <v>0.5</v>
      </c>
      <c r="V88" s="216">
        <v>0.5</v>
      </c>
      <c r="W88" s="216">
        <v>0.5</v>
      </c>
      <c r="X88" s="216">
        <v>0.5</v>
      </c>
      <c r="Y88" s="216">
        <v>0.5</v>
      </c>
      <c r="Z88" s="216">
        <v>0.1</v>
      </c>
      <c r="AA88" s="216">
        <v>0.1</v>
      </c>
      <c r="AB88" s="216">
        <v>0.1</v>
      </c>
      <c r="AC88" s="216">
        <v>0.1</v>
      </c>
      <c r="AD88" s="216">
        <v>0.1</v>
      </c>
      <c r="AE88" s="216">
        <v>0.1</v>
      </c>
      <c r="AF88" s="216">
        <v>0.1</v>
      </c>
      <c r="AG88" s="216">
        <v>0.5</v>
      </c>
      <c r="AH88" s="216">
        <v>0.5</v>
      </c>
      <c r="AI88" s="216">
        <v>0.5</v>
      </c>
      <c r="AJ88" s="216">
        <v>0.5</v>
      </c>
      <c r="AK88" s="216">
        <v>0.5</v>
      </c>
      <c r="AL88" s="216">
        <v>0.5</v>
      </c>
      <c r="AM88" s="216">
        <v>0.5</v>
      </c>
      <c r="AN88" s="216">
        <v>0.5</v>
      </c>
      <c r="AO88" s="216">
        <v>0.5</v>
      </c>
      <c r="AP88" s="216">
        <v>0.5</v>
      </c>
      <c r="AQ88" s="216">
        <v>0.5</v>
      </c>
      <c r="AR88" s="216">
        <v>0.5</v>
      </c>
      <c r="AS88" s="216">
        <v>0.8</v>
      </c>
      <c r="AT88" s="216">
        <v>0.5</v>
      </c>
      <c r="AU88" s="216">
        <v>0.5</v>
      </c>
      <c r="AV88" s="216">
        <v>0.8</v>
      </c>
      <c r="AW88" s="216">
        <v>0.5</v>
      </c>
      <c r="AX88" s="216">
        <v>0.8</v>
      </c>
      <c r="AY88" s="216">
        <v>0.8</v>
      </c>
      <c r="AZ88" s="216">
        <v>0.8</v>
      </c>
      <c r="BA88" s="216">
        <v>0.8</v>
      </c>
      <c r="BB88" s="216">
        <v>0.5</v>
      </c>
      <c r="BC88" s="216">
        <v>0.8</v>
      </c>
      <c r="BD88" s="216">
        <v>0.8</v>
      </c>
      <c r="BE88" s="216">
        <v>0.8</v>
      </c>
      <c r="BF88" s="216">
        <v>0.8</v>
      </c>
      <c r="BG88" s="216">
        <v>0.8</v>
      </c>
      <c r="BH88" s="216">
        <v>0.8</v>
      </c>
      <c r="BI88" s="216">
        <v>0.8</v>
      </c>
      <c r="BJ88" s="216">
        <v>0.8</v>
      </c>
      <c r="BK88" s="216">
        <v>0.8</v>
      </c>
      <c r="BL88" s="216">
        <v>0.8</v>
      </c>
      <c r="BM88" s="216">
        <v>0.8</v>
      </c>
      <c r="BN88" s="216">
        <v>0.8</v>
      </c>
      <c r="BO88" s="216">
        <v>0.8</v>
      </c>
      <c r="BP88" s="216">
        <v>0.8</v>
      </c>
      <c r="BQ88" s="216">
        <v>0.8</v>
      </c>
      <c r="BR88" s="216">
        <v>0.8</v>
      </c>
      <c r="BS88" s="216">
        <v>0.8</v>
      </c>
      <c r="BT88" s="216">
        <v>0.8</v>
      </c>
      <c r="BU88" s="216">
        <v>0.8</v>
      </c>
      <c r="BV88" s="216">
        <v>0.8</v>
      </c>
      <c r="BW88" s="216">
        <v>0.8</v>
      </c>
      <c r="BX88" s="216">
        <v>0.8</v>
      </c>
      <c r="BY88" s="216">
        <v>0.8</v>
      </c>
      <c r="BZ88" s="216">
        <v>0.8</v>
      </c>
      <c r="CA88" s="216">
        <v>0.8</v>
      </c>
      <c r="CB88" s="216">
        <v>0.5</v>
      </c>
      <c r="CC88" s="216">
        <v>0.5</v>
      </c>
      <c r="CD88" s="216">
        <v>0.8</v>
      </c>
      <c r="CE88" s="216">
        <v>0.8</v>
      </c>
      <c r="CF88" s="216">
        <v>0.8</v>
      </c>
      <c r="CG88" s="216">
        <v>0.8</v>
      </c>
      <c r="CH88" s="216">
        <v>0.5</v>
      </c>
      <c r="CI88" s="216">
        <v>0</v>
      </c>
      <c r="CJ88" s="216">
        <v>0</v>
      </c>
      <c r="CK88" s="216">
        <v>0</v>
      </c>
      <c r="CL88" s="216">
        <v>0</v>
      </c>
      <c r="CM88" s="216">
        <v>0</v>
      </c>
    </row>
    <row r="89" spans="1:91" ht="15" customHeight="1" x14ac:dyDescent="0.5">
      <c r="A89" s="245" t="s">
        <v>252</v>
      </c>
      <c r="B89" s="216">
        <v>0</v>
      </c>
      <c r="C89" s="216">
        <v>0</v>
      </c>
      <c r="D89" s="216">
        <v>0.8</v>
      </c>
      <c r="E89" s="216">
        <v>0.8</v>
      </c>
      <c r="F89" s="216">
        <v>0.8</v>
      </c>
      <c r="G89" s="216">
        <v>0.8</v>
      </c>
      <c r="H89" s="216">
        <v>0.8</v>
      </c>
      <c r="I89" s="216">
        <v>0.8</v>
      </c>
      <c r="J89" s="216">
        <v>0.8</v>
      </c>
      <c r="K89" s="216">
        <v>0.8</v>
      </c>
      <c r="L89" s="216">
        <v>0.8</v>
      </c>
      <c r="M89" s="216">
        <v>0.8</v>
      </c>
      <c r="N89" s="216">
        <v>0.5</v>
      </c>
      <c r="O89" s="216">
        <v>0.8</v>
      </c>
      <c r="P89" s="216">
        <v>0.8</v>
      </c>
      <c r="Q89" s="216">
        <v>0.8</v>
      </c>
      <c r="R89" s="216">
        <v>0.5</v>
      </c>
      <c r="S89" s="216">
        <v>0.5</v>
      </c>
      <c r="T89" s="216">
        <v>0.5</v>
      </c>
      <c r="U89" s="216">
        <v>0.5</v>
      </c>
      <c r="V89" s="216">
        <v>0.5</v>
      </c>
      <c r="W89" s="216">
        <v>0.5</v>
      </c>
      <c r="X89" s="216">
        <v>0.5</v>
      </c>
      <c r="Y89" s="216">
        <v>0.5</v>
      </c>
      <c r="Z89" s="216">
        <v>0.1</v>
      </c>
      <c r="AA89" s="216">
        <v>0.1</v>
      </c>
      <c r="AB89" s="216">
        <v>0.1</v>
      </c>
      <c r="AC89" s="216">
        <v>0.1</v>
      </c>
      <c r="AD89" s="216">
        <v>0.1</v>
      </c>
      <c r="AE89" s="216">
        <v>0.1</v>
      </c>
      <c r="AF89" s="216">
        <v>0.1</v>
      </c>
      <c r="AG89" s="216">
        <v>0.5</v>
      </c>
      <c r="AH89" s="216">
        <v>0.5</v>
      </c>
      <c r="AI89" s="216">
        <v>0.5</v>
      </c>
      <c r="AJ89" s="216">
        <v>0.5</v>
      </c>
      <c r="AK89" s="216">
        <v>0.5</v>
      </c>
      <c r="AL89" s="216">
        <v>0.5</v>
      </c>
      <c r="AM89" s="216">
        <v>0.5</v>
      </c>
      <c r="AN89" s="216">
        <v>0.5</v>
      </c>
      <c r="AO89" s="216">
        <v>0.5</v>
      </c>
      <c r="AP89" s="216">
        <v>0.5</v>
      </c>
      <c r="AQ89" s="216">
        <v>0.5</v>
      </c>
      <c r="AR89" s="216">
        <v>0.5</v>
      </c>
      <c r="AS89" s="216">
        <v>0.8</v>
      </c>
      <c r="AT89" s="216">
        <v>0.5</v>
      </c>
      <c r="AU89" s="216">
        <v>0.5</v>
      </c>
      <c r="AV89" s="216">
        <v>0.8</v>
      </c>
      <c r="AW89" s="216">
        <v>0.5</v>
      </c>
      <c r="AX89" s="216">
        <v>0.8</v>
      </c>
      <c r="AY89" s="216">
        <v>0.8</v>
      </c>
      <c r="AZ89" s="216">
        <v>0.8</v>
      </c>
      <c r="BA89" s="216">
        <v>0.8</v>
      </c>
      <c r="BB89" s="216">
        <v>0.5</v>
      </c>
      <c r="BC89" s="216">
        <v>0.8</v>
      </c>
      <c r="BD89" s="216">
        <v>0.8</v>
      </c>
      <c r="BE89" s="216">
        <v>0.8</v>
      </c>
      <c r="BF89" s="216">
        <v>0.8</v>
      </c>
      <c r="BG89" s="216">
        <v>0.8</v>
      </c>
      <c r="BH89" s="216">
        <v>0.8</v>
      </c>
      <c r="BI89" s="216">
        <v>0.8</v>
      </c>
      <c r="BJ89" s="216">
        <v>0.8</v>
      </c>
      <c r="BK89" s="216">
        <v>0.8</v>
      </c>
      <c r="BL89" s="216">
        <v>0.8</v>
      </c>
      <c r="BM89" s="216">
        <v>0.8</v>
      </c>
      <c r="BN89" s="216">
        <v>0.8</v>
      </c>
      <c r="BO89" s="216">
        <v>0.8</v>
      </c>
      <c r="BP89" s="216">
        <v>0.8</v>
      </c>
      <c r="BQ89" s="216">
        <v>0.8</v>
      </c>
      <c r="BR89" s="216">
        <v>0.8</v>
      </c>
      <c r="BS89" s="216">
        <v>0.8</v>
      </c>
      <c r="BT89" s="216">
        <v>0.8</v>
      </c>
      <c r="BU89" s="216">
        <v>0.8</v>
      </c>
      <c r="BV89" s="216">
        <v>0.8</v>
      </c>
      <c r="BW89" s="216">
        <v>0.8</v>
      </c>
      <c r="BX89" s="216">
        <v>0.8</v>
      </c>
      <c r="BY89" s="216">
        <v>0.8</v>
      </c>
      <c r="BZ89" s="216">
        <v>0.8</v>
      </c>
      <c r="CA89" s="216">
        <v>0.8</v>
      </c>
      <c r="CB89" s="216">
        <v>0.5</v>
      </c>
      <c r="CC89" s="216">
        <v>0.5</v>
      </c>
      <c r="CD89" s="216">
        <v>0.8</v>
      </c>
      <c r="CE89" s="216">
        <v>0.8</v>
      </c>
      <c r="CF89" s="216">
        <v>0.8</v>
      </c>
      <c r="CG89" s="216">
        <v>0.8</v>
      </c>
      <c r="CH89" s="216">
        <v>0.5</v>
      </c>
      <c r="CI89" s="216">
        <v>0</v>
      </c>
      <c r="CJ89" s="216">
        <v>0</v>
      </c>
      <c r="CK89" s="216">
        <v>0</v>
      </c>
      <c r="CL89" s="216">
        <v>0</v>
      </c>
      <c r="CM89" s="216">
        <v>0</v>
      </c>
    </row>
    <row r="90" spans="1:91" ht="15" customHeight="1" x14ac:dyDescent="0.5">
      <c r="A90" s="245" t="s">
        <v>253</v>
      </c>
      <c r="B90" s="216">
        <v>0</v>
      </c>
      <c r="C90" s="216">
        <v>0</v>
      </c>
      <c r="D90" s="216">
        <v>0.8</v>
      </c>
      <c r="E90" s="216">
        <v>0.8</v>
      </c>
      <c r="F90" s="216">
        <v>0.8</v>
      </c>
      <c r="G90" s="216">
        <v>0.8</v>
      </c>
      <c r="H90" s="216">
        <v>0.8</v>
      </c>
      <c r="I90" s="216">
        <v>0.8</v>
      </c>
      <c r="J90" s="216">
        <v>0.8</v>
      </c>
      <c r="K90" s="216">
        <v>0.8</v>
      </c>
      <c r="L90" s="216">
        <v>0.8</v>
      </c>
      <c r="M90" s="216">
        <v>0.8</v>
      </c>
      <c r="N90" s="216">
        <v>0.5</v>
      </c>
      <c r="O90" s="216">
        <v>0.8</v>
      </c>
      <c r="P90" s="216">
        <v>0.8</v>
      </c>
      <c r="Q90" s="216">
        <v>0.8</v>
      </c>
      <c r="R90" s="216">
        <v>0.5</v>
      </c>
      <c r="S90" s="216">
        <v>0.5</v>
      </c>
      <c r="T90" s="216">
        <v>0.5</v>
      </c>
      <c r="U90" s="216">
        <v>0.5</v>
      </c>
      <c r="V90" s="216">
        <v>0.5</v>
      </c>
      <c r="W90" s="216">
        <v>0.5</v>
      </c>
      <c r="X90" s="216">
        <v>0.5</v>
      </c>
      <c r="Y90" s="216">
        <v>0.5</v>
      </c>
      <c r="Z90" s="216">
        <v>0.1</v>
      </c>
      <c r="AA90" s="216">
        <v>0.1</v>
      </c>
      <c r="AB90" s="216">
        <v>0.1</v>
      </c>
      <c r="AC90" s="216">
        <v>0.1</v>
      </c>
      <c r="AD90" s="216">
        <v>0.1</v>
      </c>
      <c r="AE90" s="216">
        <v>0.1</v>
      </c>
      <c r="AF90" s="216">
        <v>0.1</v>
      </c>
      <c r="AG90" s="216">
        <v>0.5</v>
      </c>
      <c r="AH90" s="216">
        <v>0.5</v>
      </c>
      <c r="AI90" s="216">
        <v>0.5</v>
      </c>
      <c r="AJ90" s="216">
        <v>0.5</v>
      </c>
      <c r="AK90" s="216">
        <v>0.5</v>
      </c>
      <c r="AL90" s="216">
        <v>0.5</v>
      </c>
      <c r="AM90" s="216">
        <v>0.5</v>
      </c>
      <c r="AN90" s="216">
        <v>0.5</v>
      </c>
      <c r="AO90" s="216">
        <v>0.5</v>
      </c>
      <c r="AP90" s="216">
        <v>0.5</v>
      </c>
      <c r="AQ90" s="216">
        <v>0.5</v>
      </c>
      <c r="AR90" s="216">
        <v>0.5</v>
      </c>
      <c r="AS90" s="216">
        <v>0.8</v>
      </c>
      <c r="AT90" s="216">
        <v>0.5</v>
      </c>
      <c r="AU90" s="216">
        <v>0.5</v>
      </c>
      <c r="AV90" s="216">
        <v>0.8</v>
      </c>
      <c r="AW90" s="216">
        <v>0.5</v>
      </c>
      <c r="AX90" s="216">
        <v>0.8</v>
      </c>
      <c r="AY90" s="216">
        <v>0.8</v>
      </c>
      <c r="AZ90" s="216">
        <v>0.8</v>
      </c>
      <c r="BA90" s="216">
        <v>0.8</v>
      </c>
      <c r="BB90" s="216">
        <v>0.5</v>
      </c>
      <c r="BC90" s="216">
        <v>0.8</v>
      </c>
      <c r="BD90" s="216">
        <v>0.8</v>
      </c>
      <c r="BE90" s="216">
        <v>0.8</v>
      </c>
      <c r="BF90" s="216">
        <v>0.8</v>
      </c>
      <c r="BG90" s="216">
        <v>0.8</v>
      </c>
      <c r="BH90" s="216">
        <v>0.8</v>
      </c>
      <c r="BI90" s="216">
        <v>0.8</v>
      </c>
      <c r="BJ90" s="216">
        <v>0.8</v>
      </c>
      <c r="BK90" s="216">
        <v>0.8</v>
      </c>
      <c r="BL90" s="216">
        <v>0.8</v>
      </c>
      <c r="BM90" s="216">
        <v>0.8</v>
      </c>
      <c r="BN90" s="216">
        <v>0.8</v>
      </c>
      <c r="BO90" s="216">
        <v>0.8</v>
      </c>
      <c r="BP90" s="216">
        <v>0.8</v>
      </c>
      <c r="BQ90" s="216">
        <v>0.8</v>
      </c>
      <c r="BR90" s="216">
        <v>0.8</v>
      </c>
      <c r="BS90" s="216">
        <v>0.8</v>
      </c>
      <c r="BT90" s="216">
        <v>0.8</v>
      </c>
      <c r="BU90" s="216">
        <v>0.8</v>
      </c>
      <c r="BV90" s="216">
        <v>0.8</v>
      </c>
      <c r="BW90" s="216">
        <v>0.8</v>
      </c>
      <c r="BX90" s="216">
        <v>0.8</v>
      </c>
      <c r="BY90" s="216">
        <v>0.8</v>
      </c>
      <c r="BZ90" s="216">
        <v>0.8</v>
      </c>
      <c r="CA90" s="216">
        <v>0.8</v>
      </c>
      <c r="CB90" s="216">
        <v>0.5</v>
      </c>
      <c r="CC90" s="216">
        <v>0.5</v>
      </c>
      <c r="CD90" s="216">
        <v>0.8</v>
      </c>
      <c r="CE90" s="216">
        <v>0.8</v>
      </c>
      <c r="CF90" s="216">
        <v>0.8</v>
      </c>
      <c r="CG90" s="216">
        <v>0.8</v>
      </c>
      <c r="CH90" s="216">
        <v>0.5</v>
      </c>
      <c r="CI90" s="216">
        <v>0</v>
      </c>
      <c r="CJ90" s="216">
        <v>0</v>
      </c>
      <c r="CK90" s="216">
        <v>0</v>
      </c>
      <c r="CL90" s="216">
        <v>0</v>
      </c>
      <c r="CM90" s="216">
        <v>0</v>
      </c>
    </row>
    <row r="91" spans="1:91" ht="15" customHeight="1" x14ac:dyDescent="0.5">
      <c r="A91" s="245" t="s">
        <v>254</v>
      </c>
      <c r="B91" s="216">
        <v>0</v>
      </c>
      <c r="C91" s="216">
        <v>0</v>
      </c>
      <c r="D91" s="216">
        <v>0.8</v>
      </c>
      <c r="E91" s="216">
        <v>0.8</v>
      </c>
      <c r="F91" s="216">
        <v>0.8</v>
      </c>
      <c r="G91" s="216">
        <v>0.8</v>
      </c>
      <c r="H91" s="216">
        <v>0.8</v>
      </c>
      <c r="I91" s="216">
        <v>0.8</v>
      </c>
      <c r="J91" s="216">
        <v>0.8</v>
      </c>
      <c r="K91" s="216">
        <v>0.8</v>
      </c>
      <c r="L91" s="216">
        <v>0.8</v>
      </c>
      <c r="M91" s="216">
        <v>0.8</v>
      </c>
      <c r="N91" s="216">
        <v>0.5</v>
      </c>
      <c r="O91" s="216">
        <v>0.8</v>
      </c>
      <c r="P91" s="216">
        <v>0.8</v>
      </c>
      <c r="Q91" s="216">
        <v>0.8</v>
      </c>
      <c r="R91" s="216">
        <v>0.5</v>
      </c>
      <c r="S91" s="216">
        <v>0.5</v>
      </c>
      <c r="T91" s="216">
        <v>0.5</v>
      </c>
      <c r="U91" s="216">
        <v>0.5</v>
      </c>
      <c r="V91" s="216">
        <v>0.5</v>
      </c>
      <c r="W91" s="216">
        <v>0.5</v>
      </c>
      <c r="X91" s="216">
        <v>0.5</v>
      </c>
      <c r="Y91" s="216">
        <v>0.5</v>
      </c>
      <c r="Z91" s="216">
        <v>0.1</v>
      </c>
      <c r="AA91" s="216">
        <v>0.1</v>
      </c>
      <c r="AB91" s="216">
        <v>0.1</v>
      </c>
      <c r="AC91" s="216">
        <v>0.1</v>
      </c>
      <c r="AD91" s="216">
        <v>0.1</v>
      </c>
      <c r="AE91" s="216">
        <v>0.1</v>
      </c>
      <c r="AF91" s="216">
        <v>0.1</v>
      </c>
      <c r="AG91" s="216">
        <v>0.5</v>
      </c>
      <c r="AH91" s="216">
        <v>0.5</v>
      </c>
      <c r="AI91" s="216">
        <v>0.5</v>
      </c>
      <c r="AJ91" s="216">
        <v>0.5</v>
      </c>
      <c r="AK91" s="216">
        <v>0.5</v>
      </c>
      <c r="AL91" s="216">
        <v>0.5</v>
      </c>
      <c r="AM91" s="216">
        <v>0.5</v>
      </c>
      <c r="AN91" s="216">
        <v>0.5</v>
      </c>
      <c r="AO91" s="216">
        <v>0.5</v>
      </c>
      <c r="AP91" s="216">
        <v>0.5</v>
      </c>
      <c r="AQ91" s="216">
        <v>0.5</v>
      </c>
      <c r="AR91" s="216">
        <v>0.5</v>
      </c>
      <c r="AS91" s="216">
        <v>0.8</v>
      </c>
      <c r="AT91" s="216">
        <v>0.5</v>
      </c>
      <c r="AU91" s="216">
        <v>0.5</v>
      </c>
      <c r="AV91" s="216">
        <v>0.8</v>
      </c>
      <c r="AW91" s="216">
        <v>0.5</v>
      </c>
      <c r="AX91" s="216">
        <v>0.8</v>
      </c>
      <c r="AY91" s="216">
        <v>0.8</v>
      </c>
      <c r="AZ91" s="216">
        <v>0.8</v>
      </c>
      <c r="BA91" s="216">
        <v>0.8</v>
      </c>
      <c r="BB91" s="216">
        <v>0.5</v>
      </c>
      <c r="BC91" s="216">
        <v>0.8</v>
      </c>
      <c r="BD91" s="216">
        <v>0.8</v>
      </c>
      <c r="BE91" s="216">
        <v>0.8</v>
      </c>
      <c r="BF91" s="216">
        <v>0.8</v>
      </c>
      <c r="BG91" s="216">
        <v>0.8</v>
      </c>
      <c r="BH91" s="216">
        <v>0.8</v>
      </c>
      <c r="BI91" s="216">
        <v>0.8</v>
      </c>
      <c r="BJ91" s="216">
        <v>0.8</v>
      </c>
      <c r="BK91" s="216">
        <v>0.8</v>
      </c>
      <c r="BL91" s="216">
        <v>0.8</v>
      </c>
      <c r="BM91" s="216">
        <v>0.8</v>
      </c>
      <c r="BN91" s="216">
        <v>0.8</v>
      </c>
      <c r="BO91" s="216">
        <v>0.8</v>
      </c>
      <c r="BP91" s="216">
        <v>0.8</v>
      </c>
      <c r="BQ91" s="216">
        <v>0.8</v>
      </c>
      <c r="BR91" s="216">
        <v>0.8</v>
      </c>
      <c r="BS91" s="216">
        <v>0.8</v>
      </c>
      <c r="BT91" s="216">
        <v>0.8</v>
      </c>
      <c r="BU91" s="216">
        <v>0.8</v>
      </c>
      <c r="BV91" s="216">
        <v>0.8</v>
      </c>
      <c r="BW91" s="216">
        <v>0.8</v>
      </c>
      <c r="BX91" s="216">
        <v>0.8</v>
      </c>
      <c r="BY91" s="216">
        <v>0.8</v>
      </c>
      <c r="BZ91" s="216">
        <v>0.8</v>
      </c>
      <c r="CA91" s="216">
        <v>0.8</v>
      </c>
      <c r="CB91" s="216">
        <v>0.5</v>
      </c>
      <c r="CC91" s="216">
        <v>0.5</v>
      </c>
      <c r="CD91" s="216">
        <v>0.8</v>
      </c>
      <c r="CE91" s="216">
        <v>0.8</v>
      </c>
      <c r="CF91" s="216">
        <v>0.8</v>
      </c>
      <c r="CG91" s="216">
        <v>0.8</v>
      </c>
      <c r="CH91" s="216">
        <v>0.5</v>
      </c>
      <c r="CI91" s="216">
        <v>0</v>
      </c>
      <c r="CJ91" s="216">
        <v>0</v>
      </c>
      <c r="CK91" s="216">
        <v>0</v>
      </c>
      <c r="CL91" s="216">
        <v>0</v>
      </c>
      <c r="CM91" s="216">
        <v>0</v>
      </c>
    </row>
    <row r="92" spans="1:91" s="216" customFormat="1" ht="15" customHeight="1" x14ac:dyDescent="0.5">
      <c r="A92" s="246" t="s">
        <v>266</v>
      </c>
      <c r="B92" s="216">
        <v>0</v>
      </c>
      <c r="C92" s="216">
        <v>0</v>
      </c>
      <c r="D92" s="216">
        <v>0.8</v>
      </c>
      <c r="E92" s="216">
        <v>0.8</v>
      </c>
      <c r="F92" s="216">
        <v>0.8</v>
      </c>
      <c r="G92" s="216">
        <v>0.8</v>
      </c>
      <c r="H92" s="216">
        <v>0.8</v>
      </c>
      <c r="I92" s="216">
        <v>0.8</v>
      </c>
      <c r="J92" s="216">
        <v>0.8</v>
      </c>
      <c r="K92" s="216">
        <v>0.8</v>
      </c>
      <c r="L92" s="216">
        <v>0.8</v>
      </c>
      <c r="M92" s="216">
        <v>0.8</v>
      </c>
      <c r="N92" s="216">
        <v>0.5</v>
      </c>
      <c r="O92" s="216">
        <v>0.8</v>
      </c>
      <c r="P92" s="216">
        <v>0.8</v>
      </c>
      <c r="Q92" s="216">
        <v>0.8</v>
      </c>
      <c r="R92" s="216">
        <v>0.5</v>
      </c>
      <c r="S92" s="216">
        <v>0.5</v>
      </c>
      <c r="T92" s="216">
        <v>0.5</v>
      </c>
      <c r="U92" s="216">
        <v>0.5</v>
      </c>
      <c r="V92" s="216">
        <v>0.5</v>
      </c>
      <c r="W92" s="216">
        <v>0.5</v>
      </c>
      <c r="X92" s="216">
        <v>0.5</v>
      </c>
      <c r="Y92" s="216">
        <v>0.5</v>
      </c>
      <c r="Z92" s="216">
        <v>0.1</v>
      </c>
      <c r="AA92" s="216">
        <v>0.1</v>
      </c>
      <c r="AB92" s="216">
        <v>0.1</v>
      </c>
      <c r="AC92" s="216">
        <v>0.1</v>
      </c>
      <c r="AD92" s="216">
        <v>0.1</v>
      </c>
      <c r="AE92" s="216">
        <v>0.1</v>
      </c>
      <c r="AF92" s="216">
        <v>0.1</v>
      </c>
      <c r="AG92" s="216">
        <v>0.5</v>
      </c>
      <c r="AH92" s="216">
        <v>0.5</v>
      </c>
      <c r="AI92" s="216">
        <v>0.5</v>
      </c>
      <c r="AJ92" s="216">
        <v>0.5</v>
      </c>
      <c r="AK92" s="216">
        <v>0.5</v>
      </c>
      <c r="AL92" s="216">
        <v>0.5</v>
      </c>
      <c r="AM92" s="216">
        <v>0.5</v>
      </c>
      <c r="AN92" s="216">
        <v>0.5</v>
      </c>
      <c r="AO92" s="216">
        <v>0.5</v>
      </c>
      <c r="AP92" s="216">
        <v>0.5</v>
      </c>
      <c r="AQ92" s="216">
        <v>0.5</v>
      </c>
      <c r="AR92" s="216">
        <v>0.5</v>
      </c>
      <c r="AS92" s="216">
        <v>0.8</v>
      </c>
      <c r="AT92" s="216">
        <v>0.5</v>
      </c>
      <c r="AU92" s="216">
        <v>0.5</v>
      </c>
      <c r="AV92" s="216">
        <v>0.8</v>
      </c>
      <c r="AW92" s="216">
        <v>0.5</v>
      </c>
      <c r="AX92" s="216">
        <v>0.8</v>
      </c>
      <c r="AY92" s="216">
        <v>0.8</v>
      </c>
      <c r="AZ92" s="216">
        <v>0.8</v>
      </c>
      <c r="BA92" s="216">
        <v>0.8</v>
      </c>
      <c r="BB92" s="216">
        <v>0.5</v>
      </c>
      <c r="BC92" s="216">
        <v>0.8</v>
      </c>
      <c r="BD92" s="216">
        <v>0.8</v>
      </c>
      <c r="BE92" s="216">
        <v>0.8</v>
      </c>
      <c r="BF92" s="216">
        <v>0.8</v>
      </c>
      <c r="BG92" s="216">
        <v>0.8</v>
      </c>
      <c r="BH92" s="216">
        <v>0.8</v>
      </c>
      <c r="BI92" s="216">
        <v>0.8</v>
      </c>
      <c r="BJ92" s="216">
        <v>0.8</v>
      </c>
      <c r="BK92" s="216">
        <v>0.8</v>
      </c>
      <c r="BL92" s="216">
        <v>0.8</v>
      </c>
      <c r="BM92" s="216">
        <v>0.8</v>
      </c>
      <c r="BN92" s="216">
        <v>0.8</v>
      </c>
      <c r="BO92" s="216">
        <v>0.8</v>
      </c>
      <c r="BP92" s="216">
        <v>0.8</v>
      </c>
      <c r="BQ92" s="216">
        <v>0.8</v>
      </c>
      <c r="BR92" s="216">
        <v>0.8</v>
      </c>
      <c r="BS92" s="216">
        <v>0.8</v>
      </c>
      <c r="BT92" s="216">
        <v>0.8</v>
      </c>
      <c r="BU92" s="216">
        <v>0.8</v>
      </c>
      <c r="BV92" s="216">
        <v>0.8</v>
      </c>
      <c r="BW92" s="216">
        <v>0.8</v>
      </c>
      <c r="BX92" s="216">
        <v>0.8</v>
      </c>
      <c r="BY92" s="216">
        <v>0.8</v>
      </c>
      <c r="BZ92" s="216">
        <v>0.8</v>
      </c>
      <c r="CA92" s="216">
        <v>0.8</v>
      </c>
      <c r="CB92" s="216">
        <v>0.5</v>
      </c>
      <c r="CC92" s="216">
        <v>0.5</v>
      </c>
      <c r="CD92" s="216">
        <v>0.8</v>
      </c>
      <c r="CE92" s="216">
        <v>0.8</v>
      </c>
      <c r="CF92" s="216">
        <v>0.8</v>
      </c>
      <c r="CG92" s="216">
        <v>0.8</v>
      </c>
      <c r="CH92" s="216">
        <v>0.5</v>
      </c>
      <c r="CI92" s="216">
        <v>0</v>
      </c>
      <c r="CJ92" s="216">
        <v>0</v>
      </c>
      <c r="CK92" s="216">
        <v>0</v>
      </c>
      <c r="CL92" s="216">
        <v>0</v>
      </c>
      <c r="CM92" s="216">
        <v>0</v>
      </c>
    </row>
    <row r="93" spans="1:91" ht="15" customHeight="1" x14ac:dyDescent="0.4"/>
    <row r="94" spans="1:91" ht="15" customHeight="1" x14ac:dyDescent="0.4"/>
    <row r="95" spans="1:91" ht="15" customHeight="1" x14ac:dyDescent="0.4"/>
    <row r="96" spans="1:91" ht="15" customHeight="1" x14ac:dyDescent="0.4"/>
    <row r="97" ht="15" customHeight="1" x14ac:dyDescent="0.4"/>
    <row r="98" ht="15" customHeight="1" x14ac:dyDescent="0.4"/>
    <row r="99" ht="15" customHeight="1" x14ac:dyDescent="0.4"/>
    <row r="100" ht="15" customHeight="1" x14ac:dyDescent="0.4"/>
    <row r="101" ht="15" customHeight="1" x14ac:dyDescent="0.4"/>
    <row r="102" ht="15" customHeight="1" x14ac:dyDescent="0.4"/>
    <row r="103" ht="15" customHeight="1" x14ac:dyDescent="0.4"/>
    <row r="104" ht="15" customHeight="1" x14ac:dyDescent="0.4"/>
    <row r="105" ht="15" customHeight="1" x14ac:dyDescent="0.4"/>
    <row r="106" ht="15" customHeight="1" x14ac:dyDescent="0.4"/>
    <row r="107" ht="15" customHeight="1" x14ac:dyDescent="0.4"/>
    <row r="108" ht="15" customHeight="1" x14ac:dyDescent="0.4"/>
    <row r="109" ht="15" customHeight="1" x14ac:dyDescent="0.4"/>
    <row r="110" ht="15" customHeight="1" x14ac:dyDescent="0.4"/>
    <row r="111" ht="15" customHeight="1" x14ac:dyDescent="0.4"/>
    <row r="112" ht="15" customHeight="1" x14ac:dyDescent="0.4"/>
    <row r="113" ht="15" customHeight="1" x14ac:dyDescent="0.4"/>
    <row r="114" ht="15" customHeight="1" x14ac:dyDescent="0.4"/>
    <row r="115" ht="15" customHeight="1" x14ac:dyDescent="0.4"/>
    <row r="116" ht="15" customHeight="1" x14ac:dyDescent="0.4"/>
    <row r="117" ht="15" customHeight="1" x14ac:dyDescent="0.4"/>
    <row r="118" ht="15" customHeight="1" x14ac:dyDescent="0.4"/>
    <row r="119" ht="15" customHeight="1" x14ac:dyDescent="0.4"/>
    <row r="120" ht="15" customHeight="1" x14ac:dyDescent="0.4"/>
    <row r="121" ht="15" customHeight="1" x14ac:dyDescent="0.4"/>
    <row r="122" ht="15" customHeight="1" x14ac:dyDescent="0.4"/>
    <row r="123" ht="15" customHeight="1" x14ac:dyDescent="0.4"/>
    <row r="124" ht="15" customHeight="1" x14ac:dyDescent="0.4"/>
    <row r="125" ht="15" customHeight="1" x14ac:dyDescent="0.4"/>
    <row r="126" ht="15" customHeight="1" x14ac:dyDescent="0.4"/>
    <row r="127" ht="15" customHeight="1" x14ac:dyDescent="0.4"/>
    <row r="128" ht="15" customHeight="1" x14ac:dyDescent="0.4"/>
    <row r="129" ht="15" customHeight="1" x14ac:dyDescent="0.4"/>
    <row r="130" ht="15" customHeight="1" x14ac:dyDescent="0.4"/>
    <row r="131" ht="15" customHeight="1" x14ac:dyDescent="0.4"/>
    <row r="132" ht="15" customHeight="1" x14ac:dyDescent="0.4"/>
    <row r="133" ht="15" customHeight="1" x14ac:dyDescent="0.4"/>
    <row r="134" ht="15" customHeight="1" x14ac:dyDescent="0.4"/>
    <row r="135" ht="15" customHeight="1" x14ac:dyDescent="0.4"/>
    <row r="136" ht="15" customHeight="1" x14ac:dyDescent="0.4"/>
    <row r="137" ht="15" customHeight="1" x14ac:dyDescent="0.4"/>
    <row r="138" ht="15" customHeight="1" x14ac:dyDescent="0.4"/>
    <row r="139" ht="15" customHeight="1" x14ac:dyDescent="0.4"/>
    <row r="140" ht="15" customHeight="1" x14ac:dyDescent="0.4"/>
    <row r="141" ht="15" customHeight="1" x14ac:dyDescent="0.4"/>
    <row r="142" ht="15" customHeight="1" x14ac:dyDescent="0.4"/>
    <row r="143" ht="15" customHeight="1" x14ac:dyDescent="0.4"/>
    <row r="144" ht="15" customHeight="1" x14ac:dyDescent="0.4"/>
    <row r="145" ht="15" customHeight="1" x14ac:dyDescent="0.4"/>
    <row r="146" ht="15" customHeight="1" x14ac:dyDescent="0.4"/>
    <row r="147" ht="15" customHeight="1" x14ac:dyDescent="0.4"/>
    <row r="148" ht="15" customHeight="1" x14ac:dyDescent="0.4"/>
    <row r="149" ht="15" customHeight="1" x14ac:dyDescent="0.4"/>
    <row r="150" ht="15" customHeight="1" x14ac:dyDescent="0.4"/>
    <row r="151" ht="15" customHeight="1" x14ac:dyDescent="0.4"/>
    <row r="152" ht="15" customHeight="1" x14ac:dyDescent="0.4"/>
    <row r="153" ht="15" customHeight="1" x14ac:dyDescent="0.4"/>
    <row r="154" ht="15" customHeight="1" x14ac:dyDescent="0.4"/>
    <row r="155" ht="15" customHeight="1" x14ac:dyDescent="0.4"/>
    <row r="156" ht="15" customHeight="1" x14ac:dyDescent="0.4"/>
    <row r="157" ht="15" customHeight="1" x14ac:dyDescent="0.4"/>
    <row r="158" ht="15" customHeight="1" x14ac:dyDescent="0.4"/>
    <row r="159" ht="15" customHeight="1" x14ac:dyDescent="0.4"/>
    <row r="160" ht="15" customHeight="1" x14ac:dyDescent="0.4"/>
    <row r="161" ht="15" customHeight="1" x14ac:dyDescent="0.4"/>
    <row r="162" ht="15" customHeight="1" x14ac:dyDescent="0.4"/>
    <row r="163" ht="15" customHeight="1" x14ac:dyDescent="0.4"/>
    <row r="164" ht="15" customHeight="1" x14ac:dyDescent="0.4"/>
    <row r="165" ht="15" customHeight="1" x14ac:dyDescent="0.4"/>
    <row r="166" ht="15" customHeight="1" x14ac:dyDescent="0.4"/>
    <row r="167" ht="15" customHeight="1" x14ac:dyDescent="0.4"/>
    <row r="168" ht="15" customHeight="1" x14ac:dyDescent="0.4"/>
    <row r="169" ht="15" customHeight="1" x14ac:dyDescent="0.4"/>
    <row r="170" ht="15" customHeight="1" x14ac:dyDescent="0.4"/>
    <row r="171" ht="15" customHeight="1" x14ac:dyDescent="0.4"/>
  </sheetData>
  <pageMargins left="0.75" right="0.75" top="1" bottom="1" header="0.5" footer="0.5"/>
  <pageSetup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K100"/>
  <sheetViews>
    <sheetView workbookViewId="0">
      <pane xSplit="2" ySplit="1" topLeftCell="C2" activePane="bottomRight" state="frozen"/>
      <selection pane="topRight" activeCell="C1" sqref="C1"/>
      <selection pane="bottomLeft" activeCell="A2" sqref="A2"/>
      <selection pane="bottomRight" activeCell="C4" sqref="C4"/>
    </sheetView>
  </sheetViews>
  <sheetFormatPr defaultColWidth="10.6640625" defaultRowHeight="12.3" x14ac:dyDescent="0.4"/>
  <cols>
    <col min="1" max="1" width="12.6640625" customWidth="1"/>
    <col min="2" max="2" width="46.5" bestFit="1" customWidth="1"/>
    <col min="3" max="3" width="14.83203125" bestFit="1" customWidth="1"/>
    <col min="4" max="4" width="15.5" bestFit="1" customWidth="1"/>
    <col min="5" max="5" width="24.33203125" bestFit="1" customWidth="1"/>
    <col min="6" max="6" width="27.5" bestFit="1" customWidth="1"/>
    <col min="7" max="7" width="35.5" bestFit="1" customWidth="1"/>
    <col min="8" max="8" width="30.6640625" bestFit="1" customWidth="1"/>
    <col min="9" max="9" width="19" bestFit="1" customWidth="1"/>
    <col min="10" max="10" width="32.33203125" bestFit="1" customWidth="1"/>
    <col min="11" max="11" width="21.5" bestFit="1" customWidth="1"/>
    <col min="12" max="12" width="14.33203125" bestFit="1" customWidth="1"/>
    <col min="13" max="13" width="12.6640625" bestFit="1" customWidth="1"/>
    <col min="14" max="14" width="14.33203125" bestFit="1" customWidth="1"/>
    <col min="15" max="15" width="24" bestFit="1" customWidth="1"/>
    <col min="16" max="16" width="26.6640625" bestFit="1" customWidth="1"/>
    <col min="17" max="17" width="13" bestFit="1" customWidth="1"/>
    <col min="18" max="18" width="22" bestFit="1" customWidth="1"/>
    <col min="19" max="19" width="23" bestFit="1" customWidth="1"/>
  </cols>
  <sheetData>
    <row r="1" spans="1:11" ht="24.6" x14ac:dyDescent="0.4">
      <c r="A1" s="5" t="s">
        <v>84</v>
      </c>
      <c r="B1" s="3" t="s">
        <v>0</v>
      </c>
      <c r="C1" s="230" t="s">
        <v>433</v>
      </c>
      <c r="D1" s="230" t="s">
        <v>434</v>
      </c>
      <c r="E1" s="230" t="s">
        <v>435</v>
      </c>
      <c r="F1" s="230" t="s">
        <v>436</v>
      </c>
      <c r="G1" s="230" t="s">
        <v>437</v>
      </c>
      <c r="H1" s="230" t="s">
        <v>438</v>
      </c>
      <c r="I1" s="230" t="s">
        <v>439</v>
      </c>
      <c r="J1" s="88" t="s">
        <v>440</v>
      </c>
      <c r="K1" s="88" t="s">
        <v>264</v>
      </c>
    </row>
    <row r="2" spans="1:11" x14ac:dyDescent="0.4">
      <c r="A2" s="6">
        <v>1</v>
      </c>
      <c r="B2" s="217" t="s">
        <v>177</v>
      </c>
      <c r="C2" s="120">
        <v>0</v>
      </c>
      <c r="D2" s="120">
        <v>0</v>
      </c>
      <c r="E2" s="120">
        <v>0</v>
      </c>
      <c r="F2" s="120">
        <v>0</v>
      </c>
      <c r="G2" s="120">
        <v>0</v>
      </c>
      <c r="H2" s="120">
        <v>0</v>
      </c>
      <c r="I2" s="120">
        <v>0</v>
      </c>
      <c r="J2" s="120">
        <v>0</v>
      </c>
      <c r="K2" s="120">
        <v>0</v>
      </c>
    </row>
    <row r="3" spans="1:11" x14ac:dyDescent="0.4">
      <c r="A3" s="6">
        <v>2</v>
      </c>
      <c r="B3" s="217" t="s">
        <v>178</v>
      </c>
      <c r="C3" s="120">
        <v>0</v>
      </c>
      <c r="D3" s="120">
        <v>0</v>
      </c>
      <c r="E3" s="120">
        <v>0</v>
      </c>
      <c r="F3" s="120">
        <v>0</v>
      </c>
      <c r="G3" s="120">
        <v>0</v>
      </c>
      <c r="H3" s="120">
        <v>0</v>
      </c>
      <c r="I3" s="120">
        <v>0</v>
      </c>
      <c r="J3" s="120">
        <v>0</v>
      </c>
      <c r="K3" s="120">
        <v>0</v>
      </c>
    </row>
    <row r="4" spans="1:11" x14ac:dyDescent="0.4">
      <c r="A4" s="6">
        <v>3</v>
      </c>
      <c r="B4" s="217" t="s">
        <v>179</v>
      </c>
      <c r="C4" s="120">
        <v>0</v>
      </c>
      <c r="D4" s="120">
        <v>0</v>
      </c>
      <c r="E4" s="120">
        <v>0</v>
      </c>
      <c r="F4" s="120">
        <v>0</v>
      </c>
      <c r="G4" s="120">
        <v>0</v>
      </c>
      <c r="H4" s="120">
        <v>0</v>
      </c>
      <c r="I4" s="120">
        <v>0</v>
      </c>
      <c r="J4" s="120">
        <v>0</v>
      </c>
      <c r="K4" s="120">
        <v>0</v>
      </c>
    </row>
    <row r="5" spans="1:11" x14ac:dyDescent="0.4">
      <c r="A5" s="6">
        <v>4</v>
      </c>
      <c r="B5" s="217" t="s">
        <v>180</v>
      </c>
      <c r="C5" s="120">
        <v>0</v>
      </c>
      <c r="D5" s="120">
        <v>0</v>
      </c>
      <c r="E5" s="120">
        <v>0</v>
      </c>
      <c r="F5" s="120">
        <v>0</v>
      </c>
      <c r="G5" s="120">
        <v>0</v>
      </c>
      <c r="H5" s="120">
        <v>0</v>
      </c>
      <c r="I5" s="120">
        <v>0</v>
      </c>
      <c r="J5" s="120">
        <v>0</v>
      </c>
      <c r="K5" s="120">
        <v>0</v>
      </c>
    </row>
    <row r="6" spans="1:11" x14ac:dyDescent="0.4">
      <c r="A6" s="6">
        <v>5</v>
      </c>
      <c r="B6" s="217" t="s">
        <v>181</v>
      </c>
      <c r="C6" s="120">
        <v>0</v>
      </c>
      <c r="D6" s="120">
        <v>0</v>
      </c>
      <c r="E6" s="120">
        <v>0</v>
      </c>
      <c r="F6" s="120">
        <v>0</v>
      </c>
      <c r="G6" s="120">
        <v>0</v>
      </c>
      <c r="H6" s="120">
        <v>0</v>
      </c>
      <c r="I6" s="120">
        <v>0</v>
      </c>
      <c r="J6" s="120">
        <v>0</v>
      </c>
      <c r="K6" s="120">
        <v>0</v>
      </c>
    </row>
    <row r="7" spans="1:11" x14ac:dyDescent="0.4">
      <c r="A7" s="6">
        <v>6</v>
      </c>
      <c r="B7" s="217" t="s">
        <v>182</v>
      </c>
      <c r="C7" s="120">
        <v>0</v>
      </c>
      <c r="D7" s="120">
        <v>0</v>
      </c>
      <c r="E7" s="120">
        <v>0</v>
      </c>
      <c r="F7" s="120">
        <v>0</v>
      </c>
      <c r="G7" s="120">
        <v>0</v>
      </c>
      <c r="H7" s="120">
        <v>0</v>
      </c>
      <c r="I7" s="120">
        <v>0</v>
      </c>
      <c r="J7" s="120">
        <v>0</v>
      </c>
      <c r="K7" s="120">
        <v>0</v>
      </c>
    </row>
    <row r="8" spans="1:11" x14ac:dyDescent="0.4">
      <c r="A8" s="6">
        <v>7</v>
      </c>
      <c r="B8" s="217" t="s">
        <v>183</v>
      </c>
      <c r="C8" s="120">
        <v>0</v>
      </c>
      <c r="D8" s="120">
        <v>0</v>
      </c>
      <c r="E8" s="120">
        <v>0</v>
      </c>
      <c r="F8" s="120">
        <v>0</v>
      </c>
      <c r="G8" s="120">
        <v>0</v>
      </c>
      <c r="H8" s="120">
        <v>0</v>
      </c>
      <c r="I8" s="120">
        <v>0</v>
      </c>
      <c r="J8" s="120">
        <v>0</v>
      </c>
      <c r="K8" s="120">
        <v>0</v>
      </c>
    </row>
    <row r="9" spans="1:11" x14ac:dyDescent="0.4">
      <c r="A9" s="6">
        <v>8</v>
      </c>
      <c r="B9" s="217" t="s">
        <v>184</v>
      </c>
      <c r="C9" s="120">
        <v>0</v>
      </c>
      <c r="D9" s="120">
        <v>0</v>
      </c>
      <c r="E9" s="120">
        <v>0</v>
      </c>
      <c r="F9" s="120">
        <v>0</v>
      </c>
      <c r="G9" s="120">
        <v>0</v>
      </c>
      <c r="H9" s="120">
        <v>0</v>
      </c>
      <c r="I9" s="120">
        <v>0</v>
      </c>
      <c r="J9" s="120">
        <v>0</v>
      </c>
      <c r="K9" s="120">
        <v>0</v>
      </c>
    </row>
    <row r="10" spans="1:11" x14ac:dyDescent="0.4">
      <c r="A10" s="6">
        <v>9</v>
      </c>
      <c r="B10" s="217" t="s">
        <v>185</v>
      </c>
      <c r="C10" s="120">
        <v>0</v>
      </c>
      <c r="D10" s="120">
        <v>0</v>
      </c>
      <c r="E10" s="120">
        <v>0</v>
      </c>
      <c r="F10" s="120">
        <v>0</v>
      </c>
      <c r="G10" s="120">
        <v>0</v>
      </c>
      <c r="H10" s="120">
        <v>0</v>
      </c>
      <c r="I10" s="120">
        <v>0</v>
      </c>
      <c r="J10" s="120">
        <v>0</v>
      </c>
      <c r="K10" s="120">
        <v>0</v>
      </c>
    </row>
    <row r="11" spans="1:11" x14ac:dyDescent="0.4">
      <c r="A11" s="6">
        <v>10</v>
      </c>
      <c r="B11" s="217" t="s">
        <v>186</v>
      </c>
      <c r="C11" s="120">
        <v>0</v>
      </c>
      <c r="D11" s="120">
        <v>0</v>
      </c>
      <c r="E11" s="120">
        <v>0</v>
      </c>
      <c r="F11" s="120">
        <v>0</v>
      </c>
      <c r="G11" s="120">
        <v>0</v>
      </c>
      <c r="H11" s="120">
        <v>0</v>
      </c>
      <c r="I11" s="120">
        <v>0</v>
      </c>
      <c r="J11" s="120">
        <v>0</v>
      </c>
      <c r="K11" s="120">
        <v>0</v>
      </c>
    </row>
    <row r="12" spans="1:11" x14ac:dyDescent="0.4">
      <c r="A12" s="6">
        <v>11</v>
      </c>
      <c r="B12" s="217" t="s">
        <v>187</v>
      </c>
      <c r="C12" s="120">
        <v>0</v>
      </c>
      <c r="D12" s="120">
        <v>0</v>
      </c>
      <c r="E12" s="120">
        <v>0</v>
      </c>
      <c r="F12" s="120">
        <v>0</v>
      </c>
      <c r="G12" s="120">
        <v>0</v>
      </c>
      <c r="H12" s="120">
        <v>0</v>
      </c>
      <c r="I12" s="120">
        <v>0</v>
      </c>
      <c r="J12" s="120">
        <v>0</v>
      </c>
      <c r="K12" s="120">
        <v>0</v>
      </c>
    </row>
    <row r="13" spans="1:11" x14ac:dyDescent="0.4">
      <c r="A13" s="6">
        <v>12</v>
      </c>
      <c r="B13" s="217" t="s">
        <v>188</v>
      </c>
      <c r="C13" s="120">
        <v>0</v>
      </c>
      <c r="D13" s="120">
        <v>0</v>
      </c>
      <c r="E13" s="120">
        <v>0</v>
      </c>
      <c r="F13" s="120">
        <v>0</v>
      </c>
      <c r="G13" s="120">
        <v>0</v>
      </c>
      <c r="H13" s="120">
        <v>0</v>
      </c>
      <c r="I13" s="120">
        <v>0</v>
      </c>
      <c r="J13" s="120">
        <v>0</v>
      </c>
      <c r="K13" s="120">
        <v>0</v>
      </c>
    </row>
    <row r="14" spans="1:11" x14ac:dyDescent="0.4">
      <c r="A14" s="6">
        <v>13</v>
      </c>
      <c r="B14" s="217" t="s">
        <v>189</v>
      </c>
      <c r="C14" s="120">
        <v>0</v>
      </c>
      <c r="D14" s="120">
        <v>0</v>
      </c>
      <c r="E14" s="120">
        <v>0</v>
      </c>
      <c r="F14" s="120">
        <v>0</v>
      </c>
      <c r="G14" s="120">
        <v>0</v>
      </c>
      <c r="H14" s="120">
        <v>0</v>
      </c>
      <c r="I14" s="120">
        <v>0</v>
      </c>
      <c r="J14" s="120">
        <v>0</v>
      </c>
      <c r="K14" s="120">
        <v>0</v>
      </c>
    </row>
    <row r="15" spans="1:11" x14ac:dyDescent="0.4">
      <c r="A15" s="6">
        <v>14</v>
      </c>
      <c r="B15" s="217" t="s">
        <v>273</v>
      </c>
      <c r="C15" s="120">
        <v>0</v>
      </c>
      <c r="D15" s="120">
        <v>0</v>
      </c>
      <c r="E15" s="120">
        <v>0</v>
      </c>
      <c r="F15" s="120">
        <v>0</v>
      </c>
      <c r="G15" s="120">
        <v>0</v>
      </c>
      <c r="H15" s="120">
        <v>0</v>
      </c>
      <c r="I15" s="120">
        <v>0</v>
      </c>
      <c r="J15" s="120">
        <v>0</v>
      </c>
      <c r="K15" s="120">
        <v>0</v>
      </c>
    </row>
    <row r="16" spans="1:11" x14ac:dyDescent="0.4">
      <c r="A16" s="6">
        <v>15</v>
      </c>
      <c r="B16" s="217" t="s">
        <v>190</v>
      </c>
      <c r="C16" s="120">
        <v>0</v>
      </c>
      <c r="D16" s="120">
        <v>0</v>
      </c>
      <c r="E16" s="120">
        <v>0</v>
      </c>
      <c r="F16" s="120">
        <v>0</v>
      </c>
      <c r="G16" s="120">
        <v>0</v>
      </c>
      <c r="H16" s="120">
        <v>0</v>
      </c>
      <c r="I16" s="120">
        <v>0</v>
      </c>
      <c r="J16" s="120">
        <v>0</v>
      </c>
      <c r="K16" s="120">
        <v>0</v>
      </c>
    </row>
    <row r="17" spans="1:11" x14ac:dyDescent="0.4">
      <c r="A17" s="6">
        <v>16</v>
      </c>
      <c r="B17" s="217" t="s">
        <v>191</v>
      </c>
      <c r="C17" s="120">
        <v>0</v>
      </c>
      <c r="D17" s="120">
        <v>0</v>
      </c>
      <c r="E17" s="120">
        <v>0</v>
      </c>
      <c r="F17" s="120">
        <v>0</v>
      </c>
      <c r="G17" s="120">
        <v>0</v>
      </c>
      <c r="H17" s="120">
        <v>0</v>
      </c>
      <c r="I17" s="120">
        <v>0</v>
      </c>
      <c r="J17" s="120">
        <v>0</v>
      </c>
      <c r="K17" s="120">
        <v>0</v>
      </c>
    </row>
    <row r="18" spans="1:11" x14ac:dyDescent="0.4">
      <c r="A18" s="6">
        <v>17</v>
      </c>
      <c r="B18" s="217" t="s">
        <v>192</v>
      </c>
      <c r="C18" s="250">
        <v>0</v>
      </c>
      <c r="D18" s="250">
        <v>1</v>
      </c>
      <c r="E18" s="250">
        <v>0</v>
      </c>
      <c r="F18" s="250">
        <v>1</v>
      </c>
      <c r="G18" s="250">
        <v>0</v>
      </c>
      <c r="H18" s="250">
        <v>1</v>
      </c>
      <c r="I18" s="250">
        <v>1</v>
      </c>
      <c r="J18" s="250">
        <v>1</v>
      </c>
      <c r="K18" s="250">
        <v>0</v>
      </c>
    </row>
    <row r="19" spans="1:11" x14ac:dyDescent="0.4">
      <c r="A19" s="6">
        <v>18</v>
      </c>
      <c r="B19" s="217" t="s">
        <v>193</v>
      </c>
      <c r="C19" s="120">
        <v>0</v>
      </c>
      <c r="D19" s="120">
        <v>0</v>
      </c>
      <c r="E19" s="120">
        <v>0</v>
      </c>
      <c r="F19" s="120">
        <v>0</v>
      </c>
      <c r="G19" s="120">
        <v>0</v>
      </c>
      <c r="H19" s="120">
        <v>0</v>
      </c>
      <c r="I19" s="120">
        <v>0</v>
      </c>
      <c r="J19" s="120">
        <v>0</v>
      </c>
      <c r="K19" s="120">
        <v>0</v>
      </c>
    </row>
    <row r="20" spans="1:11" x14ac:dyDescent="0.4">
      <c r="A20" s="6">
        <v>19</v>
      </c>
      <c r="B20" s="217" t="s">
        <v>194</v>
      </c>
      <c r="C20" s="250">
        <v>0</v>
      </c>
      <c r="D20" s="250">
        <v>1</v>
      </c>
      <c r="E20" s="250">
        <v>0</v>
      </c>
      <c r="F20" s="250">
        <v>1</v>
      </c>
      <c r="G20" s="250">
        <v>0</v>
      </c>
      <c r="H20" s="250">
        <v>0</v>
      </c>
      <c r="I20" s="250">
        <v>1</v>
      </c>
      <c r="J20" s="250">
        <v>0</v>
      </c>
      <c r="K20" s="120">
        <v>1</v>
      </c>
    </row>
    <row r="21" spans="1:11" x14ac:dyDescent="0.4">
      <c r="A21" s="6">
        <v>20</v>
      </c>
      <c r="B21" s="217" t="s">
        <v>195</v>
      </c>
      <c r="C21" s="250">
        <v>0</v>
      </c>
      <c r="D21" s="250">
        <v>0</v>
      </c>
      <c r="E21" s="250">
        <v>0</v>
      </c>
      <c r="F21" s="250">
        <v>1</v>
      </c>
      <c r="G21" s="250">
        <v>0</v>
      </c>
      <c r="H21" s="250">
        <v>0</v>
      </c>
      <c r="I21" s="250">
        <v>1</v>
      </c>
      <c r="J21" s="250">
        <v>0</v>
      </c>
      <c r="K21" s="250">
        <v>0</v>
      </c>
    </row>
    <row r="22" spans="1:11" x14ac:dyDescent="0.4">
      <c r="A22" s="6">
        <v>21</v>
      </c>
      <c r="B22" s="217" t="s">
        <v>196</v>
      </c>
      <c r="C22" s="250">
        <v>0</v>
      </c>
      <c r="D22" s="250">
        <v>1</v>
      </c>
      <c r="E22" s="250">
        <v>0</v>
      </c>
      <c r="F22" s="250">
        <v>1</v>
      </c>
      <c r="G22" s="250">
        <v>0</v>
      </c>
      <c r="H22" s="250">
        <v>0</v>
      </c>
      <c r="I22" s="250">
        <v>1</v>
      </c>
      <c r="J22" s="250">
        <v>0</v>
      </c>
      <c r="K22" s="120">
        <v>1</v>
      </c>
    </row>
    <row r="23" spans="1:11" x14ac:dyDescent="0.4">
      <c r="A23" s="6">
        <v>22</v>
      </c>
      <c r="B23" s="217" t="s">
        <v>197</v>
      </c>
      <c r="C23" s="250">
        <v>0</v>
      </c>
      <c r="D23" s="250">
        <v>0</v>
      </c>
      <c r="E23" s="250">
        <v>0</v>
      </c>
      <c r="F23" s="250">
        <v>1</v>
      </c>
      <c r="G23" s="250">
        <v>0</v>
      </c>
      <c r="H23" s="250">
        <v>0</v>
      </c>
      <c r="I23" s="250">
        <v>1</v>
      </c>
      <c r="J23" s="250">
        <v>0</v>
      </c>
      <c r="K23" s="120">
        <v>1</v>
      </c>
    </row>
    <row r="24" spans="1:11" x14ac:dyDescent="0.4">
      <c r="A24" s="6">
        <v>23</v>
      </c>
      <c r="B24" s="217" t="s">
        <v>198</v>
      </c>
      <c r="C24" s="250">
        <v>0</v>
      </c>
      <c r="D24" s="250">
        <v>0</v>
      </c>
      <c r="E24" s="250">
        <v>0</v>
      </c>
      <c r="F24" s="250">
        <v>1</v>
      </c>
      <c r="G24" s="250">
        <v>0</v>
      </c>
      <c r="H24" s="250">
        <v>0</v>
      </c>
      <c r="I24" s="250">
        <v>0</v>
      </c>
      <c r="J24" s="250">
        <v>0</v>
      </c>
      <c r="K24" s="250">
        <v>0</v>
      </c>
    </row>
    <row r="25" spans="1:11" x14ac:dyDescent="0.4">
      <c r="A25" s="6">
        <v>24</v>
      </c>
      <c r="B25" s="217" t="s">
        <v>199</v>
      </c>
      <c r="C25" s="251">
        <v>0</v>
      </c>
      <c r="D25" s="120">
        <v>0</v>
      </c>
      <c r="E25" s="120">
        <v>0</v>
      </c>
      <c r="F25" s="120">
        <v>0</v>
      </c>
      <c r="G25" s="120">
        <v>0</v>
      </c>
      <c r="H25" s="120">
        <v>0</v>
      </c>
      <c r="I25" s="120">
        <v>0</v>
      </c>
      <c r="J25" s="250">
        <v>0</v>
      </c>
      <c r="K25" s="120">
        <v>0</v>
      </c>
    </row>
    <row r="26" spans="1:11" x14ac:dyDescent="0.4">
      <c r="A26" s="6">
        <v>25</v>
      </c>
      <c r="B26" s="217" t="s">
        <v>265</v>
      </c>
      <c r="C26" s="251">
        <v>0</v>
      </c>
      <c r="D26" s="120">
        <v>0</v>
      </c>
      <c r="E26" s="120">
        <v>0</v>
      </c>
      <c r="F26" s="120">
        <v>0</v>
      </c>
      <c r="G26" s="120">
        <v>0</v>
      </c>
      <c r="H26" s="120">
        <v>0</v>
      </c>
      <c r="I26" s="120">
        <v>0</v>
      </c>
      <c r="J26" s="250">
        <v>0</v>
      </c>
      <c r="K26" s="120">
        <v>0</v>
      </c>
    </row>
    <row r="27" spans="1:11" x14ac:dyDescent="0.4">
      <c r="A27" s="6">
        <v>26</v>
      </c>
      <c r="B27" s="217" t="s">
        <v>274</v>
      </c>
      <c r="C27" s="251">
        <v>0</v>
      </c>
      <c r="D27" s="120">
        <v>0</v>
      </c>
      <c r="E27" s="120">
        <v>0</v>
      </c>
      <c r="F27" s="120">
        <v>0</v>
      </c>
      <c r="G27" s="120">
        <v>0</v>
      </c>
      <c r="H27" s="120">
        <v>0</v>
      </c>
      <c r="I27" s="120">
        <v>0</v>
      </c>
      <c r="J27" s="250">
        <v>0</v>
      </c>
      <c r="K27" s="120">
        <v>0</v>
      </c>
    </row>
    <row r="28" spans="1:11" x14ac:dyDescent="0.4">
      <c r="A28" s="6">
        <v>27</v>
      </c>
      <c r="B28" s="217" t="s">
        <v>275</v>
      </c>
      <c r="C28" s="251">
        <v>0</v>
      </c>
      <c r="D28" s="120">
        <v>0</v>
      </c>
      <c r="E28" s="120">
        <v>0</v>
      </c>
      <c r="F28" s="120">
        <v>0</v>
      </c>
      <c r="G28" s="120">
        <v>0</v>
      </c>
      <c r="H28" s="120">
        <v>0</v>
      </c>
      <c r="I28" s="120">
        <v>0</v>
      </c>
      <c r="J28" s="250">
        <v>0</v>
      </c>
      <c r="K28" s="120">
        <v>0</v>
      </c>
    </row>
    <row r="29" spans="1:11" x14ac:dyDescent="0.4">
      <c r="A29" s="6">
        <v>28</v>
      </c>
      <c r="B29" s="217" t="s">
        <v>276</v>
      </c>
      <c r="C29" s="251">
        <v>0</v>
      </c>
      <c r="D29" s="120">
        <v>0</v>
      </c>
      <c r="E29" s="120">
        <v>0</v>
      </c>
      <c r="F29" s="120">
        <v>0</v>
      </c>
      <c r="G29" s="120">
        <v>0</v>
      </c>
      <c r="H29" s="120">
        <v>0</v>
      </c>
      <c r="I29" s="120">
        <v>0</v>
      </c>
      <c r="J29" s="250">
        <v>0</v>
      </c>
      <c r="K29" s="120">
        <v>0</v>
      </c>
    </row>
    <row r="30" spans="1:11" x14ac:dyDescent="0.4">
      <c r="A30" s="6">
        <v>29</v>
      </c>
      <c r="B30" s="217" t="s">
        <v>277</v>
      </c>
      <c r="C30" s="251">
        <v>0</v>
      </c>
      <c r="D30" s="120">
        <v>0</v>
      </c>
      <c r="E30" s="120">
        <v>0</v>
      </c>
      <c r="F30" s="120">
        <v>0</v>
      </c>
      <c r="G30" s="120">
        <v>0</v>
      </c>
      <c r="H30" s="120">
        <v>0</v>
      </c>
      <c r="I30" s="120">
        <v>0</v>
      </c>
      <c r="J30" s="250">
        <v>0</v>
      </c>
      <c r="K30" s="120">
        <v>0</v>
      </c>
    </row>
    <row r="31" spans="1:11" x14ac:dyDescent="0.4">
      <c r="A31" s="6">
        <v>30</v>
      </c>
      <c r="B31" s="217" t="s">
        <v>278</v>
      </c>
      <c r="C31" s="251">
        <v>0</v>
      </c>
      <c r="D31" s="120">
        <v>0</v>
      </c>
      <c r="E31" s="120">
        <v>0</v>
      </c>
      <c r="F31" s="120">
        <v>0</v>
      </c>
      <c r="G31" s="120">
        <v>0</v>
      </c>
      <c r="H31" s="120">
        <v>0</v>
      </c>
      <c r="I31" s="120">
        <v>0</v>
      </c>
      <c r="J31" s="250">
        <v>0</v>
      </c>
      <c r="K31" s="120">
        <v>0</v>
      </c>
    </row>
    <row r="32" spans="1:11" x14ac:dyDescent="0.4">
      <c r="A32" s="6">
        <v>31</v>
      </c>
      <c r="B32" s="217" t="s">
        <v>279</v>
      </c>
      <c r="C32" s="251">
        <v>0</v>
      </c>
      <c r="D32" s="120">
        <v>0</v>
      </c>
      <c r="E32" s="120">
        <v>0</v>
      </c>
      <c r="F32" s="120">
        <v>0</v>
      </c>
      <c r="G32" s="120">
        <v>0</v>
      </c>
      <c r="H32" s="120">
        <v>0</v>
      </c>
      <c r="I32" s="120">
        <v>0</v>
      </c>
      <c r="J32" s="250">
        <v>0</v>
      </c>
      <c r="K32" s="120">
        <v>0</v>
      </c>
    </row>
    <row r="33" spans="1:11" x14ac:dyDescent="0.4">
      <c r="A33" s="6">
        <v>32</v>
      </c>
      <c r="B33" s="217" t="s">
        <v>200</v>
      </c>
      <c r="C33" s="251">
        <v>0</v>
      </c>
      <c r="D33" s="120">
        <v>0</v>
      </c>
      <c r="E33" s="120">
        <v>0</v>
      </c>
      <c r="F33" s="120">
        <v>0</v>
      </c>
      <c r="G33" s="120">
        <v>0</v>
      </c>
      <c r="H33" s="120">
        <v>0</v>
      </c>
      <c r="I33" s="120">
        <v>0</v>
      </c>
      <c r="J33" s="250">
        <v>0</v>
      </c>
      <c r="K33" s="120">
        <v>0</v>
      </c>
    </row>
    <row r="34" spans="1:11" x14ac:dyDescent="0.4">
      <c r="A34" s="6">
        <v>33</v>
      </c>
      <c r="B34" s="217" t="s">
        <v>201</v>
      </c>
      <c r="C34" s="251">
        <v>0</v>
      </c>
      <c r="D34" s="120">
        <v>0</v>
      </c>
      <c r="E34" s="120">
        <v>0</v>
      </c>
      <c r="F34" s="120">
        <v>0</v>
      </c>
      <c r="G34" s="120">
        <v>0</v>
      </c>
      <c r="H34" s="120">
        <v>0</v>
      </c>
      <c r="I34" s="120">
        <v>0</v>
      </c>
      <c r="J34" s="250">
        <v>0</v>
      </c>
      <c r="K34" s="120">
        <v>0</v>
      </c>
    </row>
    <row r="35" spans="1:11" x14ac:dyDescent="0.4">
      <c r="A35" s="6">
        <v>34</v>
      </c>
      <c r="B35" s="217" t="s">
        <v>202</v>
      </c>
      <c r="C35" s="251">
        <v>0</v>
      </c>
      <c r="D35" s="120">
        <v>1</v>
      </c>
      <c r="E35" s="120">
        <v>1</v>
      </c>
      <c r="F35" s="120">
        <v>1</v>
      </c>
      <c r="G35" s="120">
        <v>1</v>
      </c>
      <c r="H35" s="120">
        <v>1</v>
      </c>
      <c r="I35" s="120">
        <v>1</v>
      </c>
      <c r="J35" s="120">
        <v>1</v>
      </c>
      <c r="K35" s="120">
        <v>1</v>
      </c>
    </row>
    <row r="36" spans="1:11" x14ac:dyDescent="0.4">
      <c r="A36" s="6">
        <v>35</v>
      </c>
      <c r="B36" s="217" t="s">
        <v>203</v>
      </c>
      <c r="C36" s="250">
        <v>0</v>
      </c>
      <c r="D36" s="250">
        <v>1</v>
      </c>
      <c r="E36" s="250">
        <v>0</v>
      </c>
      <c r="F36" s="250">
        <v>1</v>
      </c>
      <c r="G36" s="250">
        <v>0</v>
      </c>
      <c r="H36" s="250">
        <v>1</v>
      </c>
      <c r="I36" s="250">
        <v>1</v>
      </c>
      <c r="J36" s="250">
        <v>0</v>
      </c>
      <c r="K36" s="120">
        <v>1</v>
      </c>
    </row>
    <row r="37" spans="1:11" x14ac:dyDescent="0.4">
      <c r="A37" s="6">
        <v>36</v>
      </c>
      <c r="B37" s="217" t="s">
        <v>204</v>
      </c>
      <c r="C37" s="250">
        <v>0</v>
      </c>
      <c r="D37" s="250">
        <v>1</v>
      </c>
      <c r="E37" s="250">
        <v>1</v>
      </c>
      <c r="F37" s="250">
        <v>1</v>
      </c>
      <c r="G37" s="250">
        <v>1</v>
      </c>
      <c r="H37" s="250">
        <v>1</v>
      </c>
      <c r="I37" s="250">
        <v>1</v>
      </c>
      <c r="J37" s="250">
        <v>0</v>
      </c>
      <c r="K37" s="120">
        <v>1</v>
      </c>
    </row>
    <row r="38" spans="1:11" x14ac:dyDescent="0.4">
      <c r="A38" s="6">
        <v>37</v>
      </c>
      <c r="B38" s="217" t="s">
        <v>205</v>
      </c>
      <c r="C38" s="250">
        <v>0</v>
      </c>
      <c r="D38" s="250">
        <v>0</v>
      </c>
      <c r="E38" s="250">
        <v>0</v>
      </c>
      <c r="F38" s="250">
        <v>0</v>
      </c>
      <c r="G38" s="250">
        <v>0</v>
      </c>
      <c r="H38" s="250">
        <v>0</v>
      </c>
      <c r="I38" s="250">
        <v>0</v>
      </c>
      <c r="J38" s="250">
        <v>0</v>
      </c>
      <c r="K38" s="120">
        <v>1</v>
      </c>
    </row>
    <row r="39" spans="1:11" x14ac:dyDescent="0.4">
      <c r="A39" s="6">
        <v>38</v>
      </c>
      <c r="B39" s="217" t="s">
        <v>206</v>
      </c>
      <c r="C39" s="251">
        <v>0</v>
      </c>
      <c r="D39" s="120">
        <v>1</v>
      </c>
      <c r="E39" s="120">
        <v>1</v>
      </c>
      <c r="F39" s="120">
        <v>1</v>
      </c>
      <c r="G39" s="120">
        <v>1</v>
      </c>
      <c r="H39" s="120">
        <v>1</v>
      </c>
      <c r="I39" s="120">
        <v>1</v>
      </c>
      <c r="J39" s="120">
        <v>1</v>
      </c>
      <c r="K39" s="120">
        <v>1</v>
      </c>
    </row>
    <row r="40" spans="1:11" x14ac:dyDescent="0.4">
      <c r="A40" s="6">
        <v>39</v>
      </c>
      <c r="B40" s="217" t="s">
        <v>207</v>
      </c>
      <c r="C40" s="250">
        <v>0</v>
      </c>
      <c r="D40" s="250">
        <v>1</v>
      </c>
      <c r="E40" s="250">
        <v>0</v>
      </c>
      <c r="F40" s="250">
        <v>1</v>
      </c>
      <c r="G40" s="250">
        <v>0</v>
      </c>
      <c r="H40" s="250">
        <v>1</v>
      </c>
      <c r="I40" s="120">
        <v>1</v>
      </c>
      <c r="J40" s="250">
        <v>0</v>
      </c>
      <c r="K40" s="120">
        <v>1</v>
      </c>
    </row>
    <row r="41" spans="1:11" x14ac:dyDescent="0.4">
      <c r="A41" s="6">
        <v>40</v>
      </c>
      <c r="B41" s="217" t="s">
        <v>208</v>
      </c>
      <c r="C41" s="250">
        <v>0</v>
      </c>
      <c r="D41" s="250">
        <v>1</v>
      </c>
      <c r="E41" s="250">
        <v>0</v>
      </c>
      <c r="F41" s="250">
        <v>1</v>
      </c>
      <c r="G41" s="250">
        <v>1</v>
      </c>
      <c r="H41" s="250">
        <v>1</v>
      </c>
      <c r="I41" s="120">
        <v>1</v>
      </c>
      <c r="J41" s="250">
        <v>0</v>
      </c>
      <c r="K41" s="120">
        <v>1</v>
      </c>
    </row>
    <row r="42" spans="1:11" x14ac:dyDescent="0.4">
      <c r="A42" s="6">
        <v>41</v>
      </c>
      <c r="B42" s="217" t="s">
        <v>209</v>
      </c>
      <c r="C42" s="251">
        <v>0</v>
      </c>
      <c r="D42" s="120">
        <v>1</v>
      </c>
      <c r="E42" s="120">
        <v>1</v>
      </c>
      <c r="F42" s="120">
        <v>1</v>
      </c>
      <c r="G42" s="120">
        <v>1</v>
      </c>
      <c r="H42" s="120">
        <v>1</v>
      </c>
      <c r="I42" s="120">
        <v>1</v>
      </c>
      <c r="J42" s="120">
        <v>1</v>
      </c>
      <c r="K42" s="120">
        <v>1</v>
      </c>
    </row>
    <row r="43" spans="1:11" x14ac:dyDescent="0.4">
      <c r="A43" s="6">
        <v>42</v>
      </c>
      <c r="B43" s="217" t="s">
        <v>210</v>
      </c>
      <c r="C43" s="251">
        <v>0</v>
      </c>
      <c r="D43" s="120">
        <v>1</v>
      </c>
      <c r="E43" s="120">
        <v>1</v>
      </c>
      <c r="F43" s="120">
        <v>1</v>
      </c>
      <c r="G43" s="120">
        <v>1</v>
      </c>
      <c r="H43" s="120">
        <v>1</v>
      </c>
      <c r="I43" s="120">
        <v>1</v>
      </c>
      <c r="J43" s="120">
        <v>1</v>
      </c>
      <c r="K43" s="120">
        <v>1</v>
      </c>
    </row>
    <row r="44" spans="1:11" x14ac:dyDescent="0.4">
      <c r="A44" s="6">
        <v>43</v>
      </c>
      <c r="B44" s="217" t="s">
        <v>211</v>
      </c>
      <c r="C44" s="250">
        <v>0</v>
      </c>
      <c r="D44" s="250">
        <v>1</v>
      </c>
      <c r="E44" s="250">
        <v>0</v>
      </c>
      <c r="F44" s="250">
        <v>0</v>
      </c>
      <c r="G44" s="250">
        <v>0</v>
      </c>
      <c r="H44" s="250">
        <v>0</v>
      </c>
      <c r="I44" s="120">
        <v>1</v>
      </c>
      <c r="J44" s="250">
        <v>0</v>
      </c>
      <c r="K44" s="120">
        <v>1</v>
      </c>
    </row>
    <row r="45" spans="1:11" x14ac:dyDescent="0.4">
      <c r="A45" s="6">
        <v>44</v>
      </c>
      <c r="B45" s="217" t="s">
        <v>212</v>
      </c>
      <c r="C45" s="251">
        <v>0</v>
      </c>
      <c r="D45" s="120">
        <v>1</v>
      </c>
      <c r="E45" s="120">
        <v>1</v>
      </c>
      <c r="F45" s="120">
        <v>1</v>
      </c>
      <c r="G45" s="120">
        <v>0</v>
      </c>
      <c r="H45" s="120">
        <v>1</v>
      </c>
      <c r="I45" s="120">
        <v>0</v>
      </c>
      <c r="J45" s="250">
        <v>0</v>
      </c>
      <c r="K45" s="120">
        <v>1</v>
      </c>
    </row>
    <row r="46" spans="1:11" x14ac:dyDescent="0.4">
      <c r="A46" s="6">
        <v>45</v>
      </c>
      <c r="B46" s="217" t="s">
        <v>213</v>
      </c>
      <c r="C46" s="250">
        <v>0</v>
      </c>
      <c r="D46" s="250">
        <v>1</v>
      </c>
      <c r="E46" s="250">
        <v>0</v>
      </c>
      <c r="F46" s="250">
        <v>0</v>
      </c>
      <c r="G46" s="250">
        <v>1</v>
      </c>
      <c r="H46" s="120">
        <v>1</v>
      </c>
      <c r="I46" s="250">
        <v>1</v>
      </c>
      <c r="J46" s="250">
        <v>0</v>
      </c>
      <c r="K46" s="120">
        <v>1</v>
      </c>
    </row>
    <row r="47" spans="1:11" x14ac:dyDescent="0.4">
      <c r="A47" s="6">
        <v>46</v>
      </c>
      <c r="B47" s="217" t="s">
        <v>214</v>
      </c>
      <c r="C47" s="250">
        <v>0</v>
      </c>
      <c r="D47" s="250">
        <v>1</v>
      </c>
      <c r="E47" s="250">
        <v>1</v>
      </c>
      <c r="F47" s="250">
        <v>1</v>
      </c>
      <c r="G47" s="250">
        <v>1</v>
      </c>
      <c r="H47" s="120">
        <v>1</v>
      </c>
      <c r="I47" s="250">
        <v>1</v>
      </c>
      <c r="J47" s="250">
        <v>0</v>
      </c>
      <c r="K47" s="120">
        <v>1</v>
      </c>
    </row>
    <row r="48" spans="1:11" x14ac:dyDescent="0.4">
      <c r="A48" s="6">
        <v>47</v>
      </c>
      <c r="B48" s="217" t="s">
        <v>215</v>
      </c>
      <c r="C48" s="251">
        <v>0</v>
      </c>
      <c r="D48" s="120">
        <v>1</v>
      </c>
      <c r="E48" s="120">
        <v>1</v>
      </c>
      <c r="F48" s="120">
        <v>1</v>
      </c>
      <c r="G48" s="120">
        <v>1</v>
      </c>
      <c r="H48" s="120">
        <v>1</v>
      </c>
      <c r="I48" s="250">
        <v>1</v>
      </c>
      <c r="J48" s="120">
        <v>1</v>
      </c>
      <c r="K48" s="120">
        <v>1</v>
      </c>
    </row>
    <row r="49" spans="1:11" x14ac:dyDescent="0.4">
      <c r="A49" s="6">
        <v>48</v>
      </c>
      <c r="B49" s="217" t="s">
        <v>216</v>
      </c>
      <c r="C49" s="251">
        <v>0</v>
      </c>
      <c r="D49" s="120">
        <v>1</v>
      </c>
      <c r="E49" s="120">
        <v>1</v>
      </c>
      <c r="F49" s="120">
        <v>1</v>
      </c>
      <c r="G49" s="120">
        <v>1</v>
      </c>
      <c r="H49" s="120">
        <v>1</v>
      </c>
      <c r="I49" s="250">
        <v>1</v>
      </c>
      <c r="J49" s="120">
        <v>1</v>
      </c>
      <c r="K49" s="120">
        <v>1</v>
      </c>
    </row>
    <row r="50" spans="1:11" x14ac:dyDescent="0.4">
      <c r="A50" s="6">
        <v>49</v>
      </c>
      <c r="B50" s="217" t="s">
        <v>217</v>
      </c>
      <c r="C50" s="251">
        <v>0</v>
      </c>
      <c r="D50" s="120">
        <v>1</v>
      </c>
      <c r="E50" s="120">
        <v>1</v>
      </c>
      <c r="F50" s="120">
        <v>1</v>
      </c>
      <c r="G50" s="120">
        <v>1</v>
      </c>
      <c r="H50" s="120">
        <v>1</v>
      </c>
      <c r="I50" s="250">
        <v>1</v>
      </c>
      <c r="J50" s="120">
        <v>1</v>
      </c>
      <c r="K50" s="120">
        <v>1</v>
      </c>
    </row>
    <row r="51" spans="1:11" x14ac:dyDescent="0.4">
      <c r="A51" s="6">
        <v>50</v>
      </c>
      <c r="B51" s="217" t="s">
        <v>218</v>
      </c>
      <c r="C51" s="251">
        <v>0</v>
      </c>
      <c r="D51" s="120">
        <v>1</v>
      </c>
      <c r="E51" s="120">
        <v>1</v>
      </c>
      <c r="F51" s="120">
        <v>1</v>
      </c>
      <c r="G51" s="120">
        <v>1</v>
      </c>
      <c r="H51" s="120">
        <v>1</v>
      </c>
      <c r="I51" s="250">
        <v>1</v>
      </c>
      <c r="J51" s="120">
        <v>1</v>
      </c>
      <c r="K51" s="120">
        <v>1</v>
      </c>
    </row>
    <row r="52" spans="1:11" x14ac:dyDescent="0.4">
      <c r="A52" s="6">
        <v>51</v>
      </c>
      <c r="B52" s="217" t="s">
        <v>219</v>
      </c>
      <c r="C52" s="250">
        <v>0</v>
      </c>
      <c r="D52" s="250">
        <v>1</v>
      </c>
      <c r="E52" s="250">
        <v>0</v>
      </c>
      <c r="F52" s="250">
        <v>0</v>
      </c>
      <c r="G52" s="250">
        <v>0</v>
      </c>
      <c r="H52" s="120">
        <v>1</v>
      </c>
      <c r="I52" s="250">
        <v>1</v>
      </c>
      <c r="J52" s="250">
        <v>0</v>
      </c>
      <c r="K52" s="120">
        <v>1</v>
      </c>
    </row>
    <row r="53" spans="1:11" x14ac:dyDescent="0.4">
      <c r="A53" s="6">
        <v>52</v>
      </c>
      <c r="B53" s="217" t="s">
        <v>220</v>
      </c>
      <c r="C53" s="251">
        <v>0</v>
      </c>
      <c r="D53" s="120">
        <v>1</v>
      </c>
      <c r="E53" s="120">
        <v>1</v>
      </c>
      <c r="F53" s="120">
        <v>1</v>
      </c>
      <c r="G53" s="120">
        <v>1</v>
      </c>
      <c r="H53" s="120">
        <v>1</v>
      </c>
      <c r="I53" s="250">
        <v>1</v>
      </c>
      <c r="J53" s="120">
        <v>1</v>
      </c>
      <c r="K53" s="120">
        <v>1</v>
      </c>
    </row>
    <row r="54" spans="1:11" x14ac:dyDescent="0.4">
      <c r="A54" s="6">
        <v>53</v>
      </c>
      <c r="B54" s="217" t="s">
        <v>221</v>
      </c>
      <c r="C54" s="251">
        <v>0</v>
      </c>
      <c r="D54" s="120">
        <v>1</v>
      </c>
      <c r="E54" s="120">
        <v>1</v>
      </c>
      <c r="F54" s="120">
        <v>1</v>
      </c>
      <c r="G54" s="120">
        <v>1</v>
      </c>
      <c r="H54" s="120">
        <v>1</v>
      </c>
      <c r="I54" s="250">
        <v>1</v>
      </c>
      <c r="J54" s="120">
        <v>1</v>
      </c>
      <c r="K54" s="120">
        <v>1</v>
      </c>
    </row>
    <row r="55" spans="1:11" x14ac:dyDescent="0.4">
      <c r="A55" s="6">
        <v>54</v>
      </c>
      <c r="B55" s="217" t="s">
        <v>222</v>
      </c>
      <c r="C55" s="251">
        <v>0</v>
      </c>
      <c r="D55" s="120">
        <v>1</v>
      </c>
      <c r="E55" s="120">
        <v>1</v>
      </c>
      <c r="F55" s="120">
        <v>1</v>
      </c>
      <c r="G55" s="120">
        <v>1</v>
      </c>
      <c r="H55" s="120">
        <v>1</v>
      </c>
      <c r="I55" s="250">
        <v>1</v>
      </c>
      <c r="J55" s="120">
        <v>1</v>
      </c>
      <c r="K55" s="120">
        <v>0</v>
      </c>
    </row>
    <row r="56" spans="1:11" x14ac:dyDescent="0.4">
      <c r="A56" s="6">
        <v>55</v>
      </c>
      <c r="B56" s="217" t="s">
        <v>223</v>
      </c>
      <c r="C56" s="251">
        <v>0</v>
      </c>
      <c r="D56" s="120">
        <v>0</v>
      </c>
      <c r="E56" s="120">
        <v>0</v>
      </c>
      <c r="F56" s="120">
        <v>0</v>
      </c>
      <c r="G56" s="120">
        <v>0</v>
      </c>
      <c r="H56" s="120">
        <v>0</v>
      </c>
      <c r="I56" s="120">
        <v>0</v>
      </c>
      <c r="J56" s="120">
        <v>0</v>
      </c>
      <c r="K56" s="120">
        <v>0</v>
      </c>
    </row>
    <row r="57" spans="1:11" x14ac:dyDescent="0.4">
      <c r="A57" s="6">
        <v>56</v>
      </c>
      <c r="B57" s="217" t="s">
        <v>224</v>
      </c>
      <c r="C57" s="251">
        <v>0</v>
      </c>
      <c r="D57" s="120">
        <v>0</v>
      </c>
      <c r="E57" s="120">
        <v>0</v>
      </c>
      <c r="F57" s="120">
        <v>0</v>
      </c>
      <c r="G57" s="120">
        <v>0</v>
      </c>
      <c r="H57" s="120">
        <v>0</v>
      </c>
      <c r="I57" s="120">
        <v>0</v>
      </c>
      <c r="J57" s="120">
        <v>0</v>
      </c>
      <c r="K57" s="120">
        <v>0</v>
      </c>
    </row>
    <row r="58" spans="1:11" x14ac:dyDescent="0.4">
      <c r="A58" s="6">
        <v>57</v>
      </c>
      <c r="B58" s="217" t="s">
        <v>225</v>
      </c>
      <c r="C58" s="251">
        <v>0</v>
      </c>
      <c r="D58" s="120">
        <v>0</v>
      </c>
      <c r="E58" s="120">
        <v>0</v>
      </c>
      <c r="F58" s="120">
        <v>0</v>
      </c>
      <c r="G58" s="120">
        <v>0</v>
      </c>
      <c r="H58" s="120">
        <v>0</v>
      </c>
      <c r="I58" s="120">
        <v>0</v>
      </c>
      <c r="J58" s="120">
        <v>0</v>
      </c>
      <c r="K58" s="120">
        <v>0</v>
      </c>
    </row>
    <row r="59" spans="1:11" x14ac:dyDescent="0.4">
      <c r="A59" s="6">
        <v>58</v>
      </c>
      <c r="B59" s="217" t="s">
        <v>226</v>
      </c>
      <c r="C59" s="251">
        <v>0</v>
      </c>
      <c r="D59" s="120">
        <v>0</v>
      </c>
      <c r="E59" s="120">
        <v>0</v>
      </c>
      <c r="F59" s="120">
        <v>0</v>
      </c>
      <c r="G59" s="120">
        <v>0</v>
      </c>
      <c r="H59" s="120">
        <v>0</v>
      </c>
      <c r="I59" s="120">
        <v>0</v>
      </c>
      <c r="J59" s="120">
        <v>0</v>
      </c>
      <c r="K59" s="120">
        <v>0</v>
      </c>
    </row>
    <row r="60" spans="1:11" x14ac:dyDescent="0.4">
      <c r="A60" s="6">
        <v>59</v>
      </c>
      <c r="B60" s="217" t="s">
        <v>227</v>
      </c>
      <c r="C60" s="251">
        <v>0</v>
      </c>
      <c r="D60" s="120">
        <v>1</v>
      </c>
      <c r="E60" s="120">
        <v>1</v>
      </c>
      <c r="F60" s="120">
        <v>1</v>
      </c>
      <c r="G60" s="120">
        <v>1</v>
      </c>
      <c r="H60" s="120">
        <v>0</v>
      </c>
      <c r="I60" s="120">
        <v>1</v>
      </c>
      <c r="J60" s="120">
        <v>1</v>
      </c>
      <c r="K60" s="120">
        <v>0</v>
      </c>
    </row>
    <row r="61" spans="1:11" x14ac:dyDescent="0.4">
      <c r="A61" s="6">
        <v>60</v>
      </c>
      <c r="B61" s="217" t="s">
        <v>228</v>
      </c>
      <c r="C61" s="251">
        <v>0</v>
      </c>
      <c r="D61" s="120">
        <v>1</v>
      </c>
      <c r="E61" s="120">
        <v>1</v>
      </c>
      <c r="F61" s="120">
        <v>1</v>
      </c>
      <c r="G61" s="120">
        <v>1</v>
      </c>
      <c r="H61" s="120">
        <v>0</v>
      </c>
      <c r="I61" s="120">
        <v>1</v>
      </c>
      <c r="J61" s="120">
        <v>1</v>
      </c>
      <c r="K61" s="120">
        <v>0</v>
      </c>
    </row>
    <row r="62" spans="1:11" x14ac:dyDescent="0.4">
      <c r="A62" s="6">
        <v>61</v>
      </c>
      <c r="B62" s="217" t="s">
        <v>229</v>
      </c>
      <c r="C62" s="251">
        <v>0</v>
      </c>
      <c r="D62" s="120">
        <v>0</v>
      </c>
      <c r="E62" s="120">
        <v>0</v>
      </c>
      <c r="F62" s="120">
        <v>0</v>
      </c>
      <c r="G62" s="120">
        <v>0</v>
      </c>
      <c r="H62" s="120">
        <v>0</v>
      </c>
      <c r="I62" s="120">
        <v>0</v>
      </c>
      <c r="J62" s="120">
        <v>0</v>
      </c>
      <c r="K62" s="120">
        <v>0</v>
      </c>
    </row>
    <row r="63" spans="1:11" x14ac:dyDescent="0.4">
      <c r="A63" s="6">
        <v>62</v>
      </c>
      <c r="B63" s="217" t="s">
        <v>230</v>
      </c>
      <c r="C63" s="251">
        <v>0</v>
      </c>
      <c r="D63" s="120">
        <v>1</v>
      </c>
      <c r="E63" s="120">
        <v>1</v>
      </c>
      <c r="F63" s="120">
        <v>1</v>
      </c>
      <c r="G63" s="120">
        <v>1</v>
      </c>
      <c r="H63" s="120">
        <v>1</v>
      </c>
      <c r="I63" s="120">
        <v>1</v>
      </c>
      <c r="J63" s="120">
        <v>1</v>
      </c>
      <c r="K63" s="120">
        <v>0</v>
      </c>
    </row>
    <row r="64" spans="1:11" x14ac:dyDescent="0.4">
      <c r="A64" s="6">
        <v>63</v>
      </c>
      <c r="B64" s="217" t="s">
        <v>231</v>
      </c>
      <c r="C64" s="251">
        <v>0</v>
      </c>
      <c r="D64" s="120">
        <v>0</v>
      </c>
      <c r="E64" s="120">
        <v>0</v>
      </c>
      <c r="F64" s="120">
        <v>0</v>
      </c>
      <c r="G64" s="120">
        <v>0</v>
      </c>
      <c r="H64" s="120">
        <v>0</v>
      </c>
      <c r="I64" s="120">
        <v>0</v>
      </c>
      <c r="J64" s="120">
        <v>0</v>
      </c>
      <c r="K64" s="120">
        <v>0</v>
      </c>
    </row>
    <row r="65" spans="1:11" ht="15" customHeight="1" x14ac:dyDescent="0.4">
      <c r="A65" s="6">
        <v>64</v>
      </c>
      <c r="B65" s="217" t="s">
        <v>232</v>
      </c>
      <c r="C65" s="251">
        <v>0</v>
      </c>
      <c r="D65" s="120">
        <v>0</v>
      </c>
      <c r="E65" s="120">
        <v>1</v>
      </c>
      <c r="F65" s="120">
        <v>0</v>
      </c>
      <c r="G65" s="120">
        <v>0</v>
      </c>
      <c r="H65" s="120">
        <v>0</v>
      </c>
      <c r="I65" s="120">
        <v>0</v>
      </c>
      <c r="J65" s="120">
        <v>0</v>
      </c>
      <c r="K65" s="120">
        <v>0</v>
      </c>
    </row>
    <row r="66" spans="1:11" ht="15" customHeight="1" x14ac:dyDescent="0.4">
      <c r="A66" s="6">
        <v>65</v>
      </c>
      <c r="B66" s="217" t="s">
        <v>233</v>
      </c>
      <c r="C66" s="251">
        <v>0</v>
      </c>
      <c r="D66" s="120">
        <v>0</v>
      </c>
      <c r="E66" s="120">
        <v>0</v>
      </c>
      <c r="F66" s="120">
        <v>0</v>
      </c>
      <c r="G66" s="120">
        <v>0</v>
      </c>
      <c r="H66" s="120">
        <v>0</v>
      </c>
      <c r="I66" s="120">
        <v>0</v>
      </c>
      <c r="J66" s="120">
        <v>0</v>
      </c>
      <c r="K66" s="120">
        <v>0</v>
      </c>
    </row>
    <row r="67" spans="1:11" ht="15" customHeight="1" x14ac:dyDescent="0.4">
      <c r="A67" s="6">
        <v>66</v>
      </c>
      <c r="B67" s="217" t="s">
        <v>234</v>
      </c>
      <c r="C67" s="251">
        <v>0</v>
      </c>
      <c r="D67" s="120">
        <v>1</v>
      </c>
      <c r="E67" s="120">
        <v>1</v>
      </c>
      <c r="F67" s="120">
        <v>1</v>
      </c>
      <c r="G67" s="120">
        <v>1</v>
      </c>
      <c r="H67" s="120">
        <v>1</v>
      </c>
      <c r="I67" s="120">
        <v>1</v>
      </c>
      <c r="J67" s="120">
        <v>1</v>
      </c>
      <c r="K67" s="120">
        <v>0</v>
      </c>
    </row>
    <row r="68" spans="1:11" ht="15" customHeight="1" x14ac:dyDescent="0.4">
      <c r="A68" s="6">
        <v>67</v>
      </c>
      <c r="B68" s="217" t="s">
        <v>235</v>
      </c>
      <c r="C68" s="251">
        <v>0</v>
      </c>
      <c r="D68" s="120">
        <v>0</v>
      </c>
      <c r="E68" s="120">
        <v>0</v>
      </c>
      <c r="F68" s="120">
        <v>0</v>
      </c>
      <c r="G68" s="120">
        <v>0</v>
      </c>
      <c r="H68" s="120">
        <v>0</v>
      </c>
      <c r="I68" s="120">
        <v>0</v>
      </c>
      <c r="J68" s="120">
        <v>0</v>
      </c>
      <c r="K68" s="120">
        <v>0</v>
      </c>
    </row>
    <row r="69" spans="1:11" ht="15" customHeight="1" x14ac:dyDescent="0.4">
      <c r="A69" s="6">
        <v>68</v>
      </c>
      <c r="B69" s="217" t="s">
        <v>236</v>
      </c>
      <c r="C69" s="251">
        <v>0</v>
      </c>
      <c r="D69" s="120">
        <v>0</v>
      </c>
      <c r="E69" s="120">
        <v>0</v>
      </c>
      <c r="F69" s="120">
        <v>0</v>
      </c>
      <c r="G69" s="120">
        <v>0</v>
      </c>
      <c r="H69" s="120">
        <v>0</v>
      </c>
      <c r="I69" s="120">
        <v>0</v>
      </c>
      <c r="J69" s="120">
        <v>0</v>
      </c>
      <c r="K69" s="120">
        <v>1</v>
      </c>
    </row>
    <row r="70" spans="1:11" ht="15" customHeight="1" x14ac:dyDescent="0.4">
      <c r="A70" s="6">
        <v>69</v>
      </c>
      <c r="B70" s="217" t="s">
        <v>237</v>
      </c>
      <c r="C70" s="251">
        <v>0</v>
      </c>
      <c r="D70" s="120">
        <v>0</v>
      </c>
      <c r="E70" s="120">
        <v>0</v>
      </c>
      <c r="F70" s="120">
        <v>0</v>
      </c>
      <c r="G70" s="120">
        <v>0</v>
      </c>
      <c r="H70" s="120">
        <v>0</v>
      </c>
      <c r="I70" s="120">
        <v>0</v>
      </c>
      <c r="J70" s="120">
        <v>0</v>
      </c>
      <c r="K70" s="120">
        <v>0</v>
      </c>
    </row>
    <row r="71" spans="1:11" ht="15" customHeight="1" x14ac:dyDescent="0.4">
      <c r="A71" s="6">
        <v>70</v>
      </c>
      <c r="B71" s="217" t="s">
        <v>238</v>
      </c>
      <c r="C71" s="251">
        <v>0</v>
      </c>
      <c r="D71" s="120">
        <v>0</v>
      </c>
      <c r="E71" s="120">
        <v>0</v>
      </c>
      <c r="F71" s="120">
        <v>0</v>
      </c>
      <c r="G71" s="120">
        <v>0</v>
      </c>
      <c r="H71" s="120">
        <v>0</v>
      </c>
      <c r="I71" s="120">
        <v>0</v>
      </c>
      <c r="J71" s="120">
        <v>0</v>
      </c>
      <c r="K71" s="120">
        <v>0</v>
      </c>
    </row>
    <row r="72" spans="1:11" ht="15" customHeight="1" x14ac:dyDescent="0.4">
      <c r="A72" s="6">
        <v>71</v>
      </c>
      <c r="B72" s="217" t="s">
        <v>239</v>
      </c>
      <c r="C72" s="251">
        <v>0</v>
      </c>
      <c r="D72" s="120">
        <v>0</v>
      </c>
      <c r="E72" s="120">
        <v>0</v>
      </c>
      <c r="F72" s="120">
        <v>0</v>
      </c>
      <c r="G72" s="120">
        <v>0</v>
      </c>
      <c r="H72" s="120">
        <v>0</v>
      </c>
      <c r="I72" s="120">
        <v>0</v>
      </c>
      <c r="J72" s="120">
        <v>0</v>
      </c>
      <c r="K72" s="120">
        <v>0</v>
      </c>
    </row>
    <row r="73" spans="1:11" ht="15" customHeight="1" x14ac:dyDescent="0.4">
      <c r="A73" s="6">
        <v>72</v>
      </c>
      <c r="B73" s="217" t="s">
        <v>240</v>
      </c>
      <c r="C73" s="251">
        <v>0</v>
      </c>
      <c r="D73" s="120">
        <v>0</v>
      </c>
      <c r="E73" s="120">
        <v>0</v>
      </c>
      <c r="F73" s="120">
        <v>0</v>
      </c>
      <c r="G73" s="120">
        <v>0</v>
      </c>
      <c r="H73" s="120">
        <v>0</v>
      </c>
      <c r="I73" s="120">
        <v>0</v>
      </c>
      <c r="J73" s="120">
        <v>0</v>
      </c>
      <c r="K73" s="120">
        <v>0</v>
      </c>
    </row>
    <row r="74" spans="1:11" ht="15" customHeight="1" x14ac:dyDescent="0.4">
      <c r="A74" s="6">
        <v>73</v>
      </c>
      <c r="B74" s="217" t="s">
        <v>241</v>
      </c>
      <c r="C74" s="251">
        <v>0</v>
      </c>
      <c r="D74" s="120">
        <v>0</v>
      </c>
      <c r="E74" s="120">
        <v>0</v>
      </c>
      <c r="F74" s="120">
        <v>0</v>
      </c>
      <c r="G74" s="120">
        <v>0</v>
      </c>
      <c r="H74" s="120">
        <v>0</v>
      </c>
      <c r="I74" s="120">
        <v>0</v>
      </c>
      <c r="J74" s="120">
        <v>0</v>
      </c>
      <c r="K74" s="120">
        <v>0</v>
      </c>
    </row>
    <row r="75" spans="1:11" ht="15" customHeight="1" x14ac:dyDescent="0.4">
      <c r="A75" s="6">
        <v>74</v>
      </c>
      <c r="B75" s="217" t="s">
        <v>242</v>
      </c>
      <c r="C75" s="251">
        <v>0</v>
      </c>
      <c r="D75" s="120">
        <v>0</v>
      </c>
      <c r="E75" s="120">
        <v>0</v>
      </c>
      <c r="F75" s="120">
        <v>0</v>
      </c>
      <c r="G75" s="120">
        <v>0</v>
      </c>
      <c r="H75" s="120">
        <v>0</v>
      </c>
      <c r="I75" s="120">
        <v>0</v>
      </c>
      <c r="J75" s="120">
        <v>0</v>
      </c>
      <c r="K75" s="120">
        <v>0</v>
      </c>
    </row>
    <row r="76" spans="1:11" ht="15" customHeight="1" x14ac:dyDescent="0.4">
      <c r="A76" s="6">
        <v>75</v>
      </c>
      <c r="B76" s="217" t="s">
        <v>243</v>
      </c>
      <c r="C76" s="251">
        <v>0</v>
      </c>
      <c r="D76" s="120">
        <v>0</v>
      </c>
      <c r="E76" s="120">
        <v>0</v>
      </c>
      <c r="F76" s="120">
        <v>0</v>
      </c>
      <c r="G76" s="120">
        <v>0</v>
      </c>
      <c r="H76" s="120">
        <v>0</v>
      </c>
      <c r="I76" s="120">
        <v>0</v>
      </c>
      <c r="J76" s="120">
        <v>0</v>
      </c>
      <c r="K76" s="120">
        <v>0</v>
      </c>
    </row>
    <row r="77" spans="1:11" ht="15" customHeight="1" x14ac:dyDescent="0.4">
      <c r="A77" s="6">
        <v>76</v>
      </c>
      <c r="B77" s="217" t="s">
        <v>244</v>
      </c>
      <c r="C77" s="251">
        <v>0</v>
      </c>
      <c r="D77" s="120">
        <v>0</v>
      </c>
      <c r="E77" s="120">
        <v>0</v>
      </c>
      <c r="F77" s="120">
        <v>0</v>
      </c>
      <c r="G77" s="120">
        <v>0</v>
      </c>
      <c r="H77" s="120">
        <v>0</v>
      </c>
      <c r="I77" s="120">
        <v>0</v>
      </c>
      <c r="J77" s="120">
        <v>0</v>
      </c>
      <c r="K77" s="120">
        <v>0</v>
      </c>
    </row>
    <row r="78" spans="1:11" ht="15" customHeight="1" x14ac:dyDescent="0.4">
      <c r="A78" s="6">
        <v>77</v>
      </c>
      <c r="B78" s="217" t="s">
        <v>245</v>
      </c>
      <c r="C78" s="251">
        <v>0</v>
      </c>
      <c r="D78" s="120">
        <v>0</v>
      </c>
      <c r="E78" s="120">
        <v>0</v>
      </c>
      <c r="F78" s="120">
        <v>0</v>
      </c>
      <c r="G78" s="120">
        <v>0</v>
      </c>
      <c r="H78" s="120">
        <v>0</v>
      </c>
      <c r="I78" s="120">
        <v>0</v>
      </c>
      <c r="J78" s="120">
        <v>0</v>
      </c>
      <c r="K78" s="120">
        <v>0</v>
      </c>
    </row>
    <row r="79" spans="1:11" ht="15" customHeight="1" x14ac:dyDescent="0.4">
      <c r="A79" s="6">
        <v>78</v>
      </c>
      <c r="B79" s="217" t="s">
        <v>246</v>
      </c>
      <c r="C79" s="251">
        <v>0</v>
      </c>
      <c r="D79" s="120">
        <v>0</v>
      </c>
      <c r="E79" s="120">
        <v>0</v>
      </c>
      <c r="F79" s="120">
        <v>0</v>
      </c>
      <c r="G79" s="120">
        <v>0</v>
      </c>
      <c r="H79" s="120">
        <v>0</v>
      </c>
      <c r="I79" s="120">
        <v>0</v>
      </c>
      <c r="J79" s="120">
        <v>0</v>
      </c>
      <c r="K79" s="120">
        <v>0</v>
      </c>
    </row>
    <row r="80" spans="1:11" ht="15" customHeight="1" x14ac:dyDescent="0.4">
      <c r="A80" s="6">
        <v>79</v>
      </c>
      <c r="B80" s="217" t="s">
        <v>247</v>
      </c>
      <c r="C80" s="251">
        <v>0</v>
      </c>
      <c r="D80" s="120">
        <v>0</v>
      </c>
      <c r="E80" s="120">
        <v>0</v>
      </c>
      <c r="F80" s="120">
        <v>0</v>
      </c>
      <c r="G80" s="120">
        <v>0</v>
      </c>
      <c r="H80" s="120">
        <v>0</v>
      </c>
      <c r="I80" s="120">
        <v>0</v>
      </c>
      <c r="J80" s="120">
        <v>0</v>
      </c>
      <c r="K80" s="120">
        <v>0</v>
      </c>
    </row>
    <row r="81" spans="1:11" ht="15" customHeight="1" x14ac:dyDescent="0.4">
      <c r="A81" s="6">
        <v>80</v>
      </c>
      <c r="B81" s="217" t="s">
        <v>280</v>
      </c>
      <c r="C81" s="251">
        <v>0</v>
      </c>
      <c r="D81" s="120">
        <v>0</v>
      </c>
      <c r="E81" s="120">
        <v>0</v>
      </c>
      <c r="F81" s="120">
        <v>0</v>
      </c>
      <c r="G81" s="120">
        <v>0</v>
      </c>
      <c r="H81" s="120">
        <v>0</v>
      </c>
      <c r="I81" s="120">
        <v>0</v>
      </c>
      <c r="J81" s="120">
        <v>0</v>
      </c>
      <c r="K81" s="120">
        <v>0</v>
      </c>
    </row>
    <row r="82" spans="1:11" ht="15" customHeight="1" x14ac:dyDescent="0.4">
      <c r="A82" s="6">
        <v>81</v>
      </c>
      <c r="B82" s="217" t="s">
        <v>281</v>
      </c>
      <c r="C82" s="251">
        <v>0</v>
      </c>
      <c r="D82" s="120">
        <v>0</v>
      </c>
      <c r="E82" s="120">
        <v>0</v>
      </c>
      <c r="F82" s="120">
        <v>0</v>
      </c>
      <c r="G82" s="120">
        <v>0</v>
      </c>
      <c r="H82" s="120">
        <v>0</v>
      </c>
      <c r="I82" s="120">
        <v>0</v>
      </c>
      <c r="J82" s="120">
        <v>0</v>
      </c>
      <c r="K82" s="120">
        <v>0</v>
      </c>
    </row>
    <row r="83" spans="1:11" ht="15" customHeight="1" x14ac:dyDescent="0.4">
      <c r="A83" s="6">
        <v>82</v>
      </c>
      <c r="B83" s="217" t="s">
        <v>248</v>
      </c>
      <c r="C83" s="251">
        <v>0</v>
      </c>
      <c r="D83" s="120">
        <v>0</v>
      </c>
      <c r="E83" s="120">
        <v>0</v>
      </c>
      <c r="F83" s="120">
        <v>0</v>
      </c>
      <c r="G83" s="120">
        <v>0</v>
      </c>
      <c r="H83" s="120">
        <v>0</v>
      </c>
      <c r="I83" s="120">
        <v>0</v>
      </c>
      <c r="J83" s="120">
        <v>0</v>
      </c>
      <c r="K83" s="120">
        <v>0</v>
      </c>
    </row>
    <row r="84" spans="1:11" ht="15" customHeight="1" x14ac:dyDescent="0.4">
      <c r="A84" s="6">
        <v>83</v>
      </c>
      <c r="B84" s="217" t="s">
        <v>249</v>
      </c>
      <c r="C84" s="251">
        <v>0</v>
      </c>
      <c r="D84" s="120">
        <v>0</v>
      </c>
      <c r="E84" s="120">
        <v>0</v>
      </c>
      <c r="F84" s="120">
        <v>0</v>
      </c>
      <c r="G84" s="120">
        <v>0</v>
      </c>
      <c r="H84" s="120">
        <v>0</v>
      </c>
      <c r="I84" s="120">
        <v>0</v>
      </c>
      <c r="J84" s="120">
        <v>0</v>
      </c>
      <c r="K84" s="120">
        <v>0</v>
      </c>
    </row>
    <row r="85" spans="1:11" ht="15" customHeight="1" x14ac:dyDescent="0.4">
      <c r="A85" s="6">
        <v>84</v>
      </c>
      <c r="B85" s="217" t="s">
        <v>282</v>
      </c>
      <c r="C85" s="251">
        <v>0</v>
      </c>
      <c r="D85" s="120">
        <v>0</v>
      </c>
      <c r="E85" s="120">
        <v>0</v>
      </c>
      <c r="F85" s="120">
        <v>0</v>
      </c>
      <c r="G85" s="120">
        <v>0</v>
      </c>
      <c r="H85" s="120">
        <v>0</v>
      </c>
      <c r="I85" s="120">
        <v>0</v>
      </c>
      <c r="J85" s="120">
        <v>0</v>
      </c>
      <c r="K85" s="120">
        <v>0</v>
      </c>
    </row>
    <row r="86" spans="1:11" ht="15" customHeight="1" x14ac:dyDescent="0.4">
      <c r="A86" s="6">
        <v>85</v>
      </c>
      <c r="B86" s="217" t="s">
        <v>283</v>
      </c>
      <c r="C86" s="251">
        <v>0</v>
      </c>
      <c r="D86" s="120">
        <v>0</v>
      </c>
      <c r="E86" s="120">
        <v>0</v>
      </c>
      <c r="F86" s="120">
        <v>0</v>
      </c>
      <c r="G86" s="120">
        <v>0</v>
      </c>
      <c r="H86" s="120">
        <v>0</v>
      </c>
      <c r="I86" s="120">
        <v>0</v>
      </c>
      <c r="J86" s="120">
        <v>0</v>
      </c>
      <c r="K86" s="120">
        <v>0</v>
      </c>
    </row>
    <row r="87" spans="1:11" ht="15" customHeight="1" x14ac:dyDescent="0.4">
      <c r="A87" s="6">
        <v>86</v>
      </c>
      <c r="B87" s="217" t="s">
        <v>250</v>
      </c>
      <c r="C87" s="251">
        <v>0</v>
      </c>
      <c r="D87" s="120">
        <v>0</v>
      </c>
      <c r="E87" s="120">
        <v>0</v>
      </c>
      <c r="F87" s="120">
        <v>0</v>
      </c>
      <c r="G87" s="120">
        <v>0</v>
      </c>
      <c r="H87" s="120">
        <v>0</v>
      </c>
      <c r="I87" s="120">
        <v>0</v>
      </c>
      <c r="J87" s="120">
        <v>0</v>
      </c>
      <c r="K87" s="120">
        <v>0</v>
      </c>
    </row>
    <row r="88" spans="1:11" x14ac:dyDescent="0.4">
      <c r="A88" s="217">
        <v>87</v>
      </c>
      <c r="B88" s="217" t="s">
        <v>251</v>
      </c>
      <c r="C88" s="251">
        <v>0</v>
      </c>
      <c r="D88" s="120">
        <v>0</v>
      </c>
      <c r="E88" s="120">
        <v>0</v>
      </c>
      <c r="F88" s="120">
        <v>0</v>
      </c>
      <c r="G88" s="120">
        <v>0</v>
      </c>
      <c r="H88" s="120">
        <v>0</v>
      </c>
      <c r="I88" s="120">
        <v>0</v>
      </c>
      <c r="J88" s="120">
        <v>0</v>
      </c>
      <c r="K88" s="120">
        <v>0</v>
      </c>
    </row>
    <row r="89" spans="1:11" x14ac:dyDescent="0.4">
      <c r="A89" s="217">
        <v>88</v>
      </c>
      <c r="B89" s="217" t="s">
        <v>252</v>
      </c>
      <c r="C89" s="251">
        <v>0</v>
      </c>
      <c r="D89" s="120">
        <v>0</v>
      </c>
      <c r="E89" s="120">
        <v>0</v>
      </c>
      <c r="F89" s="120">
        <v>0</v>
      </c>
      <c r="G89" s="120">
        <v>0</v>
      </c>
      <c r="H89" s="120">
        <v>0</v>
      </c>
      <c r="I89" s="120">
        <v>0</v>
      </c>
      <c r="J89" s="120">
        <v>0</v>
      </c>
      <c r="K89" s="120">
        <v>0</v>
      </c>
    </row>
    <row r="90" spans="1:11" x14ac:dyDescent="0.4">
      <c r="A90" s="217">
        <v>89</v>
      </c>
      <c r="B90" s="217" t="s">
        <v>253</v>
      </c>
      <c r="C90" s="251">
        <v>0</v>
      </c>
      <c r="D90" s="120">
        <v>0</v>
      </c>
      <c r="E90" s="120">
        <v>0</v>
      </c>
      <c r="F90" s="120">
        <v>0</v>
      </c>
      <c r="G90" s="120">
        <v>0</v>
      </c>
      <c r="H90" s="120">
        <v>0</v>
      </c>
      <c r="I90" s="120">
        <v>0</v>
      </c>
      <c r="J90" s="120">
        <v>0</v>
      </c>
      <c r="K90" s="120">
        <v>0</v>
      </c>
    </row>
    <row r="91" spans="1:11" x14ac:dyDescent="0.4">
      <c r="A91" s="217">
        <v>90</v>
      </c>
      <c r="B91" s="217" t="s">
        <v>254</v>
      </c>
      <c r="C91" s="251">
        <v>0</v>
      </c>
      <c r="D91" s="120">
        <v>0</v>
      </c>
      <c r="E91" s="120">
        <v>0</v>
      </c>
      <c r="F91" s="120">
        <v>0</v>
      </c>
      <c r="G91" s="120">
        <v>0</v>
      </c>
      <c r="H91" s="120">
        <v>0</v>
      </c>
      <c r="I91" s="120">
        <v>0</v>
      </c>
      <c r="J91" s="120">
        <v>0</v>
      </c>
      <c r="K91" s="120">
        <v>0</v>
      </c>
    </row>
    <row r="92" spans="1:11" x14ac:dyDescent="0.4">
      <c r="A92" s="217">
        <v>91</v>
      </c>
      <c r="B92" s="217" t="s">
        <v>433</v>
      </c>
      <c r="C92" s="251">
        <v>0</v>
      </c>
      <c r="D92" s="120">
        <v>0</v>
      </c>
      <c r="E92" s="120">
        <v>0</v>
      </c>
      <c r="F92" s="120">
        <v>0</v>
      </c>
      <c r="G92" s="120">
        <v>0</v>
      </c>
      <c r="H92" s="120">
        <v>0</v>
      </c>
      <c r="I92" s="120">
        <v>0</v>
      </c>
      <c r="J92" s="120">
        <v>0</v>
      </c>
      <c r="K92" s="120">
        <v>0</v>
      </c>
    </row>
    <row r="93" spans="1:11" x14ac:dyDescent="0.4">
      <c r="A93" s="217">
        <v>92</v>
      </c>
      <c r="B93" s="217" t="s">
        <v>434</v>
      </c>
      <c r="C93" s="251">
        <v>0</v>
      </c>
      <c r="D93" s="120">
        <v>0</v>
      </c>
      <c r="E93" s="120">
        <v>0</v>
      </c>
      <c r="F93" s="120">
        <v>0</v>
      </c>
      <c r="G93" s="120">
        <v>0</v>
      </c>
      <c r="H93" s="120">
        <v>0</v>
      </c>
      <c r="I93" s="120">
        <v>0</v>
      </c>
      <c r="J93" s="120">
        <v>0</v>
      </c>
      <c r="K93" s="120">
        <v>0</v>
      </c>
    </row>
    <row r="94" spans="1:11" x14ac:dyDescent="0.4">
      <c r="A94" s="217">
        <v>93</v>
      </c>
      <c r="B94" s="217" t="s">
        <v>435</v>
      </c>
      <c r="C94" s="251">
        <v>0</v>
      </c>
      <c r="D94" s="120">
        <v>0</v>
      </c>
      <c r="E94" s="120">
        <v>0</v>
      </c>
      <c r="F94" s="120">
        <v>0</v>
      </c>
      <c r="G94" s="120">
        <v>0</v>
      </c>
      <c r="H94" s="120">
        <v>0</v>
      </c>
      <c r="I94" s="120">
        <v>0</v>
      </c>
      <c r="J94" s="120">
        <v>0</v>
      </c>
      <c r="K94" s="120">
        <v>0</v>
      </c>
    </row>
    <row r="95" spans="1:11" x14ac:dyDescent="0.4">
      <c r="A95" s="217">
        <v>94</v>
      </c>
      <c r="B95" s="217" t="s">
        <v>436</v>
      </c>
      <c r="C95" s="251">
        <v>0</v>
      </c>
      <c r="D95" s="120">
        <v>0</v>
      </c>
      <c r="E95" s="120">
        <v>0</v>
      </c>
      <c r="F95" s="120">
        <v>0</v>
      </c>
      <c r="G95" s="120">
        <v>0</v>
      </c>
      <c r="H95" s="120">
        <v>0</v>
      </c>
      <c r="I95" s="120">
        <v>0</v>
      </c>
      <c r="J95" s="120">
        <v>0</v>
      </c>
      <c r="K95" s="120">
        <v>0</v>
      </c>
    </row>
    <row r="96" spans="1:11" x14ac:dyDescent="0.4">
      <c r="A96" s="217">
        <v>95</v>
      </c>
      <c r="B96" s="217" t="s">
        <v>437</v>
      </c>
      <c r="C96" s="251">
        <v>0</v>
      </c>
      <c r="D96" s="120">
        <v>0</v>
      </c>
      <c r="E96" s="120">
        <v>0</v>
      </c>
      <c r="F96" s="120">
        <v>0</v>
      </c>
      <c r="G96" s="120">
        <v>0</v>
      </c>
      <c r="H96" s="120">
        <v>0</v>
      </c>
      <c r="I96" s="120">
        <v>0</v>
      </c>
      <c r="J96" s="120">
        <v>0</v>
      </c>
      <c r="K96" s="120">
        <v>0</v>
      </c>
    </row>
    <row r="97" spans="1:11" x14ac:dyDescent="0.4">
      <c r="A97" s="217">
        <v>96</v>
      </c>
      <c r="B97" s="217" t="s">
        <v>438</v>
      </c>
      <c r="C97" s="251">
        <v>0</v>
      </c>
      <c r="D97" s="120">
        <v>0</v>
      </c>
      <c r="E97" s="120">
        <v>0</v>
      </c>
      <c r="F97" s="120">
        <v>0</v>
      </c>
      <c r="G97" s="120">
        <v>0</v>
      </c>
      <c r="H97" s="120">
        <v>0</v>
      </c>
      <c r="I97" s="120">
        <v>0</v>
      </c>
      <c r="J97" s="120">
        <v>0</v>
      </c>
      <c r="K97" s="120">
        <v>0</v>
      </c>
    </row>
    <row r="98" spans="1:11" x14ac:dyDescent="0.4">
      <c r="A98" s="217">
        <v>97</v>
      </c>
      <c r="B98" s="217" t="s">
        <v>439</v>
      </c>
      <c r="C98" s="251">
        <v>0</v>
      </c>
      <c r="D98" s="120">
        <v>0</v>
      </c>
      <c r="E98" s="120">
        <v>0</v>
      </c>
      <c r="F98" s="120">
        <v>0</v>
      </c>
      <c r="G98" s="120">
        <v>0</v>
      </c>
      <c r="H98" s="120">
        <v>0</v>
      </c>
      <c r="I98" s="120">
        <v>0</v>
      </c>
      <c r="J98" s="120">
        <v>0</v>
      </c>
      <c r="K98" s="120">
        <v>0</v>
      </c>
    </row>
    <row r="99" spans="1:11" x14ac:dyDescent="0.4">
      <c r="A99" s="217">
        <v>98</v>
      </c>
      <c r="B99" s="217" t="s">
        <v>440</v>
      </c>
      <c r="C99" s="251">
        <v>0</v>
      </c>
      <c r="D99" s="120">
        <v>0</v>
      </c>
      <c r="E99" s="120">
        <v>0</v>
      </c>
      <c r="F99" s="120">
        <v>0</v>
      </c>
      <c r="G99" s="120">
        <v>0</v>
      </c>
      <c r="H99" s="120">
        <v>0</v>
      </c>
      <c r="I99" s="120">
        <v>0</v>
      </c>
      <c r="J99" s="120">
        <v>0</v>
      </c>
      <c r="K99" s="120">
        <v>0</v>
      </c>
    </row>
    <row r="100" spans="1:11" x14ac:dyDescent="0.4">
      <c r="A100" s="217">
        <v>99</v>
      </c>
      <c r="B100" s="217" t="s">
        <v>264</v>
      </c>
      <c r="C100" s="251">
        <v>0</v>
      </c>
      <c r="D100" s="120">
        <v>0</v>
      </c>
      <c r="E100" s="120">
        <v>0</v>
      </c>
      <c r="F100" s="120">
        <v>0</v>
      </c>
      <c r="G100" s="120">
        <v>0</v>
      </c>
      <c r="H100" s="120">
        <v>0</v>
      </c>
      <c r="I100" s="120">
        <v>0</v>
      </c>
      <c r="J100" s="120">
        <v>0</v>
      </c>
      <c r="K100" s="120">
        <v>0</v>
      </c>
    </row>
  </sheetData>
  <pageMargins left="0.75" right="0.75" top="1" bottom="1" header="0.5" footer="0.5"/>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AD100"/>
  <sheetViews>
    <sheetView workbookViewId="0">
      <pane xSplit="2" ySplit="1" topLeftCell="C2" activePane="bottomRight" state="frozen"/>
      <selection pane="topRight" activeCell="C1" sqref="C1"/>
      <selection pane="bottomLeft" activeCell="A2" sqref="A2"/>
      <selection pane="bottomRight" activeCell="B3" sqref="B3"/>
    </sheetView>
  </sheetViews>
  <sheetFormatPr defaultColWidth="10.6640625" defaultRowHeight="12.3" x14ac:dyDescent="0.4"/>
  <cols>
    <col min="1" max="1" width="12.6640625" customWidth="1"/>
    <col min="2" max="2" width="46.5" bestFit="1" customWidth="1"/>
    <col min="3" max="3" width="14.83203125" bestFit="1" customWidth="1"/>
    <col min="4" max="4" width="15.5" bestFit="1" customWidth="1"/>
    <col min="5" max="5" width="24.33203125" bestFit="1" customWidth="1"/>
    <col min="6" max="6" width="27.5" bestFit="1" customWidth="1"/>
    <col min="7" max="7" width="35.5" bestFit="1" customWidth="1"/>
    <col min="8" max="8" width="30.6640625" bestFit="1" customWidth="1"/>
    <col min="9" max="9" width="19" bestFit="1" customWidth="1"/>
    <col min="10" max="10" width="32.33203125" bestFit="1" customWidth="1"/>
    <col min="11" max="11" width="21.5" bestFit="1" customWidth="1"/>
    <col min="12" max="12" width="14.33203125" bestFit="1" customWidth="1"/>
    <col min="13" max="13" width="12.6640625" bestFit="1" customWidth="1"/>
    <col min="14" max="14" width="14.33203125" bestFit="1" customWidth="1"/>
    <col min="15" max="15" width="24" bestFit="1" customWidth="1"/>
    <col min="16" max="16" width="26.6640625" bestFit="1" customWidth="1"/>
    <col min="17" max="17" width="13" bestFit="1" customWidth="1"/>
    <col min="18" max="18" width="22" bestFit="1" customWidth="1"/>
    <col min="19" max="19" width="23" bestFit="1" customWidth="1"/>
  </cols>
  <sheetData>
    <row r="1" spans="1:30" ht="24.6" x14ac:dyDescent="0.4">
      <c r="A1" s="5" t="s">
        <v>83</v>
      </c>
      <c r="B1" s="3" t="s">
        <v>0</v>
      </c>
      <c r="C1" s="230" t="s">
        <v>433</v>
      </c>
      <c r="D1" s="230" t="s">
        <v>434</v>
      </c>
      <c r="E1" s="230" t="s">
        <v>435</v>
      </c>
      <c r="F1" s="230" t="s">
        <v>436</v>
      </c>
      <c r="G1" s="230" t="s">
        <v>437</v>
      </c>
      <c r="H1" s="230" t="s">
        <v>438</v>
      </c>
      <c r="I1" s="230" t="s">
        <v>439</v>
      </c>
      <c r="J1" s="88" t="s">
        <v>440</v>
      </c>
      <c r="K1" s="88" t="s">
        <v>264</v>
      </c>
      <c r="L1" s="216"/>
      <c r="M1" s="216"/>
      <c r="N1" s="216"/>
      <c r="O1" s="216"/>
      <c r="P1" s="216"/>
      <c r="Q1" s="216"/>
      <c r="R1" s="216"/>
      <c r="S1" s="216"/>
      <c r="T1" s="216"/>
      <c r="U1" s="216"/>
      <c r="V1" s="216"/>
      <c r="W1" s="216"/>
      <c r="X1" s="216"/>
      <c r="Y1" s="216"/>
      <c r="Z1" s="216"/>
      <c r="AA1" s="216"/>
      <c r="AB1" s="216"/>
      <c r="AC1" s="216"/>
      <c r="AD1" s="216"/>
    </row>
    <row r="2" spans="1:30" x14ac:dyDescent="0.4">
      <c r="A2" s="217">
        <v>1</v>
      </c>
      <c r="B2" s="217" t="s">
        <v>177</v>
      </c>
      <c r="C2" s="216">
        <v>0</v>
      </c>
      <c r="D2" s="216">
        <v>0</v>
      </c>
      <c r="E2" s="216">
        <v>0</v>
      </c>
      <c r="F2" s="216">
        <v>0</v>
      </c>
      <c r="G2" s="216">
        <v>0</v>
      </c>
      <c r="H2" s="216">
        <v>0</v>
      </c>
      <c r="I2" s="216">
        <v>0</v>
      </c>
      <c r="J2" s="216">
        <v>0</v>
      </c>
      <c r="K2" s="216">
        <v>0</v>
      </c>
    </row>
    <row r="3" spans="1:30" x14ac:dyDescent="0.4">
      <c r="A3" s="217">
        <v>2</v>
      </c>
      <c r="B3" s="217" t="s">
        <v>178</v>
      </c>
      <c r="C3" s="216">
        <v>0</v>
      </c>
      <c r="D3" s="216">
        <v>0</v>
      </c>
      <c r="E3" s="216">
        <v>0</v>
      </c>
      <c r="F3" s="216">
        <v>0</v>
      </c>
      <c r="G3" s="216">
        <v>0</v>
      </c>
      <c r="H3" s="216">
        <v>0</v>
      </c>
      <c r="I3" s="216">
        <v>0</v>
      </c>
      <c r="J3" s="216">
        <v>0</v>
      </c>
      <c r="K3" s="216">
        <v>0</v>
      </c>
    </row>
    <row r="4" spans="1:30" x14ac:dyDescent="0.4">
      <c r="A4" s="217">
        <v>3</v>
      </c>
      <c r="B4" s="217" t="s">
        <v>179</v>
      </c>
      <c r="C4" s="216">
        <v>0</v>
      </c>
      <c r="D4" s="216">
        <v>0</v>
      </c>
      <c r="E4" s="216">
        <v>0</v>
      </c>
      <c r="F4" s="216">
        <v>0</v>
      </c>
      <c r="G4" s="216">
        <v>0</v>
      </c>
      <c r="H4" s="216">
        <v>0</v>
      </c>
      <c r="I4" s="216">
        <v>0</v>
      </c>
      <c r="J4" s="216">
        <v>0</v>
      </c>
      <c r="K4" s="216">
        <v>0</v>
      </c>
    </row>
    <row r="5" spans="1:30" x14ac:dyDescent="0.4">
      <c r="A5" s="217">
        <v>4</v>
      </c>
      <c r="B5" s="217" t="s">
        <v>180</v>
      </c>
      <c r="C5" s="216">
        <v>0</v>
      </c>
      <c r="D5" s="216">
        <v>0</v>
      </c>
      <c r="E5" s="216">
        <v>0</v>
      </c>
      <c r="F5" s="216">
        <v>0</v>
      </c>
      <c r="G5" s="216">
        <v>0</v>
      </c>
      <c r="H5" s="216">
        <v>0</v>
      </c>
      <c r="I5" s="216">
        <v>0</v>
      </c>
      <c r="J5" s="216">
        <v>0</v>
      </c>
      <c r="K5" s="216">
        <v>0</v>
      </c>
    </row>
    <row r="6" spans="1:30" x14ac:dyDescent="0.4">
      <c r="A6" s="217">
        <v>5</v>
      </c>
      <c r="B6" s="217" t="s">
        <v>181</v>
      </c>
      <c r="C6" s="216">
        <v>0</v>
      </c>
      <c r="D6" s="216">
        <v>0</v>
      </c>
      <c r="E6" s="216">
        <v>0</v>
      </c>
      <c r="F6" s="216">
        <v>0</v>
      </c>
      <c r="G6" s="216">
        <v>0</v>
      </c>
      <c r="H6" s="216">
        <v>0</v>
      </c>
      <c r="I6" s="216">
        <v>0</v>
      </c>
      <c r="J6" s="216">
        <v>0</v>
      </c>
      <c r="K6" s="216">
        <v>0</v>
      </c>
    </row>
    <row r="7" spans="1:30" x14ac:dyDescent="0.4">
      <c r="A7" s="217">
        <v>6</v>
      </c>
      <c r="B7" s="217" t="s">
        <v>182</v>
      </c>
      <c r="C7" s="216">
        <v>0</v>
      </c>
      <c r="D7" s="216">
        <v>0</v>
      </c>
      <c r="E7" s="216">
        <v>0</v>
      </c>
      <c r="F7" s="216">
        <v>0</v>
      </c>
      <c r="G7" s="216">
        <v>0</v>
      </c>
      <c r="H7" s="216">
        <v>0</v>
      </c>
      <c r="I7" s="216">
        <v>0</v>
      </c>
      <c r="J7" s="216">
        <v>0</v>
      </c>
      <c r="K7" s="216">
        <v>0</v>
      </c>
    </row>
    <row r="8" spans="1:30" x14ac:dyDescent="0.4">
      <c r="A8" s="217">
        <v>7</v>
      </c>
      <c r="B8" s="217" t="s">
        <v>183</v>
      </c>
      <c r="C8" s="216">
        <v>0</v>
      </c>
      <c r="D8" s="216">
        <v>0</v>
      </c>
      <c r="E8" s="216">
        <v>0</v>
      </c>
      <c r="F8" s="216">
        <v>0</v>
      </c>
      <c r="G8" s="216">
        <v>0</v>
      </c>
      <c r="H8" s="216">
        <v>0</v>
      </c>
      <c r="I8" s="216">
        <v>0</v>
      </c>
      <c r="J8" s="216">
        <v>0</v>
      </c>
      <c r="K8" s="216">
        <v>0</v>
      </c>
    </row>
    <row r="9" spans="1:30" x14ac:dyDescent="0.4">
      <c r="A9" s="217">
        <v>8</v>
      </c>
      <c r="B9" s="217" t="s">
        <v>184</v>
      </c>
      <c r="C9" s="216">
        <v>0</v>
      </c>
      <c r="D9" s="216">
        <v>0</v>
      </c>
      <c r="E9" s="216">
        <v>0</v>
      </c>
      <c r="F9" s="216">
        <v>0</v>
      </c>
      <c r="G9" s="216">
        <v>0</v>
      </c>
      <c r="H9" s="216">
        <v>0</v>
      </c>
      <c r="I9" s="216">
        <v>0</v>
      </c>
      <c r="J9" s="216">
        <v>0</v>
      </c>
      <c r="K9" s="216">
        <v>0</v>
      </c>
    </row>
    <row r="10" spans="1:30" x14ac:dyDescent="0.4">
      <c r="A10" s="217">
        <v>9</v>
      </c>
      <c r="B10" s="217" t="s">
        <v>185</v>
      </c>
      <c r="C10" s="216">
        <v>0</v>
      </c>
      <c r="D10" s="216">
        <v>0</v>
      </c>
      <c r="E10" s="216">
        <v>0</v>
      </c>
      <c r="F10" s="216">
        <v>0</v>
      </c>
      <c r="G10" s="216">
        <v>0</v>
      </c>
      <c r="H10" s="216">
        <v>0</v>
      </c>
      <c r="I10" s="216">
        <v>0</v>
      </c>
      <c r="J10" s="216">
        <v>0</v>
      </c>
      <c r="K10" s="216">
        <v>0</v>
      </c>
    </row>
    <row r="11" spans="1:30" x14ac:dyDescent="0.4">
      <c r="A11" s="217">
        <v>10</v>
      </c>
      <c r="B11" s="217" t="s">
        <v>186</v>
      </c>
      <c r="C11" s="216">
        <v>0</v>
      </c>
      <c r="D11" s="216">
        <v>0</v>
      </c>
      <c r="E11" s="216">
        <v>0</v>
      </c>
      <c r="F11" s="216">
        <v>0</v>
      </c>
      <c r="G11" s="216">
        <v>0</v>
      </c>
      <c r="H11" s="216">
        <v>0</v>
      </c>
      <c r="I11" s="216">
        <v>0</v>
      </c>
      <c r="J11" s="216">
        <v>0</v>
      </c>
      <c r="K11" s="216">
        <v>0</v>
      </c>
    </row>
    <row r="12" spans="1:30" x14ac:dyDescent="0.4">
      <c r="A12" s="217">
        <v>11</v>
      </c>
      <c r="B12" s="217" t="s">
        <v>187</v>
      </c>
      <c r="C12" s="216">
        <v>0</v>
      </c>
      <c r="D12" s="216">
        <v>0</v>
      </c>
      <c r="E12" s="216">
        <v>0</v>
      </c>
      <c r="F12" s="216">
        <v>0</v>
      </c>
      <c r="G12" s="216">
        <v>0</v>
      </c>
      <c r="H12" s="216">
        <v>0</v>
      </c>
      <c r="I12" s="216">
        <v>0</v>
      </c>
      <c r="J12" s="216">
        <v>0</v>
      </c>
      <c r="K12" s="216">
        <v>0</v>
      </c>
    </row>
    <row r="13" spans="1:30" x14ac:dyDescent="0.4">
      <c r="A13" s="217">
        <v>12</v>
      </c>
      <c r="B13" s="217" t="s">
        <v>188</v>
      </c>
      <c r="C13" s="216">
        <v>0</v>
      </c>
      <c r="D13" s="216">
        <v>0</v>
      </c>
      <c r="E13" s="216">
        <v>0</v>
      </c>
      <c r="F13" s="216">
        <v>0</v>
      </c>
      <c r="G13" s="216">
        <v>0</v>
      </c>
      <c r="H13" s="216">
        <v>0</v>
      </c>
      <c r="I13" s="216">
        <v>0</v>
      </c>
      <c r="J13" s="216">
        <v>0</v>
      </c>
      <c r="K13" s="216">
        <v>0</v>
      </c>
    </row>
    <row r="14" spans="1:30" x14ac:dyDescent="0.4">
      <c r="A14" s="217">
        <v>13</v>
      </c>
      <c r="B14" s="217" t="s">
        <v>189</v>
      </c>
      <c r="C14" s="216">
        <v>0</v>
      </c>
      <c r="D14" s="216">
        <v>0</v>
      </c>
      <c r="E14" s="216">
        <v>0</v>
      </c>
      <c r="F14" s="216">
        <v>0</v>
      </c>
      <c r="G14" s="216">
        <v>0</v>
      </c>
      <c r="H14" s="216">
        <v>0</v>
      </c>
      <c r="I14" s="216">
        <v>0</v>
      </c>
      <c r="J14" s="216">
        <v>0</v>
      </c>
      <c r="K14" s="216">
        <v>0</v>
      </c>
    </row>
    <row r="15" spans="1:30" x14ac:dyDescent="0.4">
      <c r="A15" s="217">
        <v>14</v>
      </c>
      <c r="B15" s="217" t="s">
        <v>273</v>
      </c>
      <c r="C15" s="216">
        <v>0</v>
      </c>
      <c r="D15" s="216">
        <v>0</v>
      </c>
      <c r="E15" s="216">
        <v>0</v>
      </c>
      <c r="F15" s="216">
        <v>0</v>
      </c>
      <c r="G15" s="216">
        <v>0</v>
      </c>
      <c r="H15" s="216">
        <v>0</v>
      </c>
      <c r="I15" s="216">
        <v>0</v>
      </c>
      <c r="J15" s="216">
        <v>0</v>
      </c>
      <c r="K15" s="216">
        <v>0</v>
      </c>
    </row>
    <row r="16" spans="1:30" x14ac:dyDescent="0.4">
      <c r="A16" s="217">
        <v>15</v>
      </c>
      <c r="B16" s="217" t="s">
        <v>190</v>
      </c>
      <c r="C16" s="216">
        <v>0</v>
      </c>
      <c r="D16" s="216">
        <v>0</v>
      </c>
      <c r="E16" s="216">
        <v>0</v>
      </c>
      <c r="F16" s="216">
        <v>0</v>
      </c>
      <c r="G16" s="216">
        <v>0</v>
      </c>
      <c r="H16" s="216">
        <v>0</v>
      </c>
      <c r="I16" s="216">
        <v>0</v>
      </c>
      <c r="J16" s="216">
        <v>0</v>
      </c>
      <c r="K16" s="216">
        <v>0</v>
      </c>
    </row>
    <row r="17" spans="1:11" x14ac:dyDescent="0.4">
      <c r="A17" s="217">
        <v>16</v>
      </c>
      <c r="B17" s="217" t="s">
        <v>191</v>
      </c>
      <c r="C17" s="216">
        <v>0</v>
      </c>
      <c r="D17" s="216">
        <v>0</v>
      </c>
      <c r="E17" s="216">
        <v>0</v>
      </c>
      <c r="F17" s="216">
        <v>0</v>
      </c>
      <c r="G17" s="216">
        <v>0</v>
      </c>
      <c r="H17" s="216">
        <v>0</v>
      </c>
      <c r="I17" s="216">
        <v>0</v>
      </c>
      <c r="J17" s="216">
        <v>0</v>
      </c>
      <c r="K17" s="216">
        <v>0</v>
      </c>
    </row>
    <row r="18" spans="1:11" x14ac:dyDescent="0.4">
      <c r="A18" s="217">
        <v>17</v>
      </c>
      <c r="B18" s="217" t="s">
        <v>192</v>
      </c>
      <c r="C18" s="216">
        <v>0</v>
      </c>
      <c r="D18" s="216">
        <v>0</v>
      </c>
      <c r="E18" s="216">
        <v>0</v>
      </c>
      <c r="F18" s="216">
        <v>1</v>
      </c>
      <c r="G18" s="216">
        <v>0</v>
      </c>
      <c r="H18" s="216">
        <v>0</v>
      </c>
      <c r="I18" s="216">
        <v>0</v>
      </c>
      <c r="J18" s="216">
        <v>0</v>
      </c>
      <c r="K18" s="216">
        <v>0</v>
      </c>
    </row>
    <row r="19" spans="1:11" x14ac:dyDescent="0.4">
      <c r="A19" s="217">
        <v>18</v>
      </c>
      <c r="B19" s="217" t="s">
        <v>193</v>
      </c>
      <c r="C19" s="216">
        <v>0</v>
      </c>
      <c r="D19" s="216">
        <v>0</v>
      </c>
      <c r="E19" s="216">
        <v>0</v>
      </c>
      <c r="F19" s="216">
        <v>0</v>
      </c>
      <c r="G19" s="216">
        <v>0</v>
      </c>
      <c r="H19" s="216">
        <v>0</v>
      </c>
      <c r="I19" s="216">
        <v>0</v>
      </c>
      <c r="J19" s="216">
        <v>0</v>
      </c>
      <c r="K19" s="216">
        <v>0</v>
      </c>
    </row>
    <row r="20" spans="1:11" x14ac:dyDescent="0.4">
      <c r="A20" s="217">
        <v>19</v>
      </c>
      <c r="B20" s="217" t="s">
        <v>194</v>
      </c>
      <c r="C20" s="216">
        <v>0</v>
      </c>
      <c r="D20" s="216">
        <v>0</v>
      </c>
      <c r="E20" s="216">
        <v>0</v>
      </c>
      <c r="F20" s="216">
        <v>0</v>
      </c>
      <c r="G20" s="216">
        <v>0</v>
      </c>
      <c r="H20" s="216">
        <v>0</v>
      </c>
      <c r="I20" s="216">
        <v>0</v>
      </c>
      <c r="J20" s="216">
        <v>1</v>
      </c>
      <c r="K20" s="216">
        <v>0</v>
      </c>
    </row>
    <row r="21" spans="1:11" x14ac:dyDescent="0.4">
      <c r="A21" s="217">
        <v>20</v>
      </c>
      <c r="B21" s="217" t="s">
        <v>195</v>
      </c>
      <c r="C21" s="216">
        <v>0</v>
      </c>
      <c r="D21" s="216">
        <v>0</v>
      </c>
      <c r="E21" s="216">
        <v>0</v>
      </c>
      <c r="F21" s="216">
        <v>0</v>
      </c>
      <c r="G21" s="216">
        <v>0</v>
      </c>
      <c r="H21" s="216">
        <v>0</v>
      </c>
      <c r="I21" s="216">
        <v>0</v>
      </c>
      <c r="J21" s="216">
        <v>0</v>
      </c>
      <c r="K21" s="216">
        <v>0</v>
      </c>
    </row>
    <row r="22" spans="1:11" x14ac:dyDescent="0.4">
      <c r="A22" s="217">
        <v>21</v>
      </c>
      <c r="B22" s="217" t="s">
        <v>196</v>
      </c>
      <c r="C22" s="216">
        <v>0</v>
      </c>
      <c r="D22" s="216">
        <v>0</v>
      </c>
      <c r="E22" s="216">
        <v>0</v>
      </c>
      <c r="F22" s="216">
        <v>1</v>
      </c>
      <c r="G22" s="216">
        <v>0</v>
      </c>
      <c r="H22" s="216">
        <v>0</v>
      </c>
      <c r="I22" s="216">
        <v>0</v>
      </c>
      <c r="J22" s="216">
        <v>0</v>
      </c>
      <c r="K22" s="216">
        <v>0</v>
      </c>
    </row>
    <row r="23" spans="1:11" x14ac:dyDescent="0.4">
      <c r="A23" s="217">
        <v>22</v>
      </c>
      <c r="B23" s="217" t="s">
        <v>197</v>
      </c>
      <c r="C23" s="216">
        <v>0</v>
      </c>
      <c r="D23" s="216">
        <v>0</v>
      </c>
      <c r="E23" s="216">
        <v>0</v>
      </c>
      <c r="F23" s="216">
        <v>0</v>
      </c>
      <c r="G23" s="216">
        <v>0</v>
      </c>
      <c r="H23" s="216">
        <v>0</v>
      </c>
      <c r="I23" s="216">
        <v>0</v>
      </c>
      <c r="J23" s="216">
        <v>0</v>
      </c>
      <c r="K23" s="216">
        <v>0</v>
      </c>
    </row>
    <row r="24" spans="1:11" x14ac:dyDescent="0.4">
      <c r="A24" s="217">
        <v>23</v>
      </c>
      <c r="B24" s="217" t="s">
        <v>198</v>
      </c>
      <c r="C24" s="216">
        <v>0</v>
      </c>
      <c r="D24" s="216">
        <v>0</v>
      </c>
      <c r="E24" s="216">
        <v>0</v>
      </c>
      <c r="F24" s="216">
        <v>1</v>
      </c>
      <c r="G24" s="216">
        <v>0</v>
      </c>
      <c r="H24" s="216">
        <v>0</v>
      </c>
      <c r="I24" s="216">
        <v>0</v>
      </c>
      <c r="J24" s="216">
        <v>0</v>
      </c>
      <c r="K24" s="216">
        <v>0</v>
      </c>
    </row>
    <row r="25" spans="1:11" x14ac:dyDescent="0.4">
      <c r="A25" s="217">
        <v>24</v>
      </c>
      <c r="B25" s="217" t="s">
        <v>199</v>
      </c>
      <c r="C25" s="216">
        <v>0</v>
      </c>
      <c r="D25" s="216">
        <v>0</v>
      </c>
      <c r="E25" s="216">
        <v>0</v>
      </c>
      <c r="F25" s="216">
        <v>0</v>
      </c>
      <c r="G25" s="216">
        <v>0</v>
      </c>
      <c r="H25" s="216">
        <v>0</v>
      </c>
      <c r="I25" s="216">
        <v>0</v>
      </c>
      <c r="J25" s="216">
        <v>0</v>
      </c>
      <c r="K25" s="216">
        <v>0</v>
      </c>
    </row>
    <row r="26" spans="1:11" x14ac:dyDescent="0.4">
      <c r="A26" s="217">
        <v>25</v>
      </c>
      <c r="B26" s="217" t="s">
        <v>265</v>
      </c>
      <c r="C26" s="216">
        <v>0</v>
      </c>
      <c r="D26" s="216">
        <v>0</v>
      </c>
      <c r="E26" s="216">
        <v>0</v>
      </c>
      <c r="F26" s="216">
        <v>0</v>
      </c>
      <c r="G26" s="216">
        <v>0</v>
      </c>
      <c r="H26" s="216">
        <v>0</v>
      </c>
      <c r="I26" s="216">
        <v>0</v>
      </c>
      <c r="J26" s="216">
        <v>0</v>
      </c>
      <c r="K26" s="216">
        <v>0</v>
      </c>
    </row>
    <row r="27" spans="1:11" x14ac:dyDescent="0.4">
      <c r="A27" s="217">
        <v>26</v>
      </c>
      <c r="B27" s="217" t="s">
        <v>274</v>
      </c>
      <c r="C27" s="216">
        <v>0</v>
      </c>
      <c r="D27" s="216">
        <v>0</v>
      </c>
      <c r="E27" s="216">
        <v>0</v>
      </c>
      <c r="F27" s="216">
        <v>0</v>
      </c>
      <c r="G27" s="216">
        <v>0</v>
      </c>
      <c r="H27" s="216">
        <v>0</v>
      </c>
      <c r="I27" s="216">
        <v>0</v>
      </c>
      <c r="J27" s="216">
        <v>0</v>
      </c>
      <c r="K27" s="216">
        <v>0</v>
      </c>
    </row>
    <row r="28" spans="1:11" x14ac:dyDescent="0.4">
      <c r="A28" s="217">
        <v>27</v>
      </c>
      <c r="B28" s="217" t="s">
        <v>275</v>
      </c>
      <c r="C28" s="216">
        <v>0</v>
      </c>
      <c r="D28" s="216">
        <v>0</v>
      </c>
      <c r="E28" s="216">
        <v>0</v>
      </c>
      <c r="F28" s="216">
        <v>0</v>
      </c>
      <c r="G28" s="216">
        <v>0</v>
      </c>
      <c r="H28" s="216">
        <v>0</v>
      </c>
      <c r="I28" s="216">
        <v>0</v>
      </c>
      <c r="J28" s="216">
        <v>0</v>
      </c>
      <c r="K28" s="216">
        <v>0</v>
      </c>
    </row>
    <row r="29" spans="1:11" x14ac:dyDescent="0.4">
      <c r="A29" s="217">
        <v>28</v>
      </c>
      <c r="B29" s="217" t="s">
        <v>276</v>
      </c>
      <c r="C29" s="216">
        <v>0</v>
      </c>
      <c r="D29" s="216">
        <v>0</v>
      </c>
      <c r="E29" s="216">
        <v>0</v>
      </c>
      <c r="F29" s="216">
        <v>0</v>
      </c>
      <c r="G29" s="216">
        <v>0</v>
      </c>
      <c r="H29" s="216">
        <v>0</v>
      </c>
      <c r="I29" s="216">
        <v>0</v>
      </c>
      <c r="J29" s="216">
        <v>0</v>
      </c>
      <c r="K29" s="216">
        <v>0</v>
      </c>
    </row>
    <row r="30" spans="1:11" x14ac:dyDescent="0.4">
      <c r="A30" s="217">
        <v>29</v>
      </c>
      <c r="B30" s="217" t="s">
        <v>277</v>
      </c>
      <c r="C30" s="216">
        <v>0</v>
      </c>
      <c r="D30" s="216">
        <v>0</v>
      </c>
      <c r="E30" s="216">
        <v>0</v>
      </c>
      <c r="F30" s="216">
        <v>0</v>
      </c>
      <c r="G30" s="216">
        <v>0</v>
      </c>
      <c r="H30" s="216">
        <v>0</v>
      </c>
      <c r="I30" s="216">
        <v>0</v>
      </c>
      <c r="J30" s="216">
        <v>0</v>
      </c>
      <c r="K30" s="216">
        <v>0</v>
      </c>
    </row>
    <row r="31" spans="1:11" x14ac:dyDescent="0.4">
      <c r="A31" s="217">
        <v>30</v>
      </c>
      <c r="B31" s="217" t="s">
        <v>278</v>
      </c>
      <c r="C31" s="216">
        <v>0</v>
      </c>
      <c r="D31" s="216">
        <v>0</v>
      </c>
      <c r="E31" s="216">
        <v>0</v>
      </c>
      <c r="F31" s="216">
        <v>0</v>
      </c>
      <c r="G31" s="216">
        <v>0</v>
      </c>
      <c r="H31" s="216">
        <v>0</v>
      </c>
      <c r="I31" s="216">
        <v>0</v>
      </c>
      <c r="J31" s="216">
        <v>0</v>
      </c>
      <c r="K31" s="216">
        <v>0</v>
      </c>
    </row>
    <row r="32" spans="1:11" x14ac:dyDescent="0.4">
      <c r="A32" s="217">
        <v>31</v>
      </c>
      <c r="B32" s="217" t="s">
        <v>279</v>
      </c>
      <c r="C32" s="216">
        <v>0</v>
      </c>
      <c r="D32" s="216">
        <v>0</v>
      </c>
      <c r="E32" s="216">
        <v>0</v>
      </c>
      <c r="F32" s="216">
        <v>0</v>
      </c>
      <c r="G32" s="216">
        <v>0</v>
      </c>
      <c r="H32" s="216">
        <v>0</v>
      </c>
      <c r="I32" s="216">
        <v>0</v>
      </c>
      <c r="J32" s="216">
        <v>0</v>
      </c>
      <c r="K32" s="216">
        <v>0</v>
      </c>
    </row>
    <row r="33" spans="1:11" x14ac:dyDescent="0.4">
      <c r="A33" s="217">
        <v>32</v>
      </c>
      <c r="B33" s="217" t="s">
        <v>200</v>
      </c>
      <c r="C33" s="216">
        <v>0</v>
      </c>
      <c r="D33" s="216">
        <v>0</v>
      </c>
      <c r="E33" s="216">
        <v>0</v>
      </c>
      <c r="F33" s="216">
        <v>0</v>
      </c>
      <c r="G33" s="216">
        <v>0</v>
      </c>
      <c r="H33" s="216">
        <v>0</v>
      </c>
      <c r="I33" s="216">
        <v>0</v>
      </c>
      <c r="J33" s="216">
        <v>0</v>
      </c>
      <c r="K33" s="216">
        <v>0</v>
      </c>
    </row>
    <row r="34" spans="1:11" x14ac:dyDescent="0.4">
      <c r="A34" s="217">
        <v>33</v>
      </c>
      <c r="B34" s="217" t="s">
        <v>201</v>
      </c>
      <c r="C34" s="216">
        <v>0</v>
      </c>
      <c r="D34" s="216">
        <v>0</v>
      </c>
      <c r="E34" s="216">
        <v>0</v>
      </c>
      <c r="F34" s="216">
        <v>0</v>
      </c>
      <c r="G34" s="216">
        <v>0</v>
      </c>
      <c r="H34" s="216">
        <v>0</v>
      </c>
      <c r="I34" s="216">
        <v>0</v>
      </c>
      <c r="J34" s="216">
        <v>0</v>
      </c>
      <c r="K34" s="216">
        <v>0</v>
      </c>
    </row>
    <row r="35" spans="1:11" x14ac:dyDescent="0.4">
      <c r="A35" s="217">
        <v>34</v>
      </c>
      <c r="B35" s="217" t="s">
        <v>202</v>
      </c>
      <c r="C35" s="216">
        <v>0</v>
      </c>
      <c r="D35" s="216">
        <v>1</v>
      </c>
      <c r="E35" s="216">
        <v>1</v>
      </c>
      <c r="F35" s="216">
        <v>0</v>
      </c>
      <c r="G35" s="216">
        <v>1</v>
      </c>
      <c r="H35" s="216">
        <v>1</v>
      </c>
      <c r="I35" s="216">
        <v>1</v>
      </c>
      <c r="J35" s="216">
        <v>1</v>
      </c>
      <c r="K35" s="216">
        <v>0</v>
      </c>
    </row>
    <row r="36" spans="1:11" x14ac:dyDescent="0.4">
      <c r="A36" s="217">
        <v>35</v>
      </c>
      <c r="B36" s="217" t="s">
        <v>203</v>
      </c>
      <c r="C36" s="216">
        <v>0</v>
      </c>
      <c r="D36" s="216">
        <v>0</v>
      </c>
      <c r="E36" s="216">
        <v>0</v>
      </c>
      <c r="F36" s="216">
        <v>0</v>
      </c>
      <c r="G36" s="216">
        <v>0</v>
      </c>
      <c r="H36" s="216">
        <v>0</v>
      </c>
      <c r="I36" s="216">
        <v>0</v>
      </c>
      <c r="J36" s="216">
        <v>0</v>
      </c>
      <c r="K36" s="216">
        <v>0</v>
      </c>
    </row>
    <row r="37" spans="1:11" x14ac:dyDescent="0.4">
      <c r="A37" s="217">
        <v>36</v>
      </c>
      <c r="B37" s="217" t="s">
        <v>204</v>
      </c>
      <c r="C37" s="216">
        <v>0</v>
      </c>
      <c r="D37" s="216">
        <v>0</v>
      </c>
      <c r="E37" s="216">
        <v>0</v>
      </c>
      <c r="F37" s="216">
        <v>0</v>
      </c>
      <c r="G37" s="216">
        <v>0</v>
      </c>
      <c r="H37" s="216">
        <v>0</v>
      </c>
      <c r="I37" s="216">
        <v>0</v>
      </c>
      <c r="J37" s="216">
        <v>0</v>
      </c>
      <c r="K37" s="216">
        <v>0</v>
      </c>
    </row>
    <row r="38" spans="1:11" x14ac:dyDescent="0.4">
      <c r="A38" s="217">
        <v>37</v>
      </c>
      <c r="B38" s="217" t="s">
        <v>205</v>
      </c>
      <c r="C38" s="216">
        <v>0</v>
      </c>
      <c r="D38" s="216">
        <v>0</v>
      </c>
      <c r="E38" s="216">
        <v>0</v>
      </c>
      <c r="F38" s="216">
        <v>0</v>
      </c>
      <c r="G38" s="216">
        <v>0</v>
      </c>
      <c r="H38" s="216">
        <v>0</v>
      </c>
      <c r="I38" s="216">
        <v>0</v>
      </c>
      <c r="J38" s="216">
        <v>0</v>
      </c>
      <c r="K38" s="216">
        <v>0</v>
      </c>
    </row>
    <row r="39" spans="1:11" x14ac:dyDescent="0.4">
      <c r="A39" s="217">
        <v>38</v>
      </c>
      <c r="B39" s="217" t="s">
        <v>206</v>
      </c>
      <c r="C39" s="216">
        <v>0</v>
      </c>
      <c r="D39" s="216">
        <v>0</v>
      </c>
      <c r="E39" s="216">
        <v>0</v>
      </c>
      <c r="F39" s="216">
        <v>0</v>
      </c>
      <c r="G39" s="216">
        <v>0</v>
      </c>
      <c r="H39" s="216">
        <v>0</v>
      </c>
      <c r="I39" s="216">
        <v>0</v>
      </c>
      <c r="J39" s="216">
        <v>0</v>
      </c>
      <c r="K39" s="216">
        <v>0</v>
      </c>
    </row>
    <row r="40" spans="1:11" x14ac:dyDescent="0.4">
      <c r="A40" s="217">
        <v>39</v>
      </c>
      <c r="B40" s="217" t="s">
        <v>207</v>
      </c>
      <c r="C40" s="216">
        <v>0</v>
      </c>
      <c r="D40" s="216">
        <v>0</v>
      </c>
      <c r="E40" s="216">
        <v>0</v>
      </c>
      <c r="F40" s="216">
        <v>1</v>
      </c>
      <c r="G40" s="216">
        <v>0</v>
      </c>
      <c r="H40" s="216">
        <v>0</v>
      </c>
      <c r="I40" s="216">
        <v>0</v>
      </c>
      <c r="J40" s="216">
        <v>0</v>
      </c>
      <c r="K40" s="216">
        <v>0</v>
      </c>
    </row>
    <row r="41" spans="1:11" x14ac:dyDescent="0.4">
      <c r="A41" s="217">
        <v>40</v>
      </c>
      <c r="B41" s="217" t="s">
        <v>208</v>
      </c>
      <c r="C41" s="216">
        <v>0</v>
      </c>
      <c r="D41" s="216">
        <v>0</v>
      </c>
      <c r="E41" s="216">
        <v>0</v>
      </c>
      <c r="F41" s="216">
        <v>1</v>
      </c>
      <c r="G41" s="216">
        <v>0</v>
      </c>
      <c r="H41" s="216">
        <v>0</v>
      </c>
      <c r="I41" s="216">
        <v>0</v>
      </c>
      <c r="J41" s="216">
        <v>0</v>
      </c>
      <c r="K41" s="216">
        <v>0</v>
      </c>
    </row>
    <row r="42" spans="1:11" x14ac:dyDescent="0.4">
      <c r="A42" s="217">
        <v>41</v>
      </c>
      <c r="B42" s="217" t="s">
        <v>209</v>
      </c>
      <c r="C42" s="216">
        <v>0</v>
      </c>
      <c r="D42" s="216">
        <v>1</v>
      </c>
      <c r="E42" s="216">
        <v>1</v>
      </c>
      <c r="F42" s="216">
        <v>0</v>
      </c>
      <c r="G42" s="216">
        <v>1</v>
      </c>
      <c r="H42" s="216">
        <v>1</v>
      </c>
      <c r="I42" s="216">
        <v>1</v>
      </c>
      <c r="J42" s="216">
        <v>1</v>
      </c>
      <c r="K42" s="216">
        <v>0</v>
      </c>
    </row>
    <row r="43" spans="1:11" x14ac:dyDescent="0.4">
      <c r="A43" s="217">
        <v>42</v>
      </c>
      <c r="B43" s="217" t="s">
        <v>210</v>
      </c>
      <c r="C43" s="216">
        <v>0</v>
      </c>
      <c r="D43" s="216">
        <v>1</v>
      </c>
      <c r="E43" s="216">
        <v>1</v>
      </c>
      <c r="F43" s="216">
        <v>0</v>
      </c>
      <c r="G43" s="216">
        <v>1</v>
      </c>
      <c r="H43" s="216">
        <v>1</v>
      </c>
      <c r="I43" s="216">
        <v>1</v>
      </c>
      <c r="J43" s="216">
        <v>1</v>
      </c>
      <c r="K43" s="216">
        <v>0</v>
      </c>
    </row>
    <row r="44" spans="1:11" x14ac:dyDescent="0.4">
      <c r="A44" s="217">
        <v>43</v>
      </c>
      <c r="B44" s="217" t="s">
        <v>211</v>
      </c>
      <c r="C44" s="216">
        <v>0</v>
      </c>
      <c r="D44" s="216">
        <v>1</v>
      </c>
      <c r="E44" s="216">
        <v>1</v>
      </c>
      <c r="F44" s="216">
        <v>0</v>
      </c>
      <c r="G44" s="216">
        <v>1</v>
      </c>
      <c r="H44" s="216">
        <v>1</v>
      </c>
      <c r="I44" s="216">
        <v>1</v>
      </c>
      <c r="J44" s="216">
        <v>1</v>
      </c>
      <c r="K44" s="216">
        <v>0</v>
      </c>
    </row>
    <row r="45" spans="1:11" x14ac:dyDescent="0.4">
      <c r="A45" s="217">
        <v>44</v>
      </c>
      <c r="B45" s="217" t="s">
        <v>212</v>
      </c>
      <c r="C45" s="216">
        <v>0</v>
      </c>
      <c r="D45" s="216">
        <v>1</v>
      </c>
      <c r="E45" s="216">
        <v>1</v>
      </c>
      <c r="F45" s="216">
        <v>0</v>
      </c>
      <c r="G45" s="216">
        <v>1</v>
      </c>
      <c r="H45" s="216">
        <v>1</v>
      </c>
      <c r="I45" s="216">
        <v>1</v>
      </c>
      <c r="J45" s="216">
        <v>1</v>
      </c>
      <c r="K45" s="216">
        <v>0</v>
      </c>
    </row>
    <row r="46" spans="1:11" x14ac:dyDescent="0.4">
      <c r="A46" s="217">
        <v>45</v>
      </c>
      <c r="B46" s="217" t="s">
        <v>213</v>
      </c>
      <c r="C46" s="216">
        <v>0</v>
      </c>
      <c r="D46" s="216">
        <v>1</v>
      </c>
      <c r="E46" s="216">
        <v>1</v>
      </c>
      <c r="F46" s="216">
        <v>0</v>
      </c>
      <c r="G46" s="216">
        <v>1</v>
      </c>
      <c r="H46" s="216">
        <v>1</v>
      </c>
      <c r="I46" s="216">
        <v>1</v>
      </c>
      <c r="J46" s="216">
        <v>1</v>
      </c>
      <c r="K46" s="216">
        <v>0</v>
      </c>
    </row>
    <row r="47" spans="1:11" x14ac:dyDescent="0.4">
      <c r="A47" s="217">
        <v>46</v>
      </c>
      <c r="B47" s="217" t="s">
        <v>214</v>
      </c>
      <c r="C47" s="216">
        <v>0</v>
      </c>
      <c r="D47" s="216">
        <v>1</v>
      </c>
      <c r="E47" s="216">
        <v>1</v>
      </c>
      <c r="F47" s="216">
        <v>0</v>
      </c>
      <c r="G47" s="216">
        <v>1</v>
      </c>
      <c r="H47" s="216">
        <v>1</v>
      </c>
      <c r="I47" s="216">
        <v>1</v>
      </c>
      <c r="J47" s="216">
        <v>1</v>
      </c>
      <c r="K47" s="216">
        <v>0</v>
      </c>
    </row>
    <row r="48" spans="1:11" x14ac:dyDescent="0.4">
      <c r="A48" s="217">
        <v>47</v>
      </c>
      <c r="B48" s="217" t="s">
        <v>215</v>
      </c>
      <c r="C48" s="216">
        <v>0</v>
      </c>
      <c r="D48" s="216">
        <v>1</v>
      </c>
      <c r="E48" s="216">
        <v>1</v>
      </c>
      <c r="F48" s="216">
        <v>0</v>
      </c>
      <c r="G48" s="216">
        <v>1</v>
      </c>
      <c r="H48" s="216">
        <v>1</v>
      </c>
      <c r="I48" s="216">
        <v>1</v>
      </c>
      <c r="J48" s="216">
        <v>1</v>
      </c>
      <c r="K48" s="216">
        <v>0</v>
      </c>
    </row>
    <row r="49" spans="1:11" x14ac:dyDescent="0.4">
      <c r="A49" s="217">
        <v>48</v>
      </c>
      <c r="B49" s="217" t="s">
        <v>216</v>
      </c>
      <c r="C49" s="216">
        <v>0</v>
      </c>
      <c r="D49" s="216">
        <v>1</v>
      </c>
      <c r="E49" s="216">
        <v>1</v>
      </c>
      <c r="F49" s="216">
        <v>0</v>
      </c>
      <c r="G49" s="216">
        <v>1</v>
      </c>
      <c r="H49" s="216">
        <v>1</v>
      </c>
      <c r="I49" s="216">
        <v>1</v>
      </c>
      <c r="J49" s="216">
        <v>1</v>
      </c>
      <c r="K49" s="216">
        <v>0</v>
      </c>
    </row>
    <row r="50" spans="1:11" x14ac:dyDescent="0.4">
      <c r="A50" s="217">
        <v>49</v>
      </c>
      <c r="B50" s="217" t="s">
        <v>217</v>
      </c>
      <c r="C50" s="216">
        <v>0</v>
      </c>
      <c r="D50" s="216">
        <v>1</v>
      </c>
      <c r="E50" s="216">
        <v>1</v>
      </c>
      <c r="F50" s="216">
        <v>0</v>
      </c>
      <c r="G50" s="216">
        <v>1</v>
      </c>
      <c r="H50" s="216">
        <v>1</v>
      </c>
      <c r="I50" s="216">
        <v>1</v>
      </c>
      <c r="J50" s="216">
        <v>1</v>
      </c>
      <c r="K50" s="216">
        <v>0</v>
      </c>
    </row>
    <row r="51" spans="1:11" x14ac:dyDescent="0.4">
      <c r="A51" s="217">
        <v>50</v>
      </c>
      <c r="B51" s="217" t="s">
        <v>218</v>
      </c>
      <c r="C51" s="216">
        <v>0</v>
      </c>
      <c r="D51" s="216">
        <v>1</v>
      </c>
      <c r="E51" s="216">
        <v>1</v>
      </c>
      <c r="F51" s="216">
        <v>0</v>
      </c>
      <c r="G51" s="216">
        <v>1</v>
      </c>
      <c r="H51" s="216">
        <v>1</v>
      </c>
      <c r="I51" s="216">
        <v>1</v>
      </c>
      <c r="J51" s="216">
        <v>1</v>
      </c>
      <c r="K51" s="216">
        <v>0</v>
      </c>
    </row>
    <row r="52" spans="1:11" x14ac:dyDescent="0.4">
      <c r="A52" s="217">
        <v>51</v>
      </c>
      <c r="B52" s="217" t="s">
        <v>219</v>
      </c>
      <c r="C52" s="216">
        <v>0</v>
      </c>
      <c r="D52" s="216">
        <v>1</v>
      </c>
      <c r="E52" s="216">
        <v>1</v>
      </c>
      <c r="F52" s="216">
        <v>0</v>
      </c>
      <c r="G52" s="216">
        <v>1</v>
      </c>
      <c r="H52" s="216">
        <v>1</v>
      </c>
      <c r="I52" s="216">
        <v>1</v>
      </c>
      <c r="J52" s="216">
        <v>1</v>
      </c>
      <c r="K52" s="216">
        <v>0</v>
      </c>
    </row>
    <row r="53" spans="1:11" x14ac:dyDescent="0.4">
      <c r="A53" s="217">
        <v>52</v>
      </c>
      <c r="B53" s="217" t="s">
        <v>220</v>
      </c>
      <c r="C53" s="216">
        <v>0</v>
      </c>
      <c r="D53" s="216">
        <v>1</v>
      </c>
      <c r="E53" s="216">
        <v>1</v>
      </c>
      <c r="F53" s="216">
        <v>0</v>
      </c>
      <c r="G53" s="216">
        <v>1</v>
      </c>
      <c r="H53" s="216">
        <v>1</v>
      </c>
      <c r="I53" s="216">
        <v>1</v>
      </c>
      <c r="J53" s="216">
        <v>1</v>
      </c>
      <c r="K53" s="216">
        <v>0</v>
      </c>
    </row>
    <row r="54" spans="1:11" x14ac:dyDescent="0.4">
      <c r="A54" s="217">
        <v>53</v>
      </c>
      <c r="B54" s="217" t="s">
        <v>221</v>
      </c>
      <c r="C54" s="216">
        <v>0</v>
      </c>
      <c r="D54" s="216">
        <v>1</v>
      </c>
      <c r="E54" s="216">
        <v>1</v>
      </c>
      <c r="F54" s="216">
        <v>0</v>
      </c>
      <c r="G54" s="216">
        <v>1</v>
      </c>
      <c r="H54" s="216">
        <v>1</v>
      </c>
      <c r="I54" s="216">
        <v>1</v>
      </c>
      <c r="J54" s="216">
        <v>1</v>
      </c>
      <c r="K54" s="216">
        <v>0</v>
      </c>
    </row>
    <row r="55" spans="1:11" x14ac:dyDescent="0.4">
      <c r="A55" s="217">
        <v>54</v>
      </c>
      <c r="B55" s="217" t="s">
        <v>222</v>
      </c>
      <c r="C55" s="216">
        <v>0</v>
      </c>
      <c r="D55" s="216">
        <v>1</v>
      </c>
      <c r="E55" s="216">
        <v>1</v>
      </c>
      <c r="F55" s="216">
        <v>0</v>
      </c>
      <c r="G55" s="216">
        <v>1</v>
      </c>
      <c r="H55" s="216">
        <v>1</v>
      </c>
      <c r="I55" s="216">
        <v>1</v>
      </c>
      <c r="J55" s="216">
        <v>0</v>
      </c>
      <c r="K55" s="216">
        <v>0</v>
      </c>
    </row>
    <row r="56" spans="1:11" x14ac:dyDescent="0.4">
      <c r="A56" s="217">
        <v>55</v>
      </c>
      <c r="B56" s="217" t="s">
        <v>223</v>
      </c>
      <c r="C56" s="216">
        <v>0</v>
      </c>
      <c r="D56" s="216">
        <v>0</v>
      </c>
      <c r="E56" s="216">
        <v>0</v>
      </c>
      <c r="F56" s="216">
        <v>0</v>
      </c>
      <c r="G56" s="216">
        <v>0</v>
      </c>
      <c r="H56" s="216">
        <v>0</v>
      </c>
      <c r="I56" s="216">
        <v>0</v>
      </c>
      <c r="J56" s="216">
        <v>0</v>
      </c>
      <c r="K56" s="216">
        <v>0</v>
      </c>
    </row>
    <row r="57" spans="1:11" x14ac:dyDescent="0.4">
      <c r="A57" s="217">
        <v>56</v>
      </c>
      <c r="B57" s="217" t="s">
        <v>224</v>
      </c>
      <c r="C57" s="216">
        <v>0</v>
      </c>
      <c r="D57" s="216">
        <v>0</v>
      </c>
      <c r="E57" s="216">
        <v>0</v>
      </c>
      <c r="F57" s="216">
        <v>0</v>
      </c>
      <c r="G57" s="216">
        <v>0</v>
      </c>
      <c r="H57" s="216">
        <v>0</v>
      </c>
      <c r="I57" s="216">
        <v>0</v>
      </c>
      <c r="J57" s="216">
        <v>0</v>
      </c>
      <c r="K57" s="216">
        <v>0</v>
      </c>
    </row>
    <row r="58" spans="1:11" x14ac:dyDescent="0.4">
      <c r="A58" s="217">
        <v>57</v>
      </c>
      <c r="B58" s="217" t="s">
        <v>225</v>
      </c>
      <c r="C58" s="216">
        <v>0</v>
      </c>
      <c r="D58" s="216">
        <v>0</v>
      </c>
      <c r="E58" s="216">
        <v>0</v>
      </c>
      <c r="F58" s="216">
        <v>0</v>
      </c>
      <c r="G58" s="216">
        <v>0</v>
      </c>
      <c r="H58" s="216">
        <v>0</v>
      </c>
      <c r="I58" s="216">
        <v>0</v>
      </c>
      <c r="J58" s="216">
        <v>0</v>
      </c>
      <c r="K58" s="216">
        <v>0</v>
      </c>
    </row>
    <row r="59" spans="1:11" x14ac:dyDescent="0.4">
      <c r="A59" s="217">
        <v>58</v>
      </c>
      <c r="B59" s="217" t="s">
        <v>226</v>
      </c>
      <c r="C59" s="216">
        <v>0</v>
      </c>
      <c r="D59" s="216">
        <v>0</v>
      </c>
      <c r="E59" s="216">
        <v>0</v>
      </c>
      <c r="F59" s="216">
        <v>0</v>
      </c>
      <c r="G59" s="216">
        <v>0</v>
      </c>
      <c r="H59" s="216">
        <v>0</v>
      </c>
      <c r="I59" s="216">
        <v>0</v>
      </c>
      <c r="J59" s="216">
        <v>0</v>
      </c>
      <c r="K59" s="216">
        <v>0</v>
      </c>
    </row>
    <row r="60" spans="1:11" x14ac:dyDescent="0.4">
      <c r="A60" s="217">
        <v>59</v>
      </c>
      <c r="B60" s="217" t="s">
        <v>227</v>
      </c>
      <c r="C60" s="216">
        <v>0</v>
      </c>
      <c r="D60" s="216">
        <v>0</v>
      </c>
      <c r="E60" s="216">
        <v>0</v>
      </c>
      <c r="F60" s="216">
        <v>0</v>
      </c>
      <c r="G60" s="216">
        <v>0</v>
      </c>
      <c r="H60" s="216">
        <v>0</v>
      </c>
      <c r="I60" s="216">
        <v>0</v>
      </c>
      <c r="J60" s="216">
        <v>1</v>
      </c>
      <c r="K60" s="216">
        <v>0</v>
      </c>
    </row>
    <row r="61" spans="1:11" x14ac:dyDescent="0.4">
      <c r="A61" s="217">
        <v>60</v>
      </c>
      <c r="B61" s="217" t="s">
        <v>228</v>
      </c>
      <c r="C61" s="216">
        <v>0</v>
      </c>
      <c r="D61" s="216">
        <v>0</v>
      </c>
      <c r="E61" s="216">
        <v>0</v>
      </c>
      <c r="F61" s="216">
        <v>0</v>
      </c>
      <c r="G61" s="216">
        <v>0</v>
      </c>
      <c r="H61" s="216">
        <v>0</v>
      </c>
      <c r="I61" s="216">
        <v>0</v>
      </c>
      <c r="J61" s="216">
        <v>0</v>
      </c>
      <c r="K61" s="216">
        <v>0</v>
      </c>
    </row>
    <row r="62" spans="1:11" x14ac:dyDescent="0.4">
      <c r="A62" s="217">
        <v>61</v>
      </c>
      <c r="B62" s="217" t="s">
        <v>229</v>
      </c>
      <c r="C62" s="216">
        <v>0</v>
      </c>
      <c r="D62" s="216">
        <v>0</v>
      </c>
      <c r="E62" s="216">
        <v>0</v>
      </c>
      <c r="F62" s="216">
        <v>0</v>
      </c>
      <c r="G62" s="216">
        <v>0</v>
      </c>
      <c r="H62" s="216">
        <v>0</v>
      </c>
      <c r="I62" s="216">
        <v>0</v>
      </c>
      <c r="J62" s="216">
        <v>0</v>
      </c>
      <c r="K62" s="216">
        <v>0</v>
      </c>
    </row>
    <row r="63" spans="1:11" x14ac:dyDescent="0.4">
      <c r="A63" s="217">
        <v>62</v>
      </c>
      <c r="B63" s="217" t="s">
        <v>230</v>
      </c>
      <c r="C63" s="216">
        <v>0</v>
      </c>
      <c r="D63" s="216">
        <v>0</v>
      </c>
      <c r="E63" s="216">
        <v>0</v>
      </c>
      <c r="F63" s="216">
        <v>0</v>
      </c>
      <c r="G63" s="216">
        <v>0</v>
      </c>
      <c r="H63" s="216">
        <v>0</v>
      </c>
      <c r="I63" s="216">
        <v>0</v>
      </c>
      <c r="J63" s="216">
        <v>0</v>
      </c>
      <c r="K63" s="216">
        <v>0</v>
      </c>
    </row>
    <row r="64" spans="1:11" x14ac:dyDescent="0.4">
      <c r="A64" s="217">
        <v>63</v>
      </c>
      <c r="B64" s="217" t="s">
        <v>231</v>
      </c>
      <c r="C64" s="216">
        <v>0</v>
      </c>
      <c r="D64" s="216">
        <v>0</v>
      </c>
      <c r="E64" s="216">
        <v>0</v>
      </c>
      <c r="F64" s="216">
        <v>0</v>
      </c>
      <c r="G64" s="216">
        <v>0</v>
      </c>
      <c r="H64" s="216">
        <v>0</v>
      </c>
      <c r="I64" s="216">
        <v>0</v>
      </c>
      <c r="J64" s="216">
        <v>0</v>
      </c>
      <c r="K64" s="216">
        <v>0</v>
      </c>
    </row>
    <row r="65" spans="1:11" x14ac:dyDescent="0.4">
      <c r="A65" s="217">
        <v>64</v>
      </c>
      <c r="B65" s="217" t="s">
        <v>232</v>
      </c>
      <c r="C65" s="216">
        <v>0</v>
      </c>
      <c r="D65" s="216">
        <v>0</v>
      </c>
      <c r="E65" s="216">
        <v>0</v>
      </c>
      <c r="F65" s="216">
        <v>0</v>
      </c>
      <c r="G65" s="216">
        <v>0</v>
      </c>
      <c r="H65" s="216">
        <v>0</v>
      </c>
      <c r="I65" s="216">
        <v>0</v>
      </c>
      <c r="J65" s="216">
        <v>0</v>
      </c>
      <c r="K65" s="216">
        <v>0</v>
      </c>
    </row>
    <row r="66" spans="1:11" x14ac:dyDescent="0.4">
      <c r="A66" s="217">
        <v>65</v>
      </c>
      <c r="B66" s="217" t="s">
        <v>233</v>
      </c>
      <c r="C66" s="216">
        <v>0</v>
      </c>
      <c r="D66" s="216">
        <v>0</v>
      </c>
      <c r="E66" s="216">
        <v>0</v>
      </c>
      <c r="F66" s="216">
        <v>0</v>
      </c>
      <c r="G66" s="216">
        <v>0</v>
      </c>
      <c r="H66" s="216">
        <v>0</v>
      </c>
      <c r="I66" s="216">
        <v>0</v>
      </c>
      <c r="J66" s="216">
        <v>0</v>
      </c>
      <c r="K66" s="216">
        <v>0</v>
      </c>
    </row>
    <row r="67" spans="1:11" x14ac:dyDescent="0.4">
      <c r="A67" s="217">
        <v>66</v>
      </c>
      <c r="B67" s="217" t="s">
        <v>234</v>
      </c>
      <c r="C67" s="216">
        <v>0</v>
      </c>
      <c r="D67" s="216">
        <v>1</v>
      </c>
      <c r="E67" s="216">
        <v>1</v>
      </c>
      <c r="F67" s="216">
        <v>0</v>
      </c>
      <c r="G67" s="216">
        <v>1</v>
      </c>
      <c r="H67" s="216">
        <v>1</v>
      </c>
      <c r="I67" s="216">
        <v>1</v>
      </c>
      <c r="J67" s="216">
        <v>1</v>
      </c>
      <c r="K67" s="216">
        <v>0</v>
      </c>
    </row>
    <row r="68" spans="1:11" x14ac:dyDescent="0.4">
      <c r="A68" s="217">
        <v>67</v>
      </c>
      <c r="B68" s="217" t="s">
        <v>235</v>
      </c>
      <c r="C68" s="216">
        <v>0</v>
      </c>
      <c r="D68" s="216">
        <v>1</v>
      </c>
      <c r="E68" s="216">
        <v>1</v>
      </c>
      <c r="F68" s="216">
        <v>0</v>
      </c>
      <c r="G68" s="216">
        <v>1</v>
      </c>
      <c r="H68" s="216">
        <v>1</v>
      </c>
      <c r="I68" s="216">
        <v>1</v>
      </c>
      <c r="J68" s="216">
        <v>0</v>
      </c>
      <c r="K68" s="216">
        <v>0</v>
      </c>
    </row>
    <row r="69" spans="1:11" x14ac:dyDescent="0.4">
      <c r="A69" s="217">
        <v>68</v>
      </c>
      <c r="B69" s="217" t="s">
        <v>236</v>
      </c>
      <c r="C69" s="216">
        <v>0</v>
      </c>
      <c r="D69" s="216">
        <v>0</v>
      </c>
      <c r="E69" s="216">
        <v>0</v>
      </c>
      <c r="F69" s="216">
        <v>0</v>
      </c>
      <c r="G69" s="216">
        <v>0</v>
      </c>
      <c r="H69" s="216">
        <v>0</v>
      </c>
      <c r="I69" s="216">
        <v>0</v>
      </c>
      <c r="J69" s="216">
        <v>0</v>
      </c>
      <c r="K69" s="216">
        <v>0</v>
      </c>
    </row>
    <row r="70" spans="1:11" x14ac:dyDescent="0.4">
      <c r="A70" s="217">
        <v>69</v>
      </c>
      <c r="B70" s="217" t="s">
        <v>237</v>
      </c>
      <c r="C70" s="216">
        <v>0</v>
      </c>
      <c r="D70" s="216">
        <v>0</v>
      </c>
      <c r="E70" s="216">
        <v>0</v>
      </c>
      <c r="F70" s="216">
        <v>0</v>
      </c>
      <c r="G70" s="216">
        <v>0</v>
      </c>
      <c r="H70" s="216">
        <v>0</v>
      </c>
      <c r="I70" s="216">
        <v>0</v>
      </c>
      <c r="J70" s="216">
        <v>0</v>
      </c>
      <c r="K70" s="216">
        <v>0</v>
      </c>
    </row>
    <row r="71" spans="1:11" x14ac:dyDescent="0.4">
      <c r="A71" s="217">
        <v>70</v>
      </c>
      <c r="B71" s="217" t="s">
        <v>238</v>
      </c>
      <c r="C71" s="216">
        <v>0</v>
      </c>
      <c r="D71" s="216">
        <v>0</v>
      </c>
      <c r="E71" s="216">
        <v>0</v>
      </c>
      <c r="F71" s="216">
        <v>0</v>
      </c>
      <c r="G71" s="216">
        <v>0</v>
      </c>
      <c r="H71" s="216">
        <v>0</v>
      </c>
      <c r="I71" s="216">
        <v>0</v>
      </c>
      <c r="J71" s="216">
        <v>0</v>
      </c>
      <c r="K71" s="216">
        <v>0</v>
      </c>
    </row>
    <row r="72" spans="1:11" x14ac:dyDescent="0.4">
      <c r="A72" s="217">
        <v>71</v>
      </c>
      <c r="B72" s="217" t="s">
        <v>239</v>
      </c>
      <c r="C72" s="216">
        <v>0</v>
      </c>
      <c r="D72" s="216">
        <v>0</v>
      </c>
      <c r="E72" s="216">
        <v>0</v>
      </c>
      <c r="F72" s="216">
        <v>0</v>
      </c>
      <c r="G72" s="216">
        <v>0</v>
      </c>
      <c r="H72" s="216">
        <v>0</v>
      </c>
      <c r="I72" s="216">
        <v>0</v>
      </c>
      <c r="J72" s="216">
        <v>0</v>
      </c>
      <c r="K72" s="216">
        <v>0</v>
      </c>
    </row>
    <row r="73" spans="1:11" x14ac:dyDescent="0.4">
      <c r="A73" s="217">
        <v>72</v>
      </c>
      <c r="B73" s="217" t="s">
        <v>240</v>
      </c>
      <c r="C73" s="216">
        <v>0</v>
      </c>
      <c r="D73" s="216">
        <v>0</v>
      </c>
      <c r="E73" s="216">
        <v>0</v>
      </c>
      <c r="F73" s="216">
        <v>0</v>
      </c>
      <c r="G73" s="216">
        <v>0</v>
      </c>
      <c r="H73" s="216">
        <v>0</v>
      </c>
      <c r="I73" s="216">
        <v>0</v>
      </c>
      <c r="J73" s="216">
        <v>0</v>
      </c>
      <c r="K73" s="216">
        <v>0</v>
      </c>
    </row>
    <row r="74" spans="1:11" x14ac:dyDescent="0.4">
      <c r="A74" s="217">
        <v>73</v>
      </c>
      <c r="B74" s="217" t="s">
        <v>241</v>
      </c>
      <c r="C74" s="216">
        <v>0</v>
      </c>
      <c r="D74" s="216">
        <v>0</v>
      </c>
      <c r="E74" s="216">
        <v>0</v>
      </c>
      <c r="F74" s="216">
        <v>0</v>
      </c>
      <c r="G74" s="216">
        <v>0</v>
      </c>
      <c r="H74" s="216">
        <v>0</v>
      </c>
      <c r="I74" s="216">
        <v>0</v>
      </c>
      <c r="J74" s="216">
        <v>0</v>
      </c>
      <c r="K74" s="216">
        <v>0</v>
      </c>
    </row>
    <row r="75" spans="1:11" x14ac:dyDescent="0.4">
      <c r="A75" s="217">
        <v>74</v>
      </c>
      <c r="B75" s="217" t="s">
        <v>242</v>
      </c>
      <c r="C75" s="216">
        <v>0</v>
      </c>
      <c r="D75" s="216">
        <v>0</v>
      </c>
      <c r="E75" s="216">
        <v>0</v>
      </c>
      <c r="F75" s="216">
        <v>0</v>
      </c>
      <c r="G75" s="216">
        <v>0</v>
      </c>
      <c r="H75" s="216">
        <v>0</v>
      </c>
      <c r="I75" s="216">
        <v>0</v>
      </c>
      <c r="J75" s="216">
        <v>0</v>
      </c>
      <c r="K75" s="216">
        <v>0</v>
      </c>
    </row>
    <row r="76" spans="1:11" x14ac:dyDescent="0.4">
      <c r="A76" s="217">
        <v>75</v>
      </c>
      <c r="B76" s="217" t="s">
        <v>243</v>
      </c>
      <c r="C76" s="216">
        <v>0</v>
      </c>
      <c r="D76" s="216">
        <v>0</v>
      </c>
      <c r="E76" s="216">
        <v>0</v>
      </c>
      <c r="F76" s="216">
        <v>0</v>
      </c>
      <c r="G76" s="216">
        <v>0</v>
      </c>
      <c r="H76" s="216">
        <v>0</v>
      </c>
      <c r="I76" s="216">
        <v>0</v>
      </c>
      <c r="J76" s="216">
        <v>0</v>
      </c>
      <c r="K76" s="216">
        <v>0</v>
      </c>
    </row>
    <row r="77" spans="1:11" x14ac:dyDescent="0.4">
      <c r="A77" s="217">
        <v>76</v>
      </c>
      <c r="B77" s="217" t="s">
        <v>244</v>
      </c>
      <c r="C77" s="216">
        <v>0</v>
      </c>
      <c r="D77" s="216">
        <v>0</v>
      </c>
      <c r="E77" s="216">
        <v>0</v>
      </c>
      <c r="F77" s="216">
        <v>0</v>
      </c>
      <c r="G77" s="216">
        <v>0</v>
      </c>
      <c r="H77" s="216">
        <v>0</v>
      </c>
      <c r="I77" s="216">
        <v>0</v>
      </c>
      <c r="J77" s="216">
        <v>0</v>
      </c>
      <c r="K77" s="216">
        <v>0</v>
      </c>
    </row>
    <row r="78" spans="1:11" x14ac:dyDescent="0.4">
      <c r="A78" s="217">
        <v>77</v>
      </c>
      <c r="B78" s="217" t="s">
        <v>245</v>
      </c>
      <c r="C78" s="216">
        <v>0</v>
      </c>
      <c r="D78" s="216">
        <v>0</v>
      </c>
      <c r="E78" s="216">
        <v>0</v>
      </c>
      <c r="F78" s="216">
        <v>0</v>
      </c>
      <c r="G78" s="216">
        <v>0</v>
      </c>
      <c r="H78" s="216">
        <v>0</v>
      </c>
      <c r="I78" s="216">
        <v>0</v>
      </c>
      <c r="J78" s="216">
        <v>0</v>
      </c>
      <c r="K78" s="216">
        <v>0</v>
      </c>
    </row>
    <row r="79" spans="1:11" x14ac:dyDescent="0.4">
      <c r="A79" s="217">
        <v>78</v>
      </c>
      <c r="B79" s="217" t="s">
        <v>246</v>
      </c>
      <c r="C79" s="216">
        <v>0</v>
      </c>
      <c r="D79" s="216">
        <v>0</v>
      </c>
      <c r="E79" s="216">
        <v>0</v>
      </c>
      <c r="F79" s="216">
        <v>0</v>
      </c>
      <c r="G79" s="216">
        <v>0</v>
      </c>
      <c r="H79" s="216">
        <v>0</v>
      </c>
      <c r="I79" s="216">
        <v>0</v>
      </c>
      <c r="J79" s="216">
        <v>0</v>
      </c>
      <c r="K79" s="216">
        <v>0</v>
      </c>
    </row>
    <row r="80" spans="1:11" x14ac:dyDescent="0.4">
      <c r="A80" s="217">
        <v>79</v>
      </c>
      <c r="B80" s="217" t="s">
        <v>247</v>
      </c>
      <c r="C80" s="216">
        <v>0</v>
      </c>
      <c r="D80" s="216">
        <v>0</v>
      </c>
      <c r="E80" s="216">
        <v>0</v>
      </c>
      <c r="F80" s="216">
        <v>0</v>
      </c>
      <c r="G80" s="216">
        <v>0</v>
      </c>
      <c r="H80" s="216">
        <v>0</v>
      </c>
      <c r="I80" s="216">
        <v>0</v>
      </c>
      <c r="J80" s="216">
        <v>0</v>
      </c>
      <c r="K80" s="216">
        <v>0</v>
      </c>
    </row>
    <row r="81" spans="1:11" x14ac:dyDescent="0.4">
      <c r="A81" s="217">
        <v>80</v>
      </c>
      <c r="B81" s="217" t="s">
        <v>280</v>
      </c>
      <c r="C81" s="216">
        <v>0</v>
      </c>
      <c r="D81" s="216">
        <v>0</v>
      </c>
      <c r="E81" s="216">
        <v>0</v>
      </c>
      <c r="F81" s="216">
        <v>0</v>
      </c>
      <c r="G81" s="216">
        <v>0</v>
      </c>
      <c r="H81" s="216">
        <v>0</v>
      </c>
      <c r="I81" s="216">
        <v>0</v>
      </c>
      <c r="J81" s="216">
        <v>0</v>
      </c>
      <c r="K81" s="216">
        <v>0</v>
      </c>
    </row>
    <row r="82" spans="1:11" x14ac:dyDescent="0.4">
      <c r="A82" s="217">
        <v>81</v>
      </c>
      <c r="B82" s="217" t="s">
        <v>281</v>
      </c>
      <c r="C82" s="216">
        <v>0</v>
      </c>
      <c r="D82" s="216">
        <v>0</v>
      </c>
      <c r="E82" s="216">
        <v>0</v>
      </c>
      <c r="F82" s="216">
        <v>0</v>
      </c>
      <c r="G82" s="216">
        <v>0</v>
      </c>
      <c r="H82" s="216">
        <v>0</v>
      </c>
      <c r="I82" s="216">
        <v>0</v>
      </c>
      <c r="J82" s="216">
        <v>0</v>
      </c>
      <c r="K82" s="216">
        <v>0</v>
      </c>
    </row>
    <row r="83" spans="1:11" x14ac:dyDescent="0.4">
      <c r="A83" s="217">
        <v>82</v>
      </c>
      <c r="B83" s="217" t="s">
        <v>248</v>
      </c>
      <c r="C83" s="216">
        <v>0</v>
      </c>
      <c r="D83" s="216">
        <v>0</v>
      </c>
      <c r="E83" s="216">
        <v>0</v>
      </c>
      <c r="F83" s="216">
        <v>0</v>
      </c>
      <c r="G83" s="216">
        <v>0</v>
      </c>
      <c r="H83" s="216">
        <v>0</v>
      </c>
      <c r="I83" s="216">
        <v>0</v>
      </c>
      <c r="J83" s="216">
        <v>0</v>
      </c>
      <c r="K83" s="216">
        <v>0</v>
      </c>
    </row>
    <row r="84" spans="1:11" x14ac:dyDescent="0.4">
      <c r="A84" s="217">
        <v>83</v>
      </c>
      <c r="B84" s="217" t="s">
        <v>249</v>
      </c>
      <c r="C84" s="216">
        <v>0</v>
      </c>
      <c r="D84" s="216">
        <v>0</v>
      </c>
      <c r="E84" s="216">
        <v>0</v>
      </c>
      <c r="F84" s="216">
        <v>0</v>
      </c>
      <c r="G84" s="216">
        <v>0</v>
      </c>
      <c r="H84" s="216">
        <v>0</v>
      </c>
      <c r="I84" s="216">
        <v>0</v>
      </c>
      <c r="J84" s="216">
        <v>0</v>
      </c>
      <c r="K84" s="216">
        <v>0</v>
      </c>
    </row>
    <row r="85" spans="1:11" x14ac:dyDescent="0.4">
      <c r="A85" s="217">
        <v>84</v>
      </c>
      <c r="B85" s="217" t="s">
        <v>282</v>
      </c>
      <c r="C85" s="216">
        <v>0</v>
      </c>
      <c r="D85" s="216">
        <v>0</v>
      </c>
      <c r="E85" s="216">
        <v>0</v>
      </c>
      <c r="F85" s="216">
        <v>0</v>
      </c>
      <c r="G85" s="216">
        <v>0</v>
      </c>
      <c r="H85" s="216">
        <v>0</v>
      </c>
      <c r="I85" s="216">
        <v>0</v>
      </c>
      <c r="J85" s="216">
        <v>0</v>
      </c>
      <c r="K85" s="216">
        <v>0</v>
      </c>
    </row>
    <row r="86" spans="1:11" x14ac:dyDescent="0.4">
      <c r="A86" s="217">
        <v>85</v>
      </c>
      <c r="B86" s="217" t="s">
        <v>283</v>
      </c>
      <c r="C86" s="216">
        <v>0</v>
      </c>
      <c r="D86" s="216">
        <v>0</v>
      </c>
      <c r="E86" s="216">
        <v>0</v>
      </c>
      <c r="F86" s="216">
        <v>0</v>
      </c>
      <c r="G86" s="216">
        <v>0</v>
      </c>
      <c r="H86" s="216">
        <v>0</v>
      </c>
      <c r="I86" s="216">
        <v>0</v>
      </c>
      <c r="J86" s="216">
        <v>0</v>
      </c>
      <c r="K86" s="216">
        <v>0</v>
      </c>
    </row>
    <row r="87" spans="1:11" x14ac:dyDescent="0.4">
      <c r="A87" s="217">
        <v>86</v>
      </c>
      <c r="B87" s="217" t="s">
        <v>250</v>
      </c>
      <c r="C87" s="216">
        <v>0</v>
      </c>
      <c r="D87" s="216">
        <v>0</v>
      </c>
      <c r="E87" s="216">
        <v>0</v>
      </c>
      <c r="F87" s="216">
        <v>0</v>
      </c>
      <c r="G87" s="216">
        <v>0</v>
      </c>
      <c r="H87" s="216">
        <v>0</v>
      </c>
      <c r="I87" s="216">
        <v>0</v>
      </c>
      <c r="J87" s="216">
        <v>0</v>
      </c>
      <c r="K87" s="216">
        <v>0</v>
      </c>
    </row>
    <row r="88" spans="1:11" x14ac:dyDescent="0.4">
      <c r="A88" s="217">
        <v>87</v>
      </c>
      <c r="B88" s="217" t="s">
        <v>251</v>
      </c>
      <c r="C88" s="216">
        <v>0</v>
      </c>
      <c r="D88" s="216">
        <v>0</v>
      </c>
      <c r="E88" s="216">
        <v>0</v>
      </c>
      <c r="F88" s="216">
        <v>0</v>
      </c>
      <c r="G88" s="216">
        <v>0</v>
      </c>
      <c r="H88" s="216">
        <v>0</v>
      </c>
      <c r="I88" s="216">
        <v>0</v>
      </c>
      <c r="J88" s="216">
        <v>0</v>
      </c>
      <c r="K88" s="216">
        <v>0</v>
      </c>
    </row>
    <row r="89" spans="1:11" x14ac:dyDescent="0.4">
      <c r="A89" s="217">
        <v>88</v>
      </c>
      <c r="B89" s="217" t="s">
        <v>252</v>
      </c>
      <c r="C89" s="216">
        <v>0</v>
      </c>
      <c r="D89" s="216">
        <v>0</v>
      </c>
      <c r="E89" s="216">
        <v>0</v>
      </c>
      <c r="F89" s="216">
        <v>0</v>
      </c>
      <c r="G89" s="216">
        <v>0</v>
      </c>
      <c r="H89" s="216">
        <v>0</v>
      </c>
      <c r="I89" s="216">
        <v>0</v>
      </c>
      <c r="J89" s="216">
        <v>0</v>
      </c>
      <c r="K89" s="216">
        <v>0</v>
      </c>
    </row>
    <row r="90" spans="1:11" x14ac:dyDescent="0.4">
      <c r="A90" s="217">
        <v>89</v>
      </c>
      <c r="B90" s="217" t="s">
        <v>253</v>
      </c>
      <c r="C90" s="216">
        <v>0</v>
      </c>
      <c r="D90" s="216">
        <v>0</v>
      </c>
      <c r="E90" s="216">
        <v>0</v>
      </c>
      <c r="F90" s="216">
        <v>0</v>
      </c>
      <c r="G90" s="216">
        <v>0</v>
      </c>
      <c r="H90" s="216">
        <v>0</v>
      </c>
      <c r="I90" s="216">
        <v>0</v>
      </c>
      <c r="J90" s="216">
        <v>0</v>
      </c>
      <c r="K90" s="216">
        <v>0</v>
      </c>
    </row>
    <row r="91" spans="1:11" x14ac:dyDescent="0.4">
      <c r="A91" s="217">
        <v>90</v>
      </c>
      <c r="B91" s="217" t="s">
        <v>254</v>
      </c>
      <c r="C91" s="216">
        <v>0</v>
      </c>
      <c r="D91" s="216">
        <v>0</v>
      </c>
      <c r="E91" s="216">
        <v>0</v>
      </c>
      <c r="F91" s="216">
        <v>0</v>
      </c>
      <c r="G91" s="216">
        <v>0</v>
      </c>
      <c r="H91" s="216">
        <v>0</v>
      </c>
      <c r="I91" s="216">
        <v>0</v>
      </c>
      <c r="J91" s="216">
        <v>0</v>
      </c>
      <c r="K91" s="216">
        <v>0</v>
      </c>
    </row>
    <row r="92" spans="1:11" x14ac:dyDescent="0.4">
      <c r="A92" s="217">
        <v>91</v>
      </c>
      <c r="B92" s="217" t="s">
        <v>433</v>
      </c>
      <c r="C92" s="216">
        <v>0</v>
      </c>
      <c r="D92" s="216">
        <v>0</v>
      </c>
      <c r="E92" s="216">
        <v>0</v>
      </c>
      <c r="F92" s="216">
        <v>0</v>
      </c>
      <c r="G92" s="216">
        <v>0</v>
      </c>
      <c r="H92" s="216">
        <v>0</v>
      </c>
      <c r="I92" s="216">
        <v>0</v>
      </c>
      <c r="J92" s="216">
        <v>0</v>
      </c>
      <c r="K92" s="216">
        <v>0</v>
      </c>
    </row>
    <row r="93" spans="1:11" x14ac:dyDescent="0.4">
      <c r="A93" s="217">
        <v>92</v>
      </c>
      <c r="B93" s="217" t="s">
        <v>434</v>
      </c>
      <c r="C93" s="216">
        <v>0</v>
      </c>
      <c r="D93" s="216">
        <v>0</v>
      </c>
      <c r="E93" s="216">
        <v>0</v>
      </c>
      <c r="F93" s="216">
        <v>0</v>
      </c>
      <c r="G93" s="216">
        <v>0</v>
      </c>
      <c r="H93" s="216">
        <v>0</v>
      </c>
      <c r="I93" s="216">
        <v>0</v>
      </c>
      <c r="J93" s="216">
        <v>0</v>
      </c>
      <c r="K93" s="216">
        <v>0</v>
      </c>
    </row>
    <row r="94" spans="1:11" x14ac:dyDescent="0.4">
      <c r="A94" s="217">
        <v>93</v>
      </c>
      <c r="B94" s="217" t="s">
        <v>435</v>
      </c>
      <c r="C94" s="216">
        <v>0</v>
      </c>
      <c r="D94" s="216">
        <v>0</v>
      </c>
      <c r="E94" s="216">
        <v>0</v>
      </c>
      <c r="F94" s="216">
        <v>0</v>
      </c>
      <c r="G94" s="216">
        <v>0</v>
      </c>
      <c r="H94" s="216">
        <v>0</v>
      </c>
      <c r="I94" s="216">
        <v>0</v>
      </c>
      <c r="J94" s="216">
        <v>0</v>
      </c>
      <c r="K94" s="216">
        <v>0</v>
      </c>
    </row>
    <row r="95" spans="1:11" x14ac:dyDescent="0.4">
      <c r="A95" s="217">
        <v>94</v>
      </c>
      <c r="B95" s="217" t="s">
        <v>436</v>
      </c>
      <c r="C95" s="216">
        <v>0</v>
      </c>
      <c r="D95" s="216">
        <v>0</v>
      </c>
      <c r="E95" s="216">
        <v>0</v>
      </c>
      <c r="F95" s="216">
        <v>0</v>
      </c>
      <c r="G95" s="216">
        <v>0</v>
      </c>
      <c r="H95" s="216">
        <v>0</v>
      </c>
      <c r="I95" s="216">
        <v>0</v>
      </c>
      <c r="J95" s="216">
        <v>0</v>
      </c>
      <c r="K95" s="216">
        <v>0</v>
      </c>
    </row>
    <row r="96" spans="1:11" x14ac:dyDescent="0.4">
      <c r="A96" s="217">
        <v>95</v>
      </c>
      <c r="B96" s="217" t="s">
        <v>437</v>
      </c>
      <c r="C96" s="216">
        <v>0</v>
      </c>
      <c r="D96" s="216">
        <v>0</v>
      </c>
      <c r="E96" s="216">
        <v>0</v>
      </c>
      <c r="F96" s="216">
        <v>0</v>
      </c>
      <c r="G96" s="216">
        <v>0</v>
      </c>
      <c r="H96" s="216">
        <v>0</v>
      </c>
      <c r="I96" s="216">
        <v>0</v>
      </c>
      <c r="J96" s="216">
        <v>0</v>
      </c>
      <c r="K96" s="216">
        <v>0</v>
      </c>
    </row>
    <row r="97" spans="1:11" x14ac:dyDescent="0.4">
      <c r="A97" s="217">
        <v>96</v>
      </c>
      <c r="B97" s="217" t="s">
        <v>438</v>
      </c>
      <c r="C97" s="216">
        <v>0</v>
      </c>
      <c r="D97" s="216">
        <v>0</v>
      </c>
      <c r="E97" s="216">
        <v>0</v>
      </c>
      <c r="F97" s="216">
        <v>0</v>
      </c>
      <c r="G97" s="216">
        <v>0</v>
      </c>
      <c r="H97" s="216">
        <v>0</v>
      </c>
      <c r="I97" s="216">
        <v>0</v>
      </c>
      <c r="J97" s="216">
        <v>0</v>
      </c>
      <c r="K97" s="216">
        <v>0</v>
      </c>
    </row>
    <row r="98" spans="1:11" x14ac:dyDescent="0.4">
      <c r="A98" s="217">
        <v>97</v>
      </c>
      <c r="B98" s="217" t="s">
        <v>439</v>
      </c>
      <c r="C98" s="216">
        <v>0</v>
      </c>
      <c r="D98" s="216">
        <v>0</v>
      </c>
      <c r="E98" s="216">
        <v>0</v>
      </c>
      <c r="F98" s="216">
        <v>0</v>
      </c>
      <c r="G98" s="216">
        <v>0</v>
      </c>
      <c r="H98" s="216">
        <v>0</v>
      </c>
      <c r="I98" s="216">
        <v>0</v>
      </c>
      <c r="J98" s="216">
        <v>0</v>
      </c>
      <c r="K98" s="216">
        <v>0</v>
      </c>
    </row>
    <row r="99" spans="1:11" x14ac:dyDescent="0.4">
      <c r="A99" s="217">
        <v>98</v>
      </c>
      <c r="B99" s="217" t="s">
        <v>440</v>
      </c>
      <c r="C99" s="216">
        <v>0</v>
      </c>
      <c r="D99" s="216">
        <v>0</v>
      </c>
      <c r="E99" s="216">
        <v>0</v>
      </c>
      <c r="F99" s="216">
        <v>0</v>
      </c>
      <c r="G99" s="216">
        <v>0</v>
      </c>
      <c r="H99" s="216">
        <v>0</v>
      </c>
      <c r="I99" s="216">
        <v>0</v>
      </c>
      <c r="J99" s="216">
        <v>0</v>
      </c>
      <c r="K99" s="216">
        <v>0</v>
      </c>
    </row>
    <row r="100" spans="1:11" x14ac:dyDescent="0.4">
      <c r="A100" s="217">
        <v>99</v>
      </c>
      <c r="B100" s="217" t="s">
        <v>264</v>
      </c>
      <c r="C100" s="216">
        <v>0</v>
      </c>
      <c r="D100" s="216">
        <v>0</v>
      </c>
      <c r="E100" s="216">
        <v>0</v>
      </c>
      <c r="F100" s="216">
        <v>0</v>
      </c>
      <c r="G100" s="216">
        <v>0</v>
      </c>
      <c r="H100" s="216">
        <v>0</v>
      </c>
      <c r="I100" s="216">
        <v>0</v>
      </c>
      <c r="J100" s="216">
        <v>0</v>
      </c>
      <c r="K100" s="216">
        <v>0</v>
      </c>
    </row>
  </sheetData>
  <pageMargins left="0.75" right="0.75" top="1" bottom="1" header="0.5" footer="0.5"/>
  <pageSetup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M500"/>
  <sheetViews>
    <sheetView zoomScale="115" zoomScaleNormal="115" zoomScalePageLayoutView="125" workbookViewId="0">
      <pane xSplit="2" ySplit="1" topLeftCell="C2" activePane="bottomRight" state="frozen"/>
      <selection pane="topRight" activeCell="C1" sqref="C1"/>
      <selection pane="bottomLeft" activeCell="A3" sqref="A3"/>
      <selection pane="bottomRight" activeCell="G59" sqref="G59"/>
    </sheetView>
  </sheetViews>
  <sheetFormatPr defaultColWidth="8.83203125" defaultRowHeight="15" customHeight="1" x14ac:dyDescent="0.4"/>
  <cols>
    <col min="1" max="1" width="8.83203125" style="48"/>
    <col min="2" max="2" width="41.83203125" style="42" bestFit="1" customWidth="1"/>
    <col min="3" max="3" width="9.33203125" style="48" bestFit="1" customWidth="1"/>
    <col min="4" max="4" width="13" style="48" bestFit="1" customWidth="1"/>
    <col min="5" max="6" width="9.33203125" style="48" bestFit="1" customWidth="1"/>
    <col min="7" max="7" width="9.33203125" style="79" bestFit="1" customWidth="1"/>
    <col min="8" max="8" width="9.33203125" style="48" bestFit="1" customWidth="1"/>
    <col min="9" max="9" width="11" style="48" customWidth="1"/>
    <col min="10" max="16384" width="8.83203125" style="48"/>
  </cols>
  <sheetData>
    <row r="1" spans="1:13" ht="15" customHeight="1" x14ac:dyDescent="0.4">
      <c r="A1" s="4" t="s">
        <v>25</v>
      </c>
      <c r="B1" s="30" t="s">
        <v>0</v>
      </c>
      <c r="C1" s="1" t="s">
        <v>13</v>
      </c>
      <c r="D1" s="1" t="s">
        <v>14</v>
      </c>
      <c r="E1" s="1" t="s">
        <v>1</v>
      </c>
      <c r="F1" s="1" t="s">
        <v>2</v>
      </c>
      <c r="G1" s="78" t="s">
        <v>15</v>
      </c>
      <c r="H1" s="1" t="s">
        <v>26</v>
      </c>
      <c r="I1" s="1" t="s">
        <v>24</v>
      </c>
      <c r="K1" s="1"/>
    </row>
    <row r="2" spans="1:13" ht="15" customHeight="1" x14ac:dyDescent="0.4">
      <c r="A2" s="385">
        <v>1</v>
      </c>
      <c r="B2" s="385" t="s">
        <v>177</v>
      </c>
      <c r="C2" s="265">
        <v>1</v>
      </c>
      <c r="D2" s="266">
        <v>45.753261566162109</v>
      </c>
      <c r="E2" s="266">
        <v>215</v>
      </c>
      <c r="F2" s="267"/>
      <c r="G2" s="264">
        <v>0.98038703203201294</v>
      </c>
      <c r="H2" s="267"/>
      <c r="I2">
        <v>0</v>
      </c>
      <c r="J2"/>
      <c r="K2"/>
      <c r="L2"/>
      <c r="M2"/>
    </row>
    <row r="3" spans="1:13" ht="15" customHeight="1" x14ac:dyDescent="0.4">
      <c r="A3" s="386">
        <v>2</v>
      </c>
      <c r="B3" s="386" t="s">
        <v>178</v>
      </c>
      <c r="C3" s="265">
        <v>1</v>
      </c>
      <c r="D3" s="266">
        <v>6.2300519943237305</v>
      </c>
      <c r="E3" s="266">
        <v>215</v>
      </c>
      <c r="F3" s="267"/>
      <c r="G3" s="264">
        <v>0.94542801380157471</v>
      </c>
      <c r="H3" s="267"/>
      <c r="I3">
        <v>0</v>
      </c>
      <c r="J3"/>
      <c r="K3"/>
      <c r="L3"/>
      <c r="M3"/>
    </row>
    <row r="4" spans="1:13" ht="15" customHeight="1" x14ac:dyDescent="0.4">
      <c r="A4" s="387">
        <v>3</v>
      </c>
      <c r="B4" s="387" t="s">
        <v>179</v>
      </c>
      <c r="C4" s="265">
        <v>2</v>
      </c>
      <c r="D4" s="264">
        <v>16.218530654907227</v>
      </c>
      <c r="E4" s="266">
        <v>150</v>
      </c>
      <c r="F4" s="264">
        <v>428.57144165039063</v>
      </c>
      <c r="G4" s="266">
        <v>0.90000015497207642</v>
      </c>
      <c r="H4" s="266">
        <v>0.34999999403953552</v>
      </c>
      <c r="I4">
        <v>0</v>
      </c>
      <c r="J4"/>
      <c r="K4"/>
      <c r="L4"/>
      <c r="M4"/>
    </row>
    <row r="5" spans="1:13" ht="15" customHeight="1" x14ac:dyDescent="0.4">
      <c r="A5" s="388">
        <v>4</v>
      </c>
      <c r="B5" s="388" t="s">
        <v>180</v>
      </c>
      <c r="C5" s="265">
        <v>2.25</v>
      </c>
      <c r="D5" s="266">
        <v>6.5516500473022461</v>
      </c>
      <c r="E5" s="266">
        <v>15</v>
      </c>
      <c r="F5" s="264">
        <v>60</v>
      </c>
      <c r="G5" s="264">
        <v>0.74438369274139404</v>
      </c>
      <c r="H5" s="266">
        <v>0.25</v>
      </c>
      <c r="I5">
        <v>0</v>
      </c>
      <c r="J5"/>
      <c r="K5"/>
      <c r="L5"/>
      <c r="M5"/>
    </row>
    <row r="6" spans="1:13" ht="15" customHeight="1" x14ac:dyDescent="0.4">
      <c r="A6" s="389">
        <v>5</v>
      </c>
      <c r="B6" s="389" t="s">
        <v>181</v>
      </c>
      <c r="C6" s="265">
        <v>2.3499999046325684</v>
      </c>
      <c r="D6" s="266">
        <v>26.443222045898438</v>
      </c>
      <c r="E6" s="266">
        <v>37</v>
      </c>
      <c r="F6" s="264">
        <v>148</v>
      </c>
      <c r="G6" s="264">
        <v>0.41914451122283936</v>
      </c>
      <c r="H6" s="266">
        <v>0.25</v>
      </c>
      <c r="I6">
        <v>0</v>
      </c>
      <c r="J6"/>
      <c r="K6"/>
      <c r="L6"/>
      <c r="M6"/>
    </row>
    <row r="7" spans="1:13" ht="15" customHeight="1" x14ac:dyDescent="0.4">
      <c r="A7" s="390">
        <v>6</v>
      </c>
      <c r="B7" s="390" t="s">
        <v>182</v>
      </c>
      <c r="C7" s="265">
        <v>2.3499999046325684</v>
      </c>
      <c r="D7" s="266">
        <v>4.812924861907959</v>
      </c>
      <c r="E7" s="266">
        <v>37</v>
      </c>
      <c r="F7" s="264">
        <v>148</v>
      </c>
      <c r="G7" s="264">
        <v>0.57286590337753296</v>
      </c>
      <c r="H7" s="266">
        <v>0.25</v>
      </c>
      <c r="I7">
        <v>0</v>
      </c>
      <c r="J7"/>
      <c r="K7"/>
      <c r="L7"/>
      <c r="M7"/>
    </row>
    <row r="8" spans="1:13" ht="15" customHeight="1" x14ac:dyDescent="0.4">
      <c r="A8" s="391">
        <v>7</v>
      </c>
      <c r="B8" s="391" t="s">
        <v>183</v>
      </c>
      <c r="C8" s="265">
        <v>2.5259737968444824</v>
      </c>
      <c r="D8" s="266">
        <v>0.2715781033039093</v>
      </c>
      <c r="E8" s="266">
        <v>15</v>
      </c>
      <c r="F8" s="264">
        <v>49.999996185302734</v>
      </c>
      <c r="G8" s="264">
        <v>0.75908052921295166</v>
      </c>
      <c r="H8" s="266">
        <v>0.30000001192092896</v>
      </c>
      <c r="I8">
        <v>0</v>
      </c>
      <c r="J8"/>
      <c r="K8"/>
      <c r="L8"/>
      <c r="M8"/>
    </row>
    <row r="9" spans="1:13" ht="15" customHeight="1" x14ac:dyDescent="0.4">
      <c r="A9" s="392">
        <v>8</v>
      </c>
      <c r="B9" s="392" t="s">
        <v>184</v>
      </c>
      <c r="C9" s="265">
        <v>2.6464328765869141</v>
      </c>
      <c r="D9" s="266">
        <v>0.66168713569641113</v>
      </c>
      <c r="E9" s="266">
        <v>14</v>
      </c>
      <c r="F9" s="264">
        <v>56</v>
      </c>
      <c r="G9" s="264">
        <v>0.73448401689529419</v>
      </c>
      <c r="H9" s="266">
        <v>0.25</v>
      </c>
      <c r="I9">
        <v>0</v>
      </c>
      <c r="J9"/>
      <c r="K9"/>
      <c r="L9"/>
      <c r="M9"/>
    </row>
    <row r="10" spans="1:13" ht="15" customHeight="1" x14ac:dyDescent="0.4">
      <c r="A10" s="393">
        <v>9</v>
      </c>
      <c r="B10" s="393" t="s">
        <v>185</v>
      </c>
      <c r="C10" s="265">
        <v>3.2744970321655273</v>
      </c>
      <c r="D10" s="266">
        <v>18.938838958740234</v>
      </c>
      <c r="E10" s="266">
        <v>3</v>
      </c>
      <c r="F10" s="264">
        <v>12</v>
      </c>
      <c r="G10" s="264">
        <v>0.8848380446434021</v>
      </c>
      <c r="H10" s="266">
        <v>0.25</v>
      </c>
      <c r="I10">
        <v>0</v>
      </c>
      <c r="J10"/>
      <c r="K10"/>
      <c r="L10"/>
      <c r="M10"/>
    </row>
    <row r="11" spans="1:13" ht="15" customHeight="1" x14ac:dyDescent="0.4">
      <c r="A11" s="394">
        <v>10</v>
      </c>
      <c r="B11" s="394" t="s">
        <v>186</v>
      </c>
      <c r="C11" s="265">
        <v>2.8759193420410156</v>
      </c>
      <c r="D11" s="266">
        <v>6.309049129486084</v>
      </c>
      <c r="E11" s="266">
        <v>10</v>
      </c>
      <c r="F11" s="264">
        <v>40</v>
      </c>
      <c r="G11" s="264">
        <v>0.7255362868309021</v>
      </c>
      <c r="H11" s="266">
        <v>0.25</v>
      </c>
      <c r="I11">
        <v>0</v>
      </c>
      <c r="J11"/>
      <c r="K11"/>
      <c r="L11"/>
      <c r="M11"/>
    </row>
    <row r="12" spans="1:13" ht="15" customHeight="1" x14ac:dyDescent="0.4">
      <c r="A12" s="395">
        <v>11</v>
      </c>
      <c r="B12" s="395" t="s">
        <v>187</v>
      </c>
      <c r="C12" s="265">
        <v>2.4014143943786621</v>
      </c>
      <c r="D12" s="266">
        <v>1.6707181930541992</v>
      </c>
      <c r="E12" s="266">
        <v>45</v>
      </c>
      <c r="F12" s="264">
        <v>150</v>
      </c>
      <c r="G12" s="264">
        <v>2.1043352782726288E-2</v>
      </c>
      <c r="H12" s="266">
        <v>0.30000001192092896</v>
      </c>
      <c r="I12">
        <v>0</v>
      </c>
      <c r="J12"/>
      <c r="K12"/>
      <c r="L12"/>
      <c r="M12"/>
    </row>
    <row r="13" spans="1:13" ht="15" customHeight="1" x14ac:dyDescent="0.4">
      <c r="A13" s="396">
        <v>12</v>
      </c>
      <c r="B13" s="396" t="s">
        <v>188</v>
      </c>
      <c r="C13" s="265">
        <v>3.4785115718841553</v>
      </c>
      <c r="D13" s="266">
        <v>5.3595740348100662E-2</v>
      </c>
      <c r="E13" s="266">
        <v>20</v>
      </c>
      <c r="F13" s="264">
        <v>66.666664123535156</v>
      </c>
      <c r="G13" s="264">
        <v>2.2640062496066093E-2</v>
      </c>
      <c r="H13" s="266">
        <v>0.30000001192092896</v>
      </c>
      <c r="I13">
        <v>0</v>
      </c>
      <c r="J13"/>
      <c r="K13"/>
      <c r="L13"/>
      <c r="M13"/>
    </row>
    <row r="14" spans="1:13" ht="15" customHeight="1" x14ac:dyDescent="0.4">
      <c r="A14" s="397">
        <v>13</v>
      </c>
      <c r="B14" s="397" t="s">
        <v>189</v>
      </c>
      <c r="C14" s="265">
        <v>3.0832033157348633</v>
      </c>
      <c r="D14" s="266">
        <v>0.10131044685840607</v>
      </c>
      <c r="E14" s="266">
        <v>15</v>
      </c>
      <c r="F14" s="264">
        <v>60</v>
      </c>
      <c r="G14" s="264">
        <v>7.8953109681606293E-2</v>
      </c>
      <c r="H14" s="266">
        <v>0.25</v>
      </c>
      <c r="I14">
        <v>0</v>
      </c>
      <c r="J14"/>
      <c r="K14"/>
      <c r="L14"/>
      <c r="M14"/>
    </row>
    <row r="15" spans="1:13" ht="15" customHeight="1" x14ac:dyDescent="0.4">
      <c r="A15" s="398">
        <v>14</v>
      </c>
      <c r="B15" s="398" t="s">
        <v>273</v>
      </c>
      <c r="C15" s="265">
        <v>2.0800001621246338</v>
      </c>
      <c r="D15" s="266">
        <v>15.976115226745605</v>
      </c>
      <c r="E15" s="266">
        <v>45</v>
      </c>
      <c r="F15" s="264">
        <v>150</v>
      </c>
      <c r="G15" s="264">
        <v>8.8151759700849652E-4</v>
      </c>
      <c r="H15" s="266">
        <v>0.30000001192092896</v>
      </c>
      <c r="I15">
        <v>0</v>
      </c>
      <c r="J15"/>
      <c r="K15"/>
      <c r="L15"/>
      <c r="M15"/>
    </row>
    <row r="16" spans="1:13" ht="15" customHeight="1" x14ac:dyDescent="0.4">
      <c r="A16" s="399">
        <v>15</v>
      </c>
      <c r="B16" s="399" t="s">
        <v>190</v>
      </c>
      <c r="C16" s="265">
        <v>2.2964215278625488</v>
      </c>
      <c r="D16" s="266">
        <v>32.293804168701172</v>
      </c>
      <c r="E16" s="266">
        <v>6</v>
      </c>
      <c r="F16" s="264">
        <v>24</v>
      </c>
      <c r="G16" s="264">
        <v>0.93140870332717896</v>
      </c>
      <c r="H16" s="266">
        <v>0.25</v>
      </c>
      <c r="I16">
        <v>0</v>
      </c>
      <c r="J16"/>
      <c r="K16"/>
      <c r="L16"/>
      <c r="M16"/>
    </row>
    <row r="17" spans="1:13" ht="15" customHeight="1" x14ac:dyDescent="0.4">
      <c r="A17" s="400">
        <v>16</v>
      </c>
      <c r="B17" s="400" t="s">
        <v>191</v>
      </c>
      <c r="C17" s="265">
        <v>2.2954301834106445</v>
      </c>
      <c r="D17" s="266">
        <v>10.234480857849121</v>
      </c>
      <c r="E17" s="266">
        <v>7</v>
      </c>
      <c r="F17" s="264">
        <v>28</v>
      </c>
      <c r="G17" s="264">
        <v>0.79893887042999268</v>
      </c>
      <c r="H17" s="266">
        <v>0.25</v>
      </c>
      <c r="I17">
        <v>0</v>
      </c>
      <c r="J17"/>
      <c r="K17"/>
      <c r="L17"/>
      <c r="M17"/>
    </row>
    <row r="18" spans="1:13" ht="15" customHeight="1" x14ac:dyDescent="0.4">
      <c r="A18" s="401">
        <v>17</v>
      </c>
      <c r="B18" s="401" t="s">
        <v>192</v>
      </c>
      <c r="C18" s="265">
        <v>3.634573221206665</v>
      </c>
      <c r="D18" s="264">
        <v>2.6402881145477295</v>
      </c>
      <c r="E18" s="266">
        <v>3</v>
      </c>
      <c r="F18" s="264">
        <v>12</v>
      </c>
      <c r="G18" s="266">
        <v>0.84999996423721313</v>
      </c>
      <c r="H18" s="266">
        <v>0.25</v>
      </c>
      <c r="I18">
        <v>7.3157669976353645E-3</v>
      </c>
      <c r="J18"/>
      <c r="K18"/>
      <c r="L18"/>
      <c r="M18"/>
    </row>
    <row r="19" spans="1:13" ht="15" customHeight="1" x14ac:dyDescent="0.4">
      <c r="A19" s="402">
        <v>18</v>
      </c>
      <c r="B19" s="402" t="s">
        <v>193</v>
      </c>
      <c r="C19" s="265">
        <v>4.3561768531799316</v>
      </c>
      <c r="D19" s="266">
        <v>4.999999888241291E-3</v>
      </c>
      <c r="E19" s="266">
        <v>2.75</v>
      </c>
      <c r="F19" s="264">
        <v>11</v>
      </c>
      <c r="G19" s="264">
        <v>0.96855068206787109</v>
      </c>
      <c r="H19" s="266">
        <v>0.25</v>
      </c>
      <c r="I19">
        <v>0</v>
      </c>
      <c r="J19"/>
      <c r="K19"/>
      <c r="L19"/>
      <c r="M19"/>
    </row>
    <row r="20" spans="1:13" ht="15" customHeight="1" x14ac:dyDescent="0.4">
      <c r="A20" s="403">
        <v>19</v>
      </c>
      <c r="B20" s="403" t="s">
        <v>194</v>
      </c>
      <c r="C20" s="265">
        <v>3.6503956317901611</v>
      </c>
      <c r="D20" s="266">
        <v>7.3832798004150391</v>
      </c>
      <c r="E20" s="266">
        <v>1.7999999523162842</v>
      </c>
      <c r="F20" s="264">
        <v>7.1999998092651367</v>
      </c>
      <c r="G20" s="264">
        <v>0.82121545076370239</v>
      </c>
      <c r="H20" s="266">
        <v>0.25</v>
      </c>
      <c r="I20">
        <v>9.0915535110980272E-4</v>
      </c>
      <c r="J20"/>
      <c r="K20"/>
      <c r="L20"/>
      <c r="M20"/>
    </row>
    <row r="21" spans="1:13" ht="15" customHeight="1" x14ac:dyDescent="0.4">
      <c r="A21" s="404">
        <v>20</v>
      </c>
      <c r="B21" s="404" t="s">
        <v>195</v>
      </c>
      <c r="C21" s="265">
        <v>3.3365733623504639</v>
      </c>
      <c r="D21" s="264">
        <v>2.0810596942901611</v>
      </c>
      <c r="E21" s="266">
        <v>1.1333333253860474</v>
      </c>
      <c r="F21" s="264">
        <v>4.5333333015441895</v>
      </c>
      <c r="G21" s="266">
        <v>0.89999997615814209</v>
      </c>
      <c r="H21" s="266">
        <v>0.25</v>
      </c>
      <c r="I21">
        <v>2.6680962182581425E-3</v>
      </c>
      <c r="J21"/>
      <c r="K21"/>
      <c r="L21"/>
      <c r="M21"/>
    </row>
    <row r="22" spans="1:13" ht="15" customHeight="1" x14ac:dyDescent="0.4">
      <c r="A22" s="405">
        <v>21</v>
      </c>
      <c r="B22" s="405" t="s">
        <v>196</v>
      </c>
      <c r="C22" s="265">
        <v>3.1106874942779541</v>
      </c>
      <c r="D22" s="266">
        <v>1.841389536857605</v>
      </c>
      <c r="E22" s="266">
        <v>1.1333333253860474</v>
      </c>
      <c r="F22" s="264">
        <v>4.5333333015441895</v>
      </c>
      <c r="G22" s="264">
        <v>0.9659426212310791</v>
      </c>
      <c r="H22" s="266">
        <v>0.25</v>
      </c>
      <c r="I22">
        <v>1.3818386010825634E-2</v>
      </c>
      <c r="J22"/>
      <c r="K22"/>
      <c r="L22"/>
      <c r="M22"/>
    </row>
    <row r="23" spans="1:13" ht="15" customHeight="1" x14ac:dyDescent="0.4">
      <c r="A23" s="406">
        <v>22</v>
      </c>
      <c r="B23" s="406" t="s">
        <v>197</v>
      </c>
      <c r="C23" s="265">
        <v>3.1664931774139404</v>
      </c>
      <c r="D23" s="266">
        <v>4.0991811752319336</v>
      </c>
      <c r="E23" s="266">
        <v>1.7999999523162842</v>
      </c>
      <c r="F23" s="264">
        <v>7.1999998092651367</v>
      </c>
      <c r="G23" s="264">
        <v>0.94336545467376709</v>
      </c>
      <c r="H23" s="266">
        <v>0.25</v>
      </c>
      <c r="I23">
        <v>8.5822422988712788E-4</v>
      </c>
      <c r="J23"/>
      <c r="K23"/>
      <c r="L23"/>
      <c r="M23"/>
    </row>
    <row r="24" spans="1:13" ht="15" customHeight="1" x14ac:dyDescent="0.4">
      <c r="A24" s="407">
        <v>23</v>
      </c>
      <c r="B24" s="407" t="s">
        <v>198</v>
      </c>
      <c r="C24" s="265">
        <v>3.1904470920562744</v>
      </c>
      <c r="D24" s="266">
        <v>3.0376920700073242</v>
      </c>
      <c r="E24" s="266">
        <v>1.7999999523162842</v>
      </c>
      <c r="F24" s="264">
        <v>7.1999998092651367</v>
      </c>
      <c r="G24" s="264">
        <v>0.86039906740188599</v>
      </c>
      <c r="H24" s="266">
        <v>0.25</v>
      </c>
      <c r="I24">
        <v>2.8824992477893829E-3</v>
      </c>
      <c r="J24"/>
      <c r="K24"/>
      <c r="L24"/>
      <c r="M24"/>
    </row>
    <row r="25" spans="1:13" ht="15" customHeight="1" x14ac:dyDescent="0.4">
      <c r="A25" s="408">
        <v>24</v>
      </c>
      <c r="B25" s="408" t="s">
        <v>199</v>
      </c>
      <c r="C25" s="265">
        <v>3.754314661026001</v>
      </c>
      <c r="D25" s="266">
        <v>0.12994399666786194</v>
      </c>
      <c r="E25" s="266">
        <v>1.1333333253860474</v>
      </c>
      <c r="F25" s="264">
        <v>4.5333333015441895</v>
      </c>
      <c r="G25" s="264">
        <v>0.77538245916366577</v>
      </c>
      <c r="H25" s="266">
        <v>0.25</v>
      </c>
      <c r="I25">
        <v>0</v>
      </c>
      <c r="J25"/>
      <c r="K25"/>
      <c r="L25"/>
      <c r="M25"/>
    </row>
    <row r="26" spans="1:13" ht="15" customHeight="1" x14ac:dyDescent="0.4">
      <c r="A26" s="409">
        <v>25</v>
      </c>
      <c r="B26" s="409" t="s">
        <v>265</v>
      </c>
      <c r="C26" s="265">
        <v>4.2847685813903809</v>
      </c>
      <c r="D26" s="266">
        <v>0.22203840315341949</v>
      </c>
      <c r="E26" s="266">
        <v>1.7999999523162842</v>
      </c>
      <c r="F26" s="264">
        <v>7.1999998092651367</v>
      </c>
      <c r="G26" s="264">
        <v>0.93300312757492065</v>
      </c>
      <c r="H26" s="266">
        <v>0.25</v>
      </c>
      <c r="I26">
        <v>0</v>
      </c>
      <c r="J26"/>
      <c r="K26"/>
      <c r="L26"/>
      <c r="M26"/>
    </row>
    <row r="27" spans="1:13" ht="15" customHeight="1" x14ac:dyDescent="0.4">
      <c r="A27" s="410">
        <v>26</v>
      </c>
      <c r="B27" s="410" t="s">
        <v>274</v>
      </c>
      <c r="C27" s="265">
        <v>4.2049016952514648</v>
      </c>
      <c r="D27" s="266">
        <v>0.10993694514036179</v>
      </c>
      <c r="E27" s="266">
        <v>1.1333333253860474</v>
      </c>
      <c r="F27" s="264">
        <v>4.5333333015441895</v>
      </c>
      <c r="G27" s="264">
        <v>0.88094943761825562</v>
      </c>
      <c r="H27" s="266">
        <v>0.25</v>
      </c>
      <c r="I27">
        <v>0</v>
      </c>
      <c r="J27"/>
      <c r="K27"/>
      <c r="L27"/>
      <c r="M27"/>
    </row>
    <row r="28" spans="1:13" ht="15" customHeight="1" x14ac:dyDescent="0.4">
      <c r="A28" s="411">
        <v>27</v>
      </c>
      <c r="B28" s="411" t="s">
        <v>275</v>
      </c>
      <c r="C28" s="265">
        <v>4.2355303764343262</v>
      </c>
      <c r="D28" s="266">
        <v>7.9832993447780609E-2</v>
      </c>
      <c r="E28" s="266">
        <v>1.1333333253860474</v>
      </c>
      <c r="F28" s="264">
        <v>4.5333333015441895</v>
      </c>
      <c r="G28" s="264">
        <v>0.8339771032333374</v>
      </c>
      <c r="H28" s="266">
        <v>0.25</v>
      </c>
      <c r="I28">
        <v>0</v>
      </c>
      <c r="J28"/>
      <c r="K28"/>
      <c r="L28"/>
      <c r="M28"/>
    </row>
    <row r="29" spans="1:13" ht="15" customHeight="1" x14ac:dyDescent="0.4">
      <c r="A29" s="412">
        <v>28</v>
      </c>
      <c r="B29" s="412" t="s">
        <v>276</v>
      </c>
      <c r="C29" s="265">
        <v>3.9366269111633301</v>
      </c>
      <c r="D29" s="266">
        <v>1.5118230134248734E-2</v>
      </c>
      <c r="E29" s="266">
        <v>1.7999999523162842</v>
      </c>
      <c r="F29" s="264">
        <v>7.1999998092651367</v>
      </c>
      <c r="G29" s="264">
        <v>0.84051483869552612</v>
      </c>
      <c r="H29" s="266">
        <v>0.25</v>
      </c>
      <c r="I29">
        <v>0</v>
      </c>
      <c r="J29"/>
      <c r="K29"/>
      <c r="L29"/>
      <c r="M29"/>
    </row>
    <row r="30" spans="1:13" ht="15" customHeight="1" x14ac:dyDescent="0.4">
      <c r="A30" s="413">
        <v>29</v>
      </c>
      <c r="B30" s="413" t="s">
        <v>277</v>
      </c>
      <c r="C30" s="265">
        <v>4.1896395683288574</v>
      </c>
      <c r="D30" s="266">
        <v>9.4461217522621155E-2</v>
      </c>
      <c r="E30" s="266">
        <v>1.7999999523162842</v>
      </c>
      <c r="F30" s="264">
        <v>7.1999998092651367</v>
      </c>
      <c r="G30" s="264">
        <v>0.81952875852584839</v>
      </c>
      <c r="H30" s="266">
        <v>0.25</v>
      </c>
      <c r="I30">
        <v>0</v>
      </c>
      <c r="J30"/>
      <c r="K30"/>
      <c r="L30"/>
      <c r="M30"/>
    </row>
    <row r="31" spans="1:13" ht="15" customHeight="1" x14ac:dyDescent="0.4">
      <c r="A31" s="414">
        <v>30</v>
      </c>
      <c r="B31" s="414" t="s">
        <v>278</v>
      </c>
      <c r="C31" s="265">
        <v>4.3119606971740723</v>
      </c>
      <c r="D31" s="266">
        <v>1.3954660855233669E-2</v>
      </c>
      <c r="E31" s="266">
        <v>1.1333333253860474</v>
      </c>
      <c r="F31" s="264">
        <v>4.5333333015441895</v>
      </c>
      <c r="G31" s="264">
        <v>0.95574182271957397</v>
      </c>
      <c r="H31" s="266">
        <v>0.25</v>
      </c>
      <c r="I31">
        <v>0</v>
      </c>
      <c r="J31"/>
      <c r="K31"/>
      <c r="L31"/>
      <c r="M31"/>
    </row>
    <row r="32" spans="1:13" ht="15" customHeight="1" x14ac:dyDescent="0.4">
      <c r="A32" s="415">
        <v>31</v>
      </c>
      <c r="B32" s="415" t="s">
        <v>279</v>
      </c>
      <c r="C32" s="265">
        <v>4.0696344375610352</v>
      </c>
      <c r="D32" s="266">
        <v>5.7174202054738998E-2</v>
      </c>
      <c r="E32" s="266">
        <v>1.7999999523162842</v>
      </c>
      <c r="F32" s="264">
        <v>7.1999998092651367</v>
      </c>
      <c r="G32" s="264">
        <v>0.96118903160095215</v>
      </c>
      <c r="H32" s="266">
        <v>0.25</v>
      </c>
      <c r="I32">
        <v>0</v>
      </c>
      <c r="J32"/>
      <c r="K32"/>
      <c r="L32"/>
      <c r="M32"/>
    </row>
    <row r="33" spans="1:13" ht="15" customHeight="1" x14ac:dyDescent="0.4">
      <c r="A33" s="416">
        <v>32</v>
      </c>
      <c r="B33" s="416" t="s">
        <v>200</v>
      </c>
      <c r="C33" s="265">
        <v>3.4055972099304199</v>
      </c>
      <c r="D33" s="266">
        <v>2.8441600501537323E-2</v>
      </c>
      <c r="E33" s="266">
        <v>1.7999999523162842</v>
      </c>
      <c r="F33" s="264">
        <v>7.1999998092651367</v>
      </c>
      <c r="G33" s="264">
        <v>0.85460788011550903</v>
      </c>
      <c r="H33" s="266">
        <v>0.25</v>
      </c>
      <c r="I33">
        <v>0</v>
      </c>
      <c r="J33"/>
      <c r="K33"/>
      <c r="L33"/>
      <c r="M33"/>
    </row>
    <row r="34" spans="1:13" ht="15" customHeight="1" x14ac:dyDescent="0.4">
      <c r="A34" s="417">
        <v>33</v>
      </c>
      <c r="B34" s="417" t="s">
        <v>201</v>
      </c>
      <c r="C34" s="265">
        <v>3.3607418537139893</v>
      </c>
      <c r="D34" s="264">
        <v>1.2454069852828979</v>
      </c>
      <c r="E34" s="266">
        <v>1.75</v>
      </c>
      <c r="F34" s="264">
        <v>7</v>
      </c>
      <c r="G34" s="266">
        <v>0.85000008344650269</v>
      </c>
      <c r="H34" s="266">
        <v>0.25</v>
      </c>
      <c r="I34">
        <v>0</v>
      </c>
      <c r="J34"/>
      <c r="K34"/>
      <c r="L34"/>
      <c r="M34"/>
    </row>
    <row r="35" spans="1:13" ht="15" customHeight="1" x14ac:dyDescent="0.4">
      <c r="A35" s="418">
        <v>34</v>
      </c>
      <c r="B35" s="418" t="s">
        <v>202</v>
      </c>
      <c r="C35" s="265">
        <v>3.7615573406219482</v>
      </c>
      <c r="D35" s="266">
        <v>6.420203685760498</v>
      </c>
      <c r="E35" s="266">
        <v>0.125</v>
      </c>
      <c r="F35" s="264">
        <v>1.25</v>
      </c>
      <c r="G35" s="264">
        <v>0.95154732465744019</v>
      </c>
      <c r="H35" s="266">
        <v>0.10000000149011612</v>
      </c>
      <c r="I35">
        <v>1.2346772477030754E-2</v>
      </c>
      <c r="J35"/>
      <c r="K35"/>
      <c r="L35"/>
      <c r="M35"/>
    </row>
    <row r="36" spans="1:13" ht="15" customHeight="1" x14ac:dyDescent="0.4">
      <c r="A36" s="419">
        <v>35</v>
      </c>
      <c r="B36" s="419" t="s">
        <v>203</v>
      </c>
      <c r="C36" s="265">
        <v>4.1720356941223145</v>
      </c>
      <c r="D36" s="266">
        <v>0.23044125735759735</v>
      </c>
      <c r="E36" s="266">
        <v>1.7999999523162842</v>
      </c>
      <c r="F36" s="264">
        <v>10.588234901428223</v>
      </c>
      <c r="G36" s="264">
        <v>0.73949122428894043</v>
      </c>
      <c r="H36" s="266">
        <v>0.17000000178813934</v>
      </c>
      <c r="I36">
        <v>1.7274264246225357E-2</v>
      </c>
      <c r="J36"/>
      <c r="K36"/>
      <c r="L36"/>
      <c r="M36"/>
    </row>
    <row r="37" spans="1:13" ht="15" customHeight="1" x14ac:dyDescent="0.4">
      <c r="A37" s="420">
        <v>36</v>
      </c>
      <c r="B37" s="420" t="s">
        <v>204</v>
      </c>
      <c r="C37" s="265">
        <v>4.0703444480895996</v>
      </c>
      <c r="D37" s="266">
        <v>0.11165769398212433</v>
      </c>
      <c r="E37" s="266">
        <v>0.75</v>
      </c>
      <c r="F37" s="264">
        <v>4.4117646217346191</v>
      </c>
      <c r="G37" s="264">
        <v>0.8916822075843811</v>
      </c>
      <c r="H37" s="266">
        <v>0.17000000178813934</v>
      </c>
      <c r="I37">
        <v>1.0980655439198017E-2</v>
      </c>
      <c r="J37"/>
      <c r="K37"/>
      <c r="L37"/>
      <c r="M37"/>
    </row>
    <row r="38" spans="1:13" ht="15" customHeight="1" x14ac:dyDescent="0.4">
      <c r="A38" s="421">
        <v>37</v>
      </c>
      <c r="B38" s="421" t="s">
        <v>205</v>
      </c>
      <c r="C38" s="265">
        <v>3.9807238578796387</v>
      </c>
      <c r="D38" s="266">
        <v>1.8515327945351601E-2</v>
      </c>
      <c r="E38" s="266">
        <v>1.8999999761581421</v>
      </c>
      <c r="F38" s="264">
        <v>11.176470756530762</v>
      </c>
      <c r="G38" s="264">
        <v>0.75630956888198853</v>
      </c>
      <c r="H38" s="266">
        <v>0.17000000178813934</v>
      </c>
      <c r="I38">
        <v>8.6032292756499373E-7</v>
      </c>
      <c r="J38"/>
      <c r="K38"/>
      <c r="L38"/>
      <c r="M38"/>
    </row>
    <row r="39" spans="1:13" ht="15" customHeight="1" x14ac:dyDescent="0.4">
      <c r="A39" s="422">
        <v>38</v>
      </c>
      <c r="B39" s="422" t="s">
        <v>206</v>
      </c>
      <c r="C39" s="265">
        <v>4.7275261878967285</v>
      </c>
      <c r="D39" s="266">
        <v>1.69709213078022E-2</v>
      </c>
      <c r="E39" s="266">
        <v>0.20000000298023224</v>
      </c>
      <c r="F39" s="264">
        <v>3.3333334922790527</v>
      </c>
      <c r="G39" s="264">
        <v>0.78763967752456665</v>
      </c>
      <c r="H39" s="266">
        <v>5.9999998658895493E-2</v>
      </c>
      <c r="I39">
        <v>1.3976733898743987E-3</v>
      </c>
      <c r="J39"/>
      <c r="K39"/>
      <c r="L39"/>
      <c r="M39"/>
    </row>
    <row r="40" spans="1:13" ht="15" customHeight="1" x14ac:dyDescent="0.4">
      <c r="A40" s="423">
        <v>39</v>
      </c>
      <c r="B40" s="423" t="s">
        <v>207</v>
      </c>
      <c r="C40" s="265">
        <v>3.6375555992126465</v>
      </c>
      <c r="D40" s="266">
        <v>21.394857406616211</v>
      </c>
      <c r="E40" s="266">
        <v>0.23000000417232513</v>
      </c>
      <c r="F40" s="264">
        <v>2.2999999523162842</v>
      </c>
      <c r="G40" s="264">
        <v>0.10282497107982635</v>
      </c>
      <c r="H40" s="266">
        <v>0.10000000149011612</v>
      </c>
      <c r="I40">
        <v>3.0513459350913763E-3</v>
      </c>
      <c r="J40"/>
      <c r="K40"/>
      <c r="L40"/>
      <c r="M40"/>
    </row>
    <row r="41" spans="1:13" ht="15" customHeight="1" x14ac:dyDescent="0.4">
      <c r="A41" s="424">
        <v>40</v>
      </c>
      <c r="B41" s="424" t="s">
        <v>208</v>
      </c>
      <c r="C41" s="265">
        <v>3.4880809783935547</v>
      </c>
      <c r="D41" s="266">
        <v>0.85714417695999146</v>
      </c>
      <c r="E41" s="266">
        <v>0.75999999046325684</v>
      </c>
      <c r="F41" s="264">
        <v>7.5999999046325684</v>
      </c>
      <c r="G41" s="264">
        <v>0.84773361682891846</v>
      </c>
      <c r="H41" s="266">
        <v>0.10000000149011612</v>
      </c>
      <c r="I41">
        <v>3.7128543481230736E-3</v>
      </c>
      <c r="J41"/>
      <c r="K41"/>
      <c r="L41"/>
      <c r="M41"/>
    </row>
    <row r="42" spans="1:13" ht="15" customHeight="1" x14ac:dyDescent="0.4">
      <c r="A42" s="425">
        <v>41</v>
      </c>
      <c r="B42" s="425" t="s">
        <v>209</v>
      </c>
      <c r="C42" s="265">
        <v>3.8817985057830811</v>
      </c>
      <c r="D42" s="266">
        <v>3.0720076560974121</v>
      </c>
      <c r="E42" s="266">
        <v>0.17190000414848328</v>
      </c>
      <c r="F42" s="264">
        <v>1.718999981880188</v>
      </c>
      <c r="G42" s="264">
        <v>0.97962617874145508</v>
      </c>
      <c r="H42" s="266">
        <v>0.10000000149011612</v>
      </c>
      <c r="I42">
        <v>4.1199881583452225E-2</v>
      </c>
      <c r="J42"/>
      <c r="K42"/>
      <c r="L42"/>
      <c r="M42"/>
    </row>
    <row r="43" spans="1:13" ht="15" customHeight="1" x14ac:dyDescent="0.4">
      <c r="A43" s="426">
        <v>42</v>
      </c>
      <c r="B43" s="426" t="s">
        <v>210</v>
      </c>
      <c r="C43" s="265">
        <v>4.2050690650939941</v>
      </c>
      <c r="D43" s="266">
        <v>3.4748528003692627</v>
      </c>
      <c r="E43" s="266">
        <v>0.20000000298023224</v>
      </c>
      <c r="F43" s="266">
        <v>2.5</v>
      </c>
      <c r="G43" s="264">
        <v>0.27247947454452515</v>
      </c>
      <c r="H43" s="264">
        <v>7.9999998211860657E-2</v>
      </c>
      <c r="I43">
        <v>3.8030583411455154E-2</v>
      </c>
      <c r="J43"/>
      <c r="K43"/>
      <c r="L43"/>
      <c r="M43"/>
    </row>
    <row r="44" spans="1:13" ht="15" customHeight="1" x14ac:dyDescent="0.4">
      <c r="A44" s="427">
        <v>43</v>
      </c>
      <c r="B44" s="427" t="s">
        <v>211</v>
      </c>
      <c r="C44" s="265">
        <v>3.6542859077453613</v>
      </c>
      <c r="D44" s="266">
        <v>18.499719619750977</v>
      </c>
      <c r="E44" s="266">
        <v>0.35400000214576721</v>
      </c>
      <c r="F44" s="264">
        <v>3.5399999618530273</v>
      </c>
      <c r="G44" s="264">
        <v>0.98725241422653198</v>
      </c>
      <c r="H44" s="266">
        <v>0.10000000149011612</v>
      </c>
      <c r="I44">
        <v>3.2966165542602539</v>
      </c>
      <c r="J44"/>
      <c r="K44"/>
      <c r="L44"/>
      <c r="M44"/>
    </row>
    <row r="45" spans="1:13" ht="15" customHeight="1" x14ac:dyDescent="0.4">
      <c r="A45" s="428">
        <v>44</v>
      </c>
      <c r="B45" s="428" t="s">
        <v>212</v>
      </c>
      <c r="C45" s="265">
        <v>4.2921838760375977</v>
      </c>
      <c r="D45" s="266">
        <v>0.20000000298023224</v>
      </c>
      <c r="E45" s="266">
        <v>0.30000001192092896</v>
      </c>
      <c r="F45" s="264">
        <v>3</v>
      </c>
      <c r="G45" s="264">
        <v>0.89283567667007446</v>
      </c>
      <c r="H45" s="266">
        <v>0.10000000149011612</v>
      </c>
      <c r="I45">
        <v>4.7195848077535629E-2</v>
      </c>
      <c r="J45"/>
      <c r="K45"/>
      <c r="L45"/>
      <c r="M45"/>
    </row>
    <row r="46" spans="1:13" ht="15" customHeight="1" x14ac:dyDescent="0.4">
      <c r="A46" s="429">
        <v>45</v>
      </c>
      <c r="B46" s="429" t="s">
        <v>213</v>
      </c>
      <c r="C46" s="265">
        <v>4.1647052764892578</v>
      </c>
      <c r="D46" s="266">
        <v>1.7874504327774048</v>
      </c>
      <c r="E46" s="266">
        <v>0.23000000417232513</v>
      </c>
      <c r="F46" s="264">
        <v>2.2999999523162842</v>
      </c>
      <c r="G46" s="264">
        <v>0.95216017961502075</v>
      </c>
      <c r="H46" s="266">
        <v>0.10000000149011612</v>
      </c>
      <c r="I46">
        <v>8.3893008530139923E-2</v>
      </c>
      <c r="J46"/>
      <c r="K46"/>
      <c r="L46"/>
      <c r="M46"/>
    </row>
    <row r="47" spans="1:13" ht="15" customHeight="1" x14ac:dyDescent="0.4">
      <c r="A47" s="430">
        <v>46</v>
      </c>
      <c r="B47" s="430" t="s">
        <v>214</v>
      </c>
      <c r="C47" s="265">
        <v>4.4308419227600098</v>
      </c>
      <c r="D47" s="266">
        <v>0.72175580263137817</v>
      </c>
      <c r="E47" s="266">
        <v>0.30000001192092896</v>
      </c>
      <c r="F47" s="264">
        <v>3</v>
      </c>
      <c r="G47" s="264">
        <v>0.90469849109649658</v>
      </c>
      <c r="H47" s="266">
        <v>0.10000000149011612</v>
      </c>
      <c r="I47">
        <v>1.6339240595698357E-2</v>
      </c>
      <c r="J47"/>
      <c r="K47"/>
      <c r="L47"/>
      <c r="M47"/>
    </row>
    <row r="48" spans="1:13" ht="15" customHeight="1" x14ac:dyDescent="0.4">
      <c r="A48" s="431">
        <v>47</v>
      </c>
      <c r="B48" s="431" t="s">
        <v>215</v>
      </c>
      <c r="C48" s="265">
        <v>4.2921018600463867</v>
      </c>
      <c r="D48" s="266">
        <v>3.7973237037658691</v>
      </c>
      <c r="E48" s="266">
        <v>0.27500000596046448</v>
      </c>
      <c r="F48" s="264">
        <v>1.375</v>
      </c>
      <c r="G48" s="264">
        <v>0.81707960367202759</v>
      </c>
      <c r="H48" s="266">
        <v>0.20000000298023224</v>
      </c>
      <c r="I48">
        <v>0.12412067502737045</v>
      </c>
      <c r="J48"/>
      <c r="K48"/>
      <c r="L48"/>
      <c r="M48"/>
    </row>
    <row r="49" spans="1:13" ht="15" customHeight="1" x14ac:dyDescent="0.4">
      <c r="A49" s="432">
        <v>48</v>
      </c>
      <c r="B49" s="432" t="s">
        <v>216</v>
      </c>
      <c r="C49" s="265">
        <v>3.7091312408447266</v>
      </c>
      <c r="D49" s="266">
        <v>2.768843412399292</v>
      </c>
      <c r="E49" s="266">
        <v>0.23000000417232513</v>
      </c>
      <c r="F49" s="264">
        <v>2.2999999523162842</v>
      </c>
      <c r="G49" s="264">
        <v>0.26617366075515747</v>
      </c>
      <c r="H49" s="266">
        <v>0.10000000149011612</v>
      </c>
      <c r="I49">
        <v>3.1275689601898193E-2</v>
      </c>
      <c r="J49"/>
      <c r="K49"/>
      <c r="L49"/>
      <c r="M49"/>
    </row>
    <row r="50" spans="1:13" ht="15" customHeight="1" x14ac:dyDescent="0.4">
      <c r="A50" s="433">
        <v>49</v>
      </c>
      <c r="B50" s="433" t="s">
        <v>217</v>
      </c>
      <c r="C50" s="265">
        <v>3.3294219970703125</v>
      </c>
      <c r="D50" s="264">
        <v>8.8998346328735352</v>
      </c>
      <c r="E50" s="266">
        <v>0.40000000596046448</v>
      </c>
      <c r="F50" s="264">
        <v>4</v>
      </c>
      <c r="G50" s="266">
        <v>0.89999997615814209</v>
      </c>
      <c r="H50" s="266">
        <v>0.10000000149011612</v>
      </c>
      <c r="I50">
        <v>9.3382112681865692E-3</v>
      </c>
      <c r="J50"/>
      <c r="K50"/>
      <c r="L50"/>
      <c r="M50"/>
    </row>
    <row r="51" spans="1:13" ht="15" customHeight="1" x14ac:dyDescent="0.4">
      <c r="A51" s="434">
        <v>50</v>
      </c>
      <c r="B51" s="434" t="s">
        <v>218</v>
      </c>
      <c r="C51" s="265">
        <v>3.6667716503143311</v>
      </c>
      <c r="D51" s="266">
        <v>7.9867925643920898</v>
      </c>
      <c r="E51" s="266">
        <v>7.0000000298023224E-2</v>
      </c>
      <c r="F51" s="264">
        <v>0.69999998807907104</v>
      </c>
      <c r="G51" s="264">
        <v>0.81056350469589233</v>
      </c>
      <c r="H51" s="266">
        <v>0.10000000149011612</v>
      </c>
      <c r="I51">
        <v>2.2951334714889526E-2</v>
      </c>
      <c r="J51"/>
      <c r="K51"/>
      <c r="L51"/>
      <c r="M51"/>
    </row>
    <row r="52" spans="1:13" ht="15" customHeight="1" x14ac:dyDescent="0.4">
      <c r="A52" s="435">
        <v>51</v>
      </c>
      <c r="B52" s="435" t="s">
        <v>219</v>
      </c>
      <c r="C52" s="265">
        <v>3.4765892028808594</v>
      </c>
      <c r="D52" s="266">
        <v>0.11984388530254364</v>
      </c>
      <c r="E52" s="266">
        <v>0.34999999403953552</v>
      </c>
      <c r="F52" s="264">
        <v>3.5</v>
      </c>
      <c r="G52" s="264">
        <v>0.83793604373931885</v>
      </c>
      <c r="H52" s="266">
        <v>0.10000000149011612</v>
      </c>
      <c r="I52">
        <v>5.224151536822319E-3</v>
      </c>
      <c r="J52"/>
      <c r="K52"/>
      <c r="L52"/>
      <c r="M52"/>
    </row>
    <row r="53" spans="1:13" ht="15" customHeight="1" x14ac:dyDescent="0.4">
      <c r="A53" s="436">
        <v>52</v>
      </c>
      <c r="B53" s="436" t="s">
        <v>220</v>
      </c>
      <c r="C53" s="265">
        <v>3.1636505126953125</v>
      </c>
      <c r="D53" s="266">
        <v>11.878071784973145</v>
      </c>
      <c r="E53" s="266">
        <v>0.30000001192092896</v>
      </c>
      <c r="F53" s="264">
        <v>3</v>
      </c>
      <c r="G53" s="264">
        <v>0.68448138236999512</v>
      </c>
      <c r="H53" s="266">
        <v>0.10000000149011612</v>
      </c>
      <c r="I53">
        <v>7.2049751877784729E-2</v>
      </c>
      <c r="J53"/>
      <c r="K53"/>
      <c r="L53"/>
      <c r="M53"/>
    </row>
    <row r="54" spans="1:13" ht="15" customHeight="1" x14ac:dyDescent="0.4">
      <c r="A54" s="437">
        <v>53</v>
      </c>
      <c r="B54" s="437" t="s">
        <v>221</v>
      </c>
      <c r="C54" s="265">
        <v>3.4494802951812744</v>
      </c>
      <c r="D54" s="266">
        <v>7.9680633544921875</v>
      </c>
      <c r="E54" s="266">
        <v>0.37999999523162842</v>
      </c>
      <c r="F54" s="264">
        <v>1.8999999761581421</v>
      </c>
      <c r="G54" s="264">
        <v>0.91919976472854614</v>
      </c>
      <c r="H54" s="266">
        <v>0.20000000298023224</v>
      </c>
      <c r="I54">
        <v>1.2862459756433964E-2</v>
      </c>
      <c r="J54"/>
      <c r="K54"/>
      <c r="L54"/>
      <c r="M54"/>
    </row>
    <row r="55" spans="1:13" ht="15" customHeight="1" x14ac:dyDescent="0.4">
      <c r="A55" s="438">
        <v>54</v>
      </c>
      <c r="B55" s="438" t="s">
        <v>222</v>
      </c>
      <c r="C55" s="265">
        <v>3.6202778816223145</v>
      </c>
      <c r="D55" s="266">
        <v>1.2064764499664307</v>
      </c>
      <c r="E55" s="266">
        <v>0.20000000298023224</v>
      </c>
      <c r="F55" s="266">
        <v>1</v>
      </c>
      <c r="G55" s="264">
        <v>6.6360928118228912E-2</v>
      </c>
      <c r="H55" s="264">
        <v>0.20000000298023224</v>
      </c>
      <c r="I55">
        <v>4.6631875447928905E-3</v>
      </c>
      <c r="J55"/>
      <c r="K55"/>
      <c r="L55"/>
      <c r="M55"/>
    </row>
    <row r="56" spans="1:13" ht="15" customHeight="1" x14ac:dyDescent="0.4">
      <c r="A56" s="439">
        <v>55</v>
      </c>
      <c r="B56" s="439" t="s">
        <v>223</v>
      </c>
      <c r="C56" s="265">
        <v>3.5118772983551025</v>
      </c>
      <c r="D56" s="266">
        <v>1.2024366855621338</v>
      </c>
      <c r="E56" s="266">
        <v>2.7000000476837158</v>
      </c>
      <c r="F56" s="264">
        <v>10.800000190734863</v>
      </c>
      <c r="G56" s="264">
        <v>0.94468808174133301</v>
      </c>
      <c r="H56" s="266">
        <v>0.25</v>
      </c>
      <c r="I56">
        <v>0</v>
      </c>
      <c r="J56"/>
      <c r="K56"/>
      <c r="L56"/>
      <c r="M56"/>
    </row>
    <row r="57" spans="1:13" ht="15" customHeight="1" x14ac:dyDescent="0.4">
      <c r="A57" s="440">
        <v>56</v>
      </c>
      <c r="B57" s="440" t="s">
        <v>224</v>
      </c>
      <c r="C57" s="265">
        <v>3.2620265483856201</v>
      </c>
      <c r="D57" s="266">
        <v>5.9908995628356934</v>
      </c>
      <c r="E57" s="266">
        <v>2.7000000476837158</v>
      </c>
      <c r="F57" s="264">
        <v>10.800000190734863</v>
      </c>
      <c r="G57" s="264">
        <v>0.73217087984085083</v>
      </c>
      <c r="H57" s="266">
        <v>0.25</v>
      </c>
      <c r="I57">
        <v>0</v>
      </c>
      <c r="J57"/>
      <c r="K57"/>
      <c r="L57"/>
      <c r="M57"/>
    </row>
    <row r="58" spans="1:13" ht="15" customHeight="1" x14ac:dyDescent="0.4">
      <c r="A58" s="441">
        <v>57</v>
      </c>
      <c r="B58" s="441" t="s">
        <v>225</v>
      </c>
      <c r="C58" s="265">
        <v>3.4428980350494385</v>
      </c>
      <c r="D58" s="264">
        <v>0.53490245342254639</v>
      </c>
      <c r="E58" s="266">
        <v>2.7000000476837158</v>
      </c>
      <c r="F58" s="264">
        <v>10.800000190734863</v>
      </c>
      <c r="G58" s="266">
        <v>0.85000002384185791</v>
      </c>
      <c r="H58" s="266">
        <v>0.25</v>
      </c>
      <c r="I58">
        <v>0</v>
      </c>
      <c r="J58"/>
      <c r="K58"/>
      <c r="L58"/>
      <c r="M58"/>
    </row>
    <row r="59" spans="1:13" ht="15" customHeight="1" x14ac:dyDescent="0.4">
      <c r="A59" s="442">
        <v>58</v>
      </c>
      <c r="B59" s="442" t="s">
        <v>226</v>
      </c>
      <c r="C59" s="265">
        <v>2</v>
      </c>
      <c r="D59" s="266">
        <v>80</v>
      </c>
      <c r="E59" s="266">
        <v>4.5</v>
      </c>
      <c r="F59" s="264">
        <v>18</v>
      </c>
      <c r="G59" s="264">
        <v>0.9731210470199585</v>
      </c>
      <c r="H59" s="266">
        <v>0.25</v>
      </c>
      <c r="I59">
        <v>0</v>
      </c>
      <c r="J59"/>
      <c r="K59"/>
      <c r="L59"/>
      <c r="M59"/>
    </row>
    <row r="60" spans="1:13" ht="15" customHeight="1" x14ac:dyDescent="0.4">
      <c r="A60" s="443">
        <v>59</v>
      </c>
      <c r="B60" s="443" t="s">
        <v>227</v>
      </c>
      <c r="C60" s="265">
        <v>2.9061501026153564</v>
      </c>
      <c r="D60" s="266">
        <v>14.257170677185059</v>
      </c>
      <c r="E60" s="266">
        <v>3</v>
      </c>
      <c r="F60" s="264">
        <v>12</v>
      </c>
      <c r="G60" s="264">
        <v>0.90269315242767334</v>
      </c>
      <c r="H60" s="266">
        <v>0.25</v>
      </c>
      <c r="I60">
        <v>0.41273453831672668</v>
      </c>
      <c r="J60"/>
      <c r="K60"/>
      <c r="L60"/>
      <c r="M60"/>
    </row>
    <row r="61" spans="1:13" ht="15" customHeight="1" x14ac:dyDescent="0.4">
      <c r="A61" s="444">
        <v>60</v>
      </c>
      <c r="B61" s="444" t="s">
        <v>228</v>
      </c>
      <c r="C61" s="265">
        <v>2.8091485500335693</v>
      </c>
      <c r="D61" s="264">
        <v>12.949522972106934</v>
      </c>
      <c r="E61" s="266">
        <v>4.1999998092651367</v>
      </c>
      <c r="F61" s="264">
        <v>16.799999237060547</v>
      </c>
      <c r="G61" s="266">
        <v>0.85000002384185791</v>
      </c>
      <c r="H61" s="266">
        <v>0.25</v>
      </c>
      <c r="I61">
        <v>8.4302602335810661E-3</v>
      </c>
      <c r="J61"/>
      <c r="K61"/>
      <c r="L61"/>
      <c r="M61"/>
    </row>
    <row r="62" spans="1:13" ht="15" customHeight="1" x14ac:dyDescent="0.4">
      <c r="A62" s="445">
        <v>61</v>
      </c>
      <c r="B62" s="445" t="s">
        <v>229</v>
      </c>
      <c r="C62" s="265">
        <v>2.8268458843231201</v>
      </c>
      <c r="D62" s="264">
        <v>2.6372499465942383</v>
      </c>
      <c r="E62" s="266">
        <v>22</v>
      </c>
      <c r="F62" s="264">
        <v>110</v>
      </c>
      <c r="G62" s="266">
        <v>0.85000002384185791</v>
      </c>
      <c r="H62" s="266">
        <v>0.20000000298023224</v>
      </c>
      <c r="I62">
        <v>0</v>
      </c>
      <c r="J62"/>
      <c r="K62"/>
      <c r="L62"/>
      <c r="M62"/>
    </row>
    <row r="63" spans="1:13" ht="15" customHeight="1" x14ac:dyDescent="0.4">
      <c r="A63" s="446">
        <v>62</v>
      </c>
      <c r="B63" s="446" t="s">
        <v>230</v>
      </c>
      <c r="C63" s="265">
        <v>2.065800666809082</v>
      </c>
      <c r="D63" s="264">
        <v>21.361425399780273</v>
      </c>
      <c r="E63" s="266">
        <v>1.2100000381469727</v>
      </c>
      <c r="F63" s="264">
        <v>6.0500001907348633</v>
      </c>
      <c r="G63" s="266">
        <v>0.85000014305114746</v>
      </c>
      <c r="H63" s="266">
        <v>0.20000000298023224</v>
      </c>
      <c r="I63">
        <v>1.5387332066893578E-2</v>
      </c>
      <c r="J63"/>
      <c r="K63"/>
      <c r="L63"/>
      <c r="M63"/>
    </row>
    <row r="64" spans="1:13" ht="15" customHeight="1" x14ac:dyDescent="0.4">
      <c r="A64" s="447">
        <v>63</v>
      </c>
      <c r="B64" s="447" t="s">
        <v>231</v>
      </c>
      <c r="C64" s="265">
        <v>2.0528087615966797</v>
      </c>
      <c r="D64" s="264">
        <v>7.158144474029541</v>
      </c>
      <c r="E64" s="266">
        <v>21.5</v>
      </c>
      <c r="F64" s="264">
        <v>107.5</v>
      </c>
      <c r="G64" s="266">
        <v>0.85000014305114746</v>
      </c>
      <c r="H64" s="266">
        <v>0.20000000298023224</v>
      </c>
      <c r="I64">
        <v>0</v>
      </c>
      <c r="J64"/>
      <c r="K64"/>
      <c r="L64"/>
      <c r="M64"/>
    </row>
    <row r="65" spans="1:13" ht="15" customHeight="1" x14ac:dyDescent="0.4">
      <c r="A65" s="448">
        <v>64</v>
      </c>
      <c r="B65" s="448" t="s">
        <v>232</v>
      </c>
      <c r="C65" s="265">
        <v>2.0299999713897705</v>
      </c>
      <c r="D65" s="264">
        <v>64.449676513671875</v>
      </c>
      <c r="E65" s="266">
        <v>1.2999999523162842</v>
      </c>
      <c r="F65" s="264">
        <v>6.4999995231628418</v>
      </c>
      <c r="G65" s="266">
        <v>0.85000020265579224</v>
      </c>
      <c r="H65" s="266">
        <v>0.20000000298023224</v>
      </c>
      <c r="I65">
        <v>4.2138122022151947E-2</v>
      </c>
      <c r="J65"/>
      <c r="K65"/>
      <c r="L65"/>
      <c r="M65"/>
    </row>
    <row r="66" spans="1:13" ht="15" customHeight="1" x14ac:dyDescent="0.4">
      <c r="A66" s="449">
        <v>65</v>
      </c>
      <c r="B66" s="449" t="s">
        <v>233</v>
      </c>
      <c r="C66" s="265">
        <v>2.1380918025970459</v>
      </c>
      <c r="D66" s="264">
        <v>3.8275060653686523</v>
      </c>
      <c r="E66" s="266">
        <v>7.4000000953674316</v>
      </c>
      <c r="F66" s="264">
        <v>37</v>
      </c>
      <c r="G66" s="266">
        <v>0.85000008344650269</v>
      </c>
      <c r="H66" s="266">
        <v>0.20000000298023224</v>
      </c>
      <c r="I66">
        <v>1.9999999494757503E-5</v>
      </c>
      <c r="J66"/>
      <c r="K66"/>
      <c r="L66"/>
      <c r="M66"/>
    </row>
    <row r="67" spans="1:13" ht="15" customHeight="1" x14ac:dyDescent="0.4">
      <c r="A67" s="450">
        <v>66</v>
      </c>
      <c r="B67" s="450" t="s">
        <v>234</v>
      </c>
      <c r="C67" s="265">
        <v>3.2672910690307617</v>
      </c>
      <c r="D67" s="266">
        <v>5.1094446182250977</v>
      </c>
      <c r="E67" s="266">
        <v>1.5</v>
      </c>
      <c r="F67" s="264">
        <v>6</v>
      </c>
      <c r="G67" s="264">
        <v>0.95223236083984375</v>
      </c>
      <c r="H67" s="266">
        <v>0.25</v>
      </c>
      <c r="I67">
        <v>8.1438116729259491E-2</v>
      </c>
      <c r="J67"/>
      <c r="K67"/>
      <c r="L67"/>
      <c r="M67"/>
    </row>
    <row r="68" spans="1:13" ht="15" customHeight="1" x14ac:dyDescent="0.4">
      <c r="A68" s="451">
        <v>67</v>
      </c>
      <c r="B68" s="451" t="s">
        <v>235</v>
      </c>
      <c r="C68" s="265">
        <v>2.9922566413879395</v>
      </c>
      <c r="D68" s="266">
        <v>0.86923569440841675</v>
      </c>
      <c r="E68" s="266">
        <v>1</v>
      </c>
      <c r="F68" s="264">
        <v>4</v>
      </c>
      <c r="G68" s="264">
        <v>0.93902391195297241</v>
      </c>
      <c r="H68" s="266">
        <v>0.25</v>
      </c>
      <c r="I68">
        <v>6.7801387049257755E-3</v>
      </c>
      <c r="J68"/>
      <c r="K68"/>
      <c r="L68"/>
      <c r="M68"/>
    </row>
    <row r="69" spans="1:13" ht="15" customHeight="1" x14ac:dyDescent="0.4">
      <c r="A69" s="452">
        <v>68</v>
      </c>
      <c r="B69" s="452" t="s">
        <v>236</v>
      </c>
      <c r="C69" s="265">
        <v>2.67079758644104</v>
      </c>
      <c r="D69" s="264">
        <v>31.550384521484375</v>
      </c>
      <c r="E69" s="266">
        <v>3</v>
      </c>
      <c r="F69" s="264">
        <v>15</v>
      </c>
      <c r="G69" s="266">
        <v>0.85000002384185791</v>
      </c>
      <c r="H69" s="266">
        <v>0.20000000298023224</v>
      </c>
      <c r="I69">
        <v>4.2856760273934924E-7</v>
      </c>
      <c r="J69"/>
      <c r="K69"/>
      <c r="L69"/>
      <c r="M69"/>
    </row>
    <row r="70" spans="1:13" ht="15" customHeight="1" x14ac:dyDescent="0.4">
      <c r="A70" s="453">
        <v>69</v>
      </c>
      <c r="B70" s="453" t="s">
        <v>237</v>
      </c>
      <c r="C70" s="265">
        <v>4.3134746551513672</v>
      </c>
      <c r="D70" s="266">
        <v>1.7073199152946472E-2</v>
      </c>
      <c r="E70" s="266">
        <v>0.10000000149011612</v>
      </c>
      <c r="F70" s="266">
        <v>73</v>
      </c>
      <c r="G70" s="264">
        <v>1.375782024115324E-2</v>
      </c>
      <c r="H70" s="264">
        <v>1.3698630500584841E-3</v>
      </c>
      <c r="I70">
        <v>0</v>
      </c>
      <c r="J70"/>
      <c r="K70"/>
      <c r="L70"/>
      <c r="M70"/>
    </row>
    <row r="71" spans="1:13" ht="15" customHeight="1" x14ac:dyDescent="0.4">
      <c r="A71" s="454">
        <v>70</v>
      </c>
      <c r="B71" s="454" t="s">
        <v>238</v>
      </c>
      <c r="C71" s="265">
        <v>4.3722467422485352</v>
      </c>
      <c r="D71" s="266">
        <v>1.5114099718630314E-2</v>
      </c>
      <c r="E71" s="266">
        <v>0.16899999976158142</v>
      </c>
      <c r="F71" s="266">
        <v>72</v>
      </c>
      <c r="G71" s="264">
        <v>0.21007435023784637</v>
      </c>
      <c r="H71" s="264">
        <v>2.3472222965210676E-3</v>
      </c>
      <c r="I71">
        <v>0</v>
      </c>
      <c r="J71"/>
      <c r="K71"/>
      <c r="L71"/>
      <c r="M71"/>
    </row>
    <row r="72" spans="1:13" ht="15" customHeight="1" x14ac:dyDescent="0.4">
      <c r="A72" s="455">
        <v>71</v>
      </c>
      <c r="B72" s="455" t="s">
        <v>239</v>
      </c>
      <c r="C72" s="265">
        <v>3.7927975654602051</v>
      </c>
      <c r="D72" s="266">
        <v>9.3961402308195829E-4</v>
      </c>
      <c r="E72" s="266">
        <v>0.16599999368190765</v>
      </c>
      <c r="F72" s="266">
        <v>73</v>
      </c>
      <c r="G72" s="264">
        <v>0.77363544702529907</v>
      </c>
      <c r="H72" s="264">
        <v>2.273972611874342E-3</v>
      </c>
      <c r="I72">
        <v>0</v>
      </c>
      <c r="J72"/>
      <c r="K72"/>
      <c r="L72"/>
      <c r="M72"/>
    </row>
    <row r="73" spans="1:13" ht="15" customHeight="1" x14ac:dyDescent="0.4">
      <c r="A73" s="456">
        <v>72</v>
      </c>
      <c r="B73" s="456" t="s">
        <v>240</v>
      </c>
      <c r="C73" s="265">
        <v>3.8982090950012207</v>
      </c>
      <c r="D73" s="266">
        <v>1.2878139968961477E-3</v>
      </c>
      <c r="E73" s="266">
        <v>0.16899999976158142</v>
      </c>
      <c r="F73" s="266">
        <v>110</v>
      </c>
      <c r="G73" s="264">
        <v>8.4019050002098083E-2</v>
      </c>
      <c r="H73" s="264">
        <v>1.5363636193796992E-3</v>
      </c>
      <c r="I73">
        <v>0</v>
      </c>
      <c r="J73"/>
      <c r="K73"/>
      <c r="L73"/>
      <c r="M73"/>
    </row>
    <row r="74" spans="1:13" ht="15" customHeight="1" x14ac:dyDescent="0.4">
      <c r="A74" s="457">
        <v>73</v>
      </c>
      <c r="B74" s="457" t="s">
        <v>241</v>
      </c>
      <c r="C74" s="265">
        <v>4.0845003128051758</v>
      </c>
      <c r="D74" s="266">
        <v>1.0323240421712399E-3</v>
      </c>
      <c r="E74" s="266">
        <v>6.759999692440033E-2</v>
      </c>
      <c r="F74" s="266">
        <v>75</v>
      </c>
      <c r="G74" s="264">
        <v>0.1283210963010788</v>
      </c>
      <c r="H74" s="264">
        <v>9.0133328922092915E-4</v>
      </c>
      <c r="I74">
        <v>0</v>
      </c>
      <c r="J74"/>
      <c r="K74"/>
      <c r="L74"/>
      <c r="M74"/>
    </row>
    <row r="75" spans="1:13" ht="15" customHeight="1" x14ac:dyDescent="0.4">
      <c r="A75" s="458">
        <v>74</v>
      </c>
      <c r="B75" s="458" t="s">
        <v>242</v>
      </c>
      <c r="C75" s="265">
        <v>4.2853460311889648</v>
      </c>
      <c r="D75" s="266">
        <v>9.8267896100878716E-4</v>
      </c>
      <c r="E75" s="266">
        <v>0.10000000149011612</v>
      </c>
      <c r="F75" s="266">
        <v>73</v>
      </c>
      <c r="G75" s="264">
        <v>4.592461884021759E-2</v>
      </c>
      <c r="H75" s="264">
        <v>1.3698630500584841E-3</v>
      </c>
      <c r="I75">
        <v>0</v>
      </c>
      <c r="J75"/>
      <c r="K75"/>
      <c r="L75"/>
      <c r="M75"/>
    </row>
    <row r="76" spans="1:13" ht="15" customHeight="1" x14ac:dyDescent="0.4">
      <c r="A76" s="459">
        <v>75</v>
      </c>
      <c r="B76" s="459" t="s">
        <v>243</v>
      </c>
      <c r="C76" s="265">
        <v>4.2877755165100098</v>
      </c>
      <c r="D76" s="266">
        <v>7.3033099761232734E-4</v>
      </c>
      <c r="E76" s="266">
        <v>0.15899999439716339</v>
      </c>
      <c r="F76" s="266">
        <v>73</v>
      </c>
      <c r="G76" s="264">
        <v>0.21776707470417023</v>
      </c>
      <c r="H76" s="264">
        <v>2.1780820097774267E-3</v>
      </c>
      <c r="I76">
        <v>0</v>
      </c>
      <c r="J76"/>
      <c r="K76"/>
      <c r="L76"/>
      <c r="M76"/>
    </row>
    <row r="77" spans="1:13" ht="15" customHeight="1" x14ac:dyDescent="0.4">
      <c r="A77" s="460">
        <v>76</v>
      </c>
      <c r="B77" s="460" t="s">
        <v>244</v>
      </c>
      <c r="C77" s="265">
        <v>3.8564620018005371</v>
      </c>
      <c r="D77" s="266">
        <v>6.0999998822808266E-5</v>
      </c>
      <c r="E77" s="266">
        <v>0.11999999731779099</v>
      </c>
      <c r="F77" s="266">
        <v>144</v>
      </c>
      <c r="G77" s="264">
        <v>7.1526870131492615E-2</v>
      </c>
      <c r="H77" s="264">
        <v>8.333332953043282E-4</v>
      </c>
      <c r="I77">
        <v>0</v>
      </c>
      <c r="J77"/>
      <c r="K77"/>
      <c r="L77"/>
      <c r="M77"/>
    </row>
    <row r="78" spans="1:13" ht="15" customHeight="1" x14ac:dyDescent="0.4">
      <c r="A78" s="461">
        <v>77</v>
      </c>
      <c r="B78" s="461" t="s">
        <v>245</v>
      </c>
      <c r="C78" s="265">
        <v>3.7150659561157227</v>
      </c>
      <c r="D78" s="266">
        <v>0.14598192274570465</v>
      </c>
      <c r="E78" s="266">
        <v>6.3000001013278961E-2</v>
      </c>
      <c r="F78" s="266">
        <v>8.8999996185302734</v>
      </c>
      <c r="G78" s="264">
        <v>2.4128938093781471E-3</v>
      </c>
      <c r="H78" s="264">
        <v>7.0786522701382637E-3</v>
      </c>
      <c r="I78">
        <v>0</v>
      </c>
      <c r="J78"/>
      <c r="K78"/>
      <c r="L78"/>
      <c r="M78"/>
    </row>
    <row r="79" spans="1:13" ht="15" customHeight="1" x14ac:dyDescent="0.4">
      <c r="A79" s="462">
        <v>78</v>
      </c>
      <c r="B79" s="462" t="s">
        <v>246</v>
      </c>
      <c r="C79" s="265">
        <v>3.6931474208831787</v>
      </c>
      <c r="D79" s="266">
        <v>0.57161200046539307</v>
      </c>
      <c r="E79" s="266">
        <v>3.9999999105930328E-2</v>
      </c>
      <c r="F79" s="266">
        <v>7.5999999046325684</v>
      </c>
      <c r="G79" s="264">
        <v>1.9410938257351518E-3</v>
      </c>
      <c r="H79" s="264">
        <v>5.2631576545536518E-3</v>
      </c>
      <c r="I79">
        <v>0</v>
      </c>
      <c r="J79"/>
      <c r="K79"/>
      <c r="L79"/>
      <c r="M79"/>
    </row>
    <row r="80" spans="1:13" ht="15" customHeight="1" x14ac:dyDescent="0.4">
      <c r="A80" s="463">
        <v>79</v>
      </c>
      <c r="B80" s="463" t="s">
        <v>247</v>
      </c>
      <c r="C80" s="265">
        <v>4.5524706840515137</v>
      </c>
      <c r="D80" s="266">
        <v>2.3760158568620682E-2</v>
      </c>
      <c r="E80" s="266">
        <v>8.2999996840953827E-2</v>
      </c>
      <c r="F80" s="266">
        <v>8.3000001907348633</v>
      </c>
      <c r="G80" s="264">
        <v>3.3757608383893967E-2</v>
      </c>
      <c r="H80" s="264">
        <v>9.9999997764825821E-3</v>
      </c>
      <c r="I80">
        <v>0</v>
      </c>
      <c r="J80"/>
      <c r="K80"/>
      <c r="L80"/>
      <c r="M80"/>
    </row>
    <row r="81" spans="1:13" ht="15" customHeight="1" x14ac:dyDescent="0.4">
      <c r="A81" s="464">
        <v>80</v>
      </c>
      <c r="B81" s="464" t="s">
        <v>280</v>
      </c>
      <c r="C81" s="265">
        <v>4.6354198455810547</v>
      </c>
      <c r="D81" s="266">
        <v>4.8928055912256241E-2</v>
      </c>
      <c r="E81" s="266">
        <v>7.0000000298023224E-2</v>
      </c>
      <c r="F81" s="266">
        <v>24</v>
      </c>
      <c r="G81" s="264">
        <v>0.27874764800071716</v>
      </c>
      <c r="H81" s="264">
        <v>2.916666679084301E-3</v>
      </c>
      <c r="I81">
        <v>0</v>
      </c>
      <c r="J81"/>
      <c r="K81"/>
      <c r="L81"/>
      <c r="M81"/>
    </row>
    <row r="82" spans="1:13" ht="15" customHeight="1" x14ac:dyDescent="0.4">
      <c r="A82" s="465">
        <v>81</v>
      </c>
      <c r="B82" s="465" t="s">
        <v>281</v>
      </c>
      <c r="C82" s="265">
        <v>4.4918560981750488</v>
      </c>
      <c r="D82" s="266">
        <v>6.2393408268690109E-2</v>
      </c>
      <c r="E82" s="266">
        <v>7.0000000298023224E-2</v>
      </c>
      <c r="F82" s="266">
        <v>24</v>
      </c>
      <c r="G82" s="264">
        <v>0.21859008073806763</v>
      </c>
      <c r="H82" s="264">
        <v>2.916666679084301E-3</v>
      </c>
      <c r="I82">
        <v>0</v>
      </c>
      <c r="J82"/>
      <c r="K82"/>
      <c r="L82"/>
      <c r="M82"/>
    </row>
    <row r="83" spans="1:13" ht="15" customHeight="1" x14ac:dyDescent="0.4">
      <c r="A83" s="466">
        <v>82</v>
      </c>
      <c r="B83" s="466" t="s">
        <v>248</v>
      </c>
      <c r="C83" s="265">
        <v>4.438603401184082</v>
      </c>
      <c r="D83" s="266">
        <v>7.1590997278690338E-2</v>
      </c>
      <c r="E83" s="266">
        <v>0.10000000149011612</v>
      </c>
      <c r="F83" s="266">
        <v>25.799999237060547</v>
      </c>
      <c r="G83" s="264">
        <v>0.11188380420207977</v>
      </c>
      <c r="H83" s="264">
        <v>3.875969210639596E-3</v>
      </c>
      <c r="I83">
        <v>0</v>
      </c>
      <c r="J83"/>
      <c r="K83"/>
      <c r="L83"/>
      <c r="M83"/>
    </row>
    <row r="84" spans="1:13" ht="15" customHeight="1" x14ac:dyDescent="0.4">
      <c r="A84" s="467">
        <v>83</v>
      </c>
      <c r="B84" s="467" t="s">
        <v>249</v>
      </c>
      <c r="C84" s="265">
        <v>4.5716996192932129</v>
      </c>
      <c r="D84" s="266">
        <v>6.7212000489234924E-2</v>
      </c>
      <c r="E84" s="266">
        <v>4.6999998390674591E-2</v>
      </c>
      <c r="F84" s="266">
        <v>6.6100001335144043</v>
      </c>
      <c r="G84" s="264">
        <v>2.80991499312222E-3</v>
      </c>
      <c r="H84" s="264">
        <v>7.11043830960989E-3</v>
      </c>
      <c r="I84">
        <v>0</v>
      </c>
      <c r="J84"/>
      <c r="K84"/>
      <c r="L84"/>
      <c r="M84"/>
    </row>
    <row r="85" spans="1:13" ht="15" customHeight="1" x14ac:dyDescent="0.4">
      <c r="A85" s="468">
        <v>84</v>
      </c>
      <c r="B85" s="468" t="s">
        <v>282</v>
      </c>
      <c r="C85" s="265">
        <v>4.9379806518554688</v>
      </c>
      <c r="D85" s="266">
        <v>4.2211200343444943E-4</v>
      </c>
      <c r="E85" s="266">
        <v>2.500000037252903E-2</v>
      </c>
      <c r="F85" s="266">
        <v>11.156999588012695</v>
      </c>
      <c r="G85" s="264">
        <v>0</v>
      </c>
      <c r="H85" s="264">
        <v>2.2407458163797855E-3</v>
      </c>
      <c r="I85">
        <v>0</v>
      </c>
      <c r="J85"/>
      <c r="K85"/>
      <c r="L85"/>
      <c r="M85"/>
    </row>
    <row r="86" spans="1:13" ht="15" customHeight="1" x14ac:dyDescent="0.4">
      <c r="A86" s="469">
        <v>85</v>
      </c>
      <c r="B86" s="469" t="s">
        <v>283</v>
      </c>
      <c r="C86" s="265">
        <v>5.126645565032959</v>
      </c>
      <c r="D86" s="266">
        <v>4.6207248233258724E-3</v>
      </c>
      <c r="E86" s="266">
        <v>2.500000037252903E-2</v>
      </c>
      <c r="F86" s="266">
        <v>11.156999588012695</v>
      </c>
      <c r="G86" s="264">
        <v>0</v>
      </c>
      <c r="H86" s="264">
        <v>2.2407458163797855E-3</v>
      </c>
      <c r="I86">
        <v>0</v>
      </c>
      <c r="J86"/>
      <c r="K86"/>
      <c r="L86"/>
      <c r="M86"/>
    </row>
    <row r="87" spans="1:13" ht="15" customHeight="1" x14ac:dyDescent="0.4">
      <c r="A87" s="470">
        <v>86</v>
      </c>
      <c r="B87" s="470" t="s">
        <v>250</v>
      </c>
      <c r="C87" s="265">
        <v>1</v>
      </c>
      <c r="D87" s="266">
        <v>1.7599999409867451E-5</v>
      </c>
      <c r="E87" s="267"/>
      <c r="F87" s="267"/>
      <c r="G87" s="264">
        <v>0.22528457641601563</v>
      </c>
      <c r="H87" s="267"/>
      <c r="I87">
        <v>0</v>
      </c>
      <c r="J87"/>
      <c r="K87"/>
      <c r="L87"/>
      <c r="M87"/>
    </row>
    <row r="88" spans="1:13" ht="15" customHeight="1" x14ac:dyDescent="0.4">
      <c r="A88" s="471">
        <v>87</v>
      </c>
      <c r="B88" s="471" t="s">
        <v>251</v>
      </c>
      <c r="C88" s="265">
        <v>1</v>
      </c>
      <c r="D88" s="266">
        <v>1.9063829183578491</v>
      </c>
      <c r="E88" s="267"/>
      <c r="F88" s="267"/>
      <c r="G88" s="264">
        <v>0.42139345407485962</v>
      </c>
      <c r="H88" s="267"/>
      <c r="I88">
        <v>0</v>
      </c>
      <c r="J88"/>
      <c r="K88"/>
      <c r="L88"/>
      <c r="M88"/>
    </row>
    <row r="89" spans="1:13" ht="15" customHeight="1" x14ac:dyDescent="0.4">
      <c r="A89" s="472">
        <v>88</v>
      </c>
      <c r="B89" s="472" t="s">
        <v>252</v>
      </c>
      <c r="C89" s="265">
        <v>1</v>
      </c>
      <c r="D89" s="266">
        <v>10</v>
      </c>
      <c r="E89" s="267"/>
      <c r="F89" s="267"/>
      <c r="G89" s="264">
        <v>0.52450031042098999</v>
      </c>
      <c r="H89" s="267"/>
      <c r="I89">
        <v>0</v>
      </c>
      <c r="J89"/>
      <c r="K89"/>
      <c r="L89"/>
      <c r="M89"/>
    </row>
    <row r="90" spans="1:13" ht="15" customHeight="1" x14ac:dyDescent="0.4">
      <c r="A90" s="473">
        <v>89</v>
      </c>
      <c r="B90" s="473" t="s">
        <v>253</v>
      </c>
      <c r="C90" s="265">
        <v>1</v>
      </c>
      <c r="D90" s="266">
        <v>5</v>
      </c>
      <c r="E90" s="267"/>
      <c r="F90" s="267"/>
      <c r="G90" s="264">
        <v>0.68384915590286255</v>
      </c>
      <c r="H90" s="267"/>
      <c r="I90">
        <v>0</v>
      </c>
      <c r="J90"/>
      <c r="K90"/>
      <c r="L90"/>
      <c r="M90"/>
    </row>
    <row r="91" spans="1:13" ht="15" customHeight="1" x14ac:dyDescent="0.4">
      <c r="A91" s="474">
        <v>90</v>
      </c>
      <c r="B91" s="474" t="s">
        <v>254</v>
      </c>
      <c r="C91" s="265">
        <v>1</v>
      </c>
      <c r="D91" s="266">
        <v>10</v>
      </c>
      <c r="E91" s="267"/>
      <c r="F91" s="267"/>
      <c r="G91" s="264">
        <v>0.88452410697937012</v>
      </c>
      <c r="H91" s="267"/>
      <c r="I91">
        <v>0</v>
      </c>
      <c r="J91"/>
      <c r="K91"/>
      <c r="L91"/>
      <c r="M91"/>
    </row>
    <row r="92" spans="1:13" ht="15" customHeight="1" x14ac:dyDescent="0.4">
      <c r="A92" s="475">
        <v>91</v>
      </c>
      <c r="B92" s="475" t="s">
        <v>433</v>
      </c>
      <c r="C92" s="265">
        <v>3.0364985466003418</v>
      </c>
      <c r="D92" s="267"/>
      <c r="E92" s="267"/>
      <c r="F92" s="267"/>
      <c r="G92" s="267"/>
      <c r="H92" s="267"/>
      <c r="I92">
        <v>4.0917139500379562E-2</v>
      </c>
      <c r="J92"/>
      <c r="K92"/>
      <c r="L92"/>
      <c r="M92"/>
    </row>
    <row r="93" spans="1:13" ht="15" customHeight="1" x14ac:dyDescent="0.4">
      <c r="A93" s="476">
        <v>92</v>
      </c>
      <c r="B93" s="476" t="s">
        <v>434</v>
      </c>
      <c r="C93" s="265">
        <v>5.1621108055114746</v>
      </c>
      <c r="D93" s="267"/>
      <c r="E93" s="267"/>
      <c r="F93" s="267"/>
      <c r="G93" s="267"/>
      <c r="H93" s="267"/>
      <c r="I93">
        <v>3.9663989096879959E-2</v>
      </c>
      <c r="J93"/>
      <c r="K93"/>
      <c r="L93"/>
      <c r="M93"/>
    </row>
    <row r="94" spans="1:13" ht="15" customHeight="1" x14ac:dyDescent="0.4">
      <c r="A94" s="477">
        <v>93</v>
      </c>
      <c r="B94" s="477" t="s">
        <v>435</v>
      </c>
      <c r="C94" s="265">
        <v>4.5709238052368164</v>
      </c>
      <c r="D94" s="267"/>
      <c r="E94" s="267"/>
      <c r="F94" s="267"/>
      <c r="G94" s="267"/>
      <c r="H94" s="267"/>
      <c r="I94">
        <v>6.8083465099334717E-2</v>
      </c>
      <c r="J94"/>
      <c r="K94"/>
      <c r="L94"/>
      <c r="M94"/>
    </row>
    <row r="95" spans="1:13" ht="15" customHeight="1" x14ac:dyDescent="0.4">
      <c r="A95" s="478">
        <v>94</v>
      </c>
      <c r="B95" s="478" t="s">
        <v>436</v>
      </c>
      <c r="C95" s="265">
        <v>4.3442287445068359</v>
      </c>
      <c r="D95" s="267"/>
      <c r="E95" s="267"/>
      <c r="F95" s="267"/>
      <c r="G95" s="267"/>
      <c r="H95" s="267"/>
      <c r="I95">
        <v>5.5003397166728973E-2</v>
      </c>
      <c r="J95"/>
      <c r="K95"/>
      <c r="L95"/>
      <c r="M95"/>
    </row>
    <row r="96" spans="1:13" ht="15" customHeight="1" x14ac:dyDescent="0.4">
      <c r="A96" s="479">
        <v>95</v>
      </c>
      <c r="B96" s="479" t="s">
        <v>437</v>
      </c>
      <c r="C96" s="265">
        <v>4.5262832641601563</v>
      </c>
      <c r="D96" s="267"/>
      <c r="E96" s="267"/>
      <c r="F96" s="267"/>
      <c r="G96" s="267"/>
      <c r="H96" s="267"/>
      <c r="I96">
        <v>0.12605524063110352</v>
      </c>
      <c r="J96"/>
      <c r="K96"/>
      <c r="L96"/>
      <c r="M96"/>
    </row>
    <row r="97" spans="1:13" ht="15" customHeight="1" x14ac:dyDescent="0.4">
      <c r="A97" s="480">
        <v>96</v>
      </c>
      <c r="B97" s="480" t="s">
        <v>438</v>
      </c>
      <c r="C97" s="265">
        <v>5.2277812957763672</v>
      </c>
      <c r="D97" s="267"/>
      <c r="E97" s="267"/>
      <c r="F97" s="267"/>
      <c r="G97" s="267"/>
      <c r="H97" s="267"/>
      <c r="I97">
        <v>4.3630216270685196E-2</v>
      </c>
      <c r="J97"/>
      <c r="K97"/>
      <c r="L97"/>
      <c r="M97"/>
    </row>
    <row r="98" spans="1:13" ht="15" customHeight="1" x14ac:dyDescent="0.4">
      <c r="A98" s="481">
        <v>97</v>
      </c>
      <c r="B98" s="481" t="s">
        <v>439</v>
      </c>
      <c r="C98" s="265">
        <v>4.6654539108276367</v>
      </c>
      <c r="D98" s="267"/>
      <c r="E98" s="267"/>
      <c r="F98" s="267"/>
      <c r="G98" s="267"/>
      <c r="H98" s="267"/>
      <c r="I98">
        <v>3.5660021305084229</v>
      </c>
      <c r="J98"/>
      <c r="K98"/>
      <c r="L98"/>
      <c r="M98"/>
    </row>
    <row r="99" spans="1:13" ht="15" customHeight="1" x14ac:dyDescent="0.4">
      <c r="A99" s="482">
        <v>98</v>
      </c>
      <c r="B99" s="482" t="s">
        <v>440</v>
      </c>
      <c r="C99" s="265">
        <v>3.9684441089630127</v>
      </c>
      <c r="D99" s="267"/>
      <c r="E99" s="267"/>
      <c r="F99" s="267"/>
      <c r="G99" s="267"/>
      <c r="H99" s="267"/>
      <c r="I99">
        <v>0.4330025315284729</v>
      </c>
      <c r="J99"/>
      <c r="K99"/>
      <c r="L99"/>
      <c r="M99"/>
    </row>
    <row r="100" spans="1:13" ht="15" customHeight="1" x14ac:dyDescent="0.4">
      <c r="A100" s="483">
        <v>99</v>
      </c>
      <c r="B100" s="483" t="s">
        <v>264</v>
      </c>
      <c r="C100" s="265">
        <v>5.0748839378356934</v>
      </c>
      <c r="D100" s="267"/>
      <c r="E100" s="267"/>
      <c r="F100" s="267"/>
      <c r="G100" s="267"/>
      <c r="H100" s="267"/>
      <c r="I100">
        <v>7.7548414468765259E-2</v>
      </c>
      <c r="J100"/>
      <c r="K100"/>
      <c r="L100"/>
      <c r="M100"/>
    </row>
    <row r="101" spans="1:13" ht="15" customHeight="1" x14ac:dyDescent="0.4">
      <c r="A101"/>
      <c r="B101"/>
      <c r="C101"/>
      <c r="D101"/>
      <c r="E101"/>
      <c r="F101"/>
      <c r="G101"/>
      <c r="H101"/>
      <c r="I101"/>
      <c r="J101"/>
      <c r="K101"/>
      <c r="L101"/>
      <c r="M101"/>
    </row>
    <row r="102" spans="1:13" ht="15" customHeight="1" x14ac:dyDescent="0.4">
      <c r="A102"/>
      <c r="B102"/>
      <c r="C102"/>
      <c r="D102"/>
      <c r="E102"/>
      <c r="F102"/>
      <c r="G102"/>
      <c r="H102"/>
      <c r="I102"/>
      <c r="J102"/>
      <c r="K102"/>
      <c r="L102"/>
      <c r="M102"/>
    </row>
    <row r="103" spans="1:13" ht="15" customHeight="1" x14ac:dyDescent="0.4">
      <c r="A103"/>
      <c r="B103"/>
      <c r="C103"/>
      <c r="D103"/>
      <c r="E103"/>
      <c r="F103"/>
      <c r="G103"/>
      <c r="H103"/>
      <c r="I103"/>
      <c r="J103"/>
      <c r="K103"/>
      <c r="L103"/>
      <c r="M103"/>
    </row>
    <row r="104" spans="1:13" ht="15" customHeight="1" x14ac:dyDescent="0.4">
      <c r="A104"/>
      <c r="B104"/>
      <c r="C104"/>
      <c r="D104"/>
      <c r="E104"/>
      <c r="F104"/>
      <c r="G104"/>
      <c r="H104"/>
      <c r="I104"/>
      <c r="J104"/>
      <c r="K104"/>
      <c r="L104"/>
      <c r="M104"/>
    </row>
    <row r="105" spans="1:13" ht="15" customHeight="1" x14ac:dyDescent="0.4">
      <c r="A105"/>
      <c r="B105"/>
      <c r="C105"/>
      <c r="D105"/>
      <c r="E105"/>
      <c r="F105"/>
      <c r="G105"/>
      <c r="H105"/>
      <c r="I105"/>
      <c r="J105"/>
      <c r="K105"/>
      <c r="L105"/>
      <c r="M105"/>
    </row>
    <row r="106" spans="1:13" ht="15" customHeight="1" x14ac:dyDescent="0.4">
      <c r="A106"/>
      <c r="B106"/>
      <c r="C106"/>
      <c r="D106"/>
      <c r="E106"/>
      <c r="F106"/>
      <c r="G106"/>
      <c r="H106"/>
      <c r="I106"/>
      <c r="J106"/>
      <c r="K106"/>
      <c r="L106"/>
      <c r="M106"/>
    </row>
    <row r="107" spans="1:13" ht="15" customHeight="1" x14ac:dyDescent="0.4">
      <c r="A107"/>
      <c r="B107"/>
      <c r="C107"/>
      <c r="D107"/>
      <c r="E107"/>
      <c r="F107"/>
      <c r="G107"/>
      <c r="H107"/>
      <c r="I107"/>
      <c r="J107"/>
      <c r="K107"/>
      <c r="L107"/>
      <c r="M107"/>
    </row>
    <row r="108" spans="1:13" ht="15" customHeight="1" x14ac:dyDescent="0.4">
      <c r="A108"/>
      <c r="B108"/>
      <c r="C108"/>
      <c r="D108"/>
      <c r="E108"/>
      <c r="F108"/>
      <c r="G108"/>
      <c r="H108"/>
      <c r="I108"/>
      <c r="J108"/>
      <c r="K108"/>
      <c r="L108"/>
      <c r="M108"/>
    </row>
    <row r="109" spans="1:13" ht="15" customHeight="1" x14ac:dyDescent="0.4">
      <c r="A109"/>
      <c r="B109"/>
      <c r="C109"/>
      <c r="D109"/>
      <c r="E109"/>
      <c r="F109"/>
      <c r="G109"/>
      <c r="H109"/>
      <c r="I109"/>
      <c r="J109"/>
      <c r="K109"/>
      <c r="L109"/>
      <c r="M109"/>
    </row>
    <row r="110" spans="1:13" ht="15" customHeight="1" x14ac:dyDescent="0.4">
      <c r="A110"/>
      <c r="B110"/>
      <c r="C110"/>
      <c r="D110"/>
      <c r="E110"/>
      <c r="F110"/>
      <c r="G110"/>
      <c r="H110"/>
      <c r="I110"/>
      <c r="J110"/>
      <c r="K110"/>
      <c r="L110"/>
      <c r="M110"/>
    </row>
    <row r="111" spans="1:13" ht="15" customHeight="1" x14ac:dyDescent="0.4">
      <c r="A111"/>
      <c r="B111"/>
      <c r="C111"/>
      <c r="D111"/>
      <c r="E111"/>
      <c r="F111"/>
      <c r="G111"/>
      <c r="H111"/>
      <c r="I111"/>
      <c r="J111"/>
      <c r="K111"/>
      <c r="L111"/>
      <c r="M111"/>
    </row>
    <row r="112" spans="1:13" ht="15" customHeight="1" x14ac:dyDescent="0.4">
      <c r="A112"/>
      <c r="B112"/>
      <c r="C112"/>
      <c r="D112"/>
      <c r="E112"/>
      <c r="F112"/>
      <c r="G112"/>
      <c r="H112"/>
      <c r="I112"/>
      <c r="J112"/>
      <c r="K112"/>
      <c r="L112"/>
      <c r="M112"/>
    </row>
    <row r="113" spans="1:13" ht="15" customHeight="1" x14ac:dyDescent="0.4">
      <c r="A113"/>
      <c r="B113"/>
      <c r="C113"/>
      <c r="D113"/>
      <c r="E113"/>
      <c r="F113"/>
      <c r="G113"/>
      <c r="H113"/>
      <c r="I113"/>
      <c r="J113"/>
      <c r="K113"/>
      <c r="L113"/>
      <c r="M113"/>
    </row>
    <row r="114" spans="1:13" ht="15" customHeight="1" x14ac:dyDescent="0.4">
      <c r="A114"/>
      <c r="B114"/>
      <c r="C114"/>
      <c r="D114"/>
      <c r="E114"/>
      <c r="F114"/>
      <c r="G114"/>
      <c r="H114"/>
      <c r="I114"/>
      <c r="J114"/>
      <c r="K114"/>
      <c r="L114"/>
      <c r="M114"/>
    </row>
    <row r="115" spans="1:13" ht="15" customHeight="1" x14ac:dyDescent="0.4">
      <c r="A115"/>
      <c r="B115"/>
      <c r="C115"/>
      <c r="D115"/>
      <c r="E115"/>
      <c r="F115"/>
      <c r="G115"/>
      <c r="H115"/>
      <c r="I115"/>
      <c r="J115"/>
      <c r="K115"/>
      <c r="L115"/>
      <c r="M115"/>
    </row>
    <row r="116" spans="1:13" ht="15" customHeight="1" x14ac:dyDescent="0.4">
      <c r="A116"/>
      <c r="B116"/>
      <c r="C116"/>
      <c r="D116"/>
      <c r="E116"/>
      <c r="F116"/>
      <c r="G116"/>
      <c r="H116"/>
      <c r="I116"/>
      <c r="J116"/>
      <c r="K116"/>
      <c r="L116"/>
      <c r="M116"/>
    </row>
    <row r="117" spans="1:13" ht="15" customHeight="1" x14ac:dyDescent="0.4">
      <c r="A117"/>
      <c r="B117"/>
      <c r="C117"/>
      <c r="D117"/>
      <c r="E117"/>
      <c r="F117"/>
      <c r="G117"/>
      <c r="H117"/>
      <c r="I117"/>
      <c r="J117"/>
      <c r="K117"/>
      <c r="L117"/>
      <c r="M117"/>
    </row>
    <row r="118" spans="1:13" ht="15" customHeight="1" x14ac:dyDescent="0.4">
      <c r="A118"/>
      <c r="B118"/>
      <c r="C118"/>
      <c r="D118"/>
      <c r="E118"/>
      <c r="F118"/>
      <c r="G118"/>
      <c r="H118"/>
      <c r="I118"/>
      <c r="J118"/>
      <c r="K118"/>
      <c r="L118"/>
      <c r="M118"/>
    </row>
    <row r="119" spans="1:13" ht="15" customHeight="1" x14ac:dyDescent="0.4">
      <c r="A119"/>
      <c r="B119"/>
      <c r="C119"/>
      <c r="D119"/>
      <c r="E119"/>
      <c r="F119"/>
      <c r="G119"/>
      <c r="H119"/>
      <c r="I119"/>
      <c r="J119"/>
      <c r="K119"/>
      <c r="L119"/>
      <c r="M119"/>
    </row>
    <row r="120" spans="1:13" ht="15" customHeight="1" x14ac:dyDescent="0.4">
      <c r="A120"/>
      <c r="B120"/>
      <c r="C120"/>
      <c r="D120"/>
      <c r="E120"/>
      <c r="F120"/>
      <c r="G120"/>
      <c r="H120"/>
      <c r="I120"/>
      <c r="J120"/>
      <c r="K120"/>
      <c r="L120"/>
      <c r="M120"/>
    </row>
    <row r="121" spans="1:13" ht="15" customHeight="1" x14ac:dyDescent="0.4">
      <c r="A121"/>
      <c r="B121"/>
      <c r="C121"/>
      <c r="D121"/>
      <c r="E121"/>
      <c r="F121"/>
      <c r="G121"/>
      <c r="H121"/>
      <c r="I121"/>
      <c r="J121"/>
      <c r="K121"/>
      <c r="L121"/>
      <c r="M121"/>
    </row>
    <row r="122" spans="1:13" ht="15" customHeight="1" x14ac:dyDescent="0.4">
      <c r="A122"/>
      <c r="B122"/>
      <c r="C122"/>
      <c r="D122"/>
      <c r="E122"/>
      <c r="F122"/>
      <c r="G122"/>
      <c r="H122"/>
      <c r="I122"/>
      <c r="J122"/>
      <c r="K122"/>
      <c r="L122"/>
      <c r="M122"/>
    </row>
    <row r="123" spans="1:13" ht="15" customHeight="1" x14ac:dyDescent="0.4">
      <c r="A123"/>
      <c r="B123"/>
      <c r="C123"/>
      <c r="D123"/>
      <c r="E123"/>
      <c r="F123"/>
      <c r="G123"/>
      <c r="H123"/>
      <c r="I123"/>
      <c r="J123"/>
      <c r="K123"/>
      <c r="L123"/>
      <c r="M123"/>
    </row>
    <row r="124" spans="1:13" ht="15" customHeight="1" x14ac:dyDescent="0.4">
      <c r="A124"/>
      <c r="B124"/>
      <c r="C124"/>
      <c r="D124"/>
      <c r="E124"/>
      <c r="F124"/>
      <c r="G124"/>
      <c r="H124"/>
      <c r="I124"/>
      <c r="J124"/>
      <c r="K124"/>
      <c r="L124"/>
      <c r="M124"/>
    </row>
    <row r="125" spans="1:13" ht="15" customHeight="1" x14ac:dyDescent="0.4">
      <c r="A125"/>
      <c r="B125"/>
      <c r="C125"/>
      <c r="D125"/>
      <c r="E125"/>
      <c r="F125"/>
      <c r="G125"/>
      <c r="H125"/>
      <c r="I125"/>
      <c r="J125"/>
      <c r="K125"/>
      <c r="L125"/>
      <c r="M125"/>
    </row>
    <row r="126" spans="1:13" ht="15" customHeight="1" x14ac:dyDescent="0.4">
      <c r="A126"/>
      <c r="B126"/>
      <c r="C126"/>
      <c r="D126"/>
      <c r="E126"/>
      <c r="F126"/>
      <c r="G126"/>
      <c r="H126"/>
      <c r="I126"/>
      <c r="J126"/>
      <c r="K126"/>
      <c r="L126"/>
      <c r="M126"/>
    </row>
    <row r="127" spans="1:13" ht="15" customHeight="1" x14ac:dyDescent="0.4">
      <c r="A127"/>
      <c r="B127"/>
      <c r="C127"/>
      <c r="D127"/>
      <c r="E127"/>
      <c r="F127"/>
      <c r="G127"/>
      <c r="H127"/>
      <c r="I127"/>
      <c r="J127"/>
      <c r="K127"/>
      <c r="L127"/>
      <c r="M127"/>
    </row>
    <row r="128" spans="1:13" ht="15" customHeight="1" x14ac:dyDescent="0.4">
      <c r="A128"/>
      <c r="B128"/>
      <c r="C128"/>
      <c r="D128"/>
      <c r="E128"/>
      <c r="F128"/>
      <c r="G128"/>
      <c r="H128"/>
      <c r="I128"/>
      <c r="J128"/>
      <c r="K128"/>
      <c r="L128"/>
      <c r="M128"/>
    </row>
    <row r="129" spans="1:13" ht="15" customHeight="1" x14ac:dyDescent="0.4">
      <c r="A129"/>
      <c r="B129"/>
      <c r="C129"/>
      <c r="D129"/>
      <c r="E129"/>
      <c r="F129"/>
      <c r="G129"/>
      <c r="H129"/>
      <c r="I129"/>
      <c r="J129"/>
      <c r="K129"/>
      <c r="L129"/>
      <c r="M129"/>
    </row>
    <row r="130" spans="1:13" ht="15" customHeight="1" x14ac:dyDescent="0.4">
      <c r="A130"/>
      <c r="B130"/>
      <c r="C130"/>
      <c r="D130"/>
      <c r="E130"/>
      <c r="F130"/>
      <c r="G130"/>
      <c r="H130"/>
      <c r="I130"/>
      <c r="J130"/>
      <c r="K130"/>
      <c r="L130"/>
      <c r="M130"/>
    </row>
    <row r="131" spans="1:13" ht="15" customHeight="1" x14ac:dyDescent="0.4">
      <c r="A131"/>
      <c r="B131"/>
      <c r="C131"/>
      <c r="D131"/>
      <c r="E131"/>
      <c r="F131"/>
      <c r="G131"/>
      <c r="H131"/>
      <c r="I131"/>
      <c r="J131"/>
      <c r="K131"/>
      <c r="L131"/>
      <c r="M131"/>
    </row>
    <row r="132" spans="1:13" ht="15" customHeight="1" x14ac:dyDescent="0.4">
      <c r="A132"/>
      <c r="B132"/>
      <c r="C132"/>
      <c r="D132"/>
      <c r="E132"/>
      <c r="F132"/>
      <c r="G132"/>
      <c r="H132"/>
      <c r="I132"/>
      <c r="J132"/>
      <c r="K132"/>
      <c r="L132"/>
      <c r="M132"/>
    </row>
    <row r="133" spans="1:13" ht="15" customHeight="1" x14ac:dyDescent="0.4">
      <c r="A133"/>
      <c r="B133"/>
      <c r="C133"/>
      <c r="D133"/>
      <c r="E133"/>
      <c r="F133"/>
      <c r="G133"/>
      <c r="H133"/>
      <c r="I133"/>
      <c r="J133"/>
      <c r="K133"/>
      <c r="L133"/>
      <c r="M133"/>
    </row>
    <row r="134" spans="1:13" ht="15" customHeight="1" x14ac:dyDescent="0.4">
      <c r="A134"/>
      <c r="B134"/>
      <c r="C134"/>
      <c r="D134"/>
      <c r="E134"/>
      <c r="F134"/>
      <c r="G134"/>
      <c r="H134"/>
      <c r="I134"/>
      <c r="J134"/>
      <c r="K134"/>
      <c r="L134"/>
      <c r="M134"/>
    </row>
    <row r="135" spans="1:13" ht="15" customHeight="1" x14ac:dyDescent="0.4">
      <c r="A135"/>
      <c r="B135"/>
      <c r="C135"/>
      <c r="D135"/>
      <c r="E135"/>
      <c r="F135"/>
      <c r="G135"/>
      <c r="H135"/>
      <c r="I135"/>
      <c r="J135"/>
      <c r="K135"/>
      <c r="L135"/>
      <c r="M135"/>
    </row>
    <row r="136" spans="1:13" ht="15" customHeight="1" x14ac:dyDescent="0.4">
      <c r="A136"/>
      <c r="B136"/>
      <c r="C136"/>
      <c r="D136"/>
      <c r="E136"/>
      <c r="F136"/>
      <c r="G136"/>
      <c r="H136"/>
      <c r="I136"/>
      <c r="J136"/>
      <c r="K136"/>
      <c r="L136"/>
      <c r="M136"/>
    </row>
    <row r="137" spans="1:13" ht="15" customHeight="1" x14ac:dyDescent="0.4">
      <c r="A137"/>
      <c r="B137"/>
      <c r="C137"/>
      <c r="D137"/>
      <c r="E137"/>
      <c r="F137"/>
      <c r="G137"/>
      <c r="H137"/>
      <c r="I137"/>
      <c r="J137"/>
      <c r="K137"/>
      <c r="L137"/>
      <c r="M137"/>
    </row>
    <row r="138" spans="1:13" ht="15" customHeight="1" x14ac:dyDescent="0.4">
      <c r="A138"/>
      <c r="B138"/>
      <c r="C138"/>
      <c r="D138"/>
      <c r="E138"/>
      <c r="F138"/>
      <c r="G138"/>
      <c r="H138"/>
      <c r="I138"/>
      <c r="J138"/>
      <c r="K138"/>
      <c r="L138"/>
      <c r="M138"/>
    </row>
    <row r="139" spans="1:13" ht="15" customHeight="1" x14ac:dyDescent="0.4">
      <c r="A139"/>
      <c r="B139"/>
      <c r="C139"/>
      <c r="D139"/>
      <c r="E139"/>
      <c r="F139"/>
      <c r="G139"/>
      <c r="H139"/>
      <c r="I139"/>
      <c r="J139"/>
      <c r="K139"/>
      <c r="L139"/>
      <c r="M139"/>
    </row>
    <row r="140" spans="1:13" ht="15" customHeight="1" x14ac:dyDescent="0.4">
      <c r="A140"/>
      <c r="B140"/>
      <c r="C140"/>
      <c r="D140"/>
      <c r="E140"/>
      <c r="F140"/>
      <c r="G140"/>
      <c r="H140"/>
      <c r="I140"/>
      <c r="J140"/>
      <c r="K140"/>
      <c r="L140"/>
      <c r="M140"/>
    </row>
    <row r="141" spans="1:13" ht="15" customHeight="1" x14ac:dyDescent="0.4">
      <c r="A141"/>
      <c r="B141"/>
      <c r="C141"/>
      <c r="D141"/>
      <c r="E141"/>
      <c r="F141"/>
      <c r="G141"/>
      <c r="H141"/>
      <c r="I141"/>
      <c r="J141"/>
      <c r="K141"/>
      <c r="L141"/>
      <c r="M141"/>
    </row>
    <row r="142" spans="1:13" ht="15" customHeight="1" x14ac:dyDescent="0.4">
      <c r="A142"/>
      <c r="B142"/>
      <c r="C142"/>
      <c r="D142"/>
      <c r="E142"/>
      <c r="F142"/>
      <c r="G142"/>
      <c r="H142"/>
      <c r="I142"/>
      <c r="J142"/>
      <c r="K142"/>
      <c r="L142"/>
      <c r="M142"/>
    </row>
    <row r="143" spans="1:13" ht="15" customHeight="1" x14ac:dyDescent="0.4">
      <c r="A143"/>
      <c r="B143"/>
      <c r="C143"/>
      <c r="D143"/>
      <c r="E143"/>
      <c r="F143"/>
      <c r="G143"/>
      <c r="H143"/>
      <c r="I143"/>
      <c r="J143"/>
      <c r="K143"/>
      <c r="L143"/>
      <c r="M143"/>
    </row>
    <row r="144" spans="1:13" ht="15" customHeight="1" x14ac:dyDescent="0.4">
      <c r="A144"/>
      <c r="B144"/>
      <c r="C144"/>
      <c r="D144"/>
      <c r="E144"/>
      <c r="F144"/>
      <c r="G144"/>
      <c r="H144"/>
      <c r="I144"/>
      <c r="J144"/>
      <c r="K144"/>
      <c r="L144"/>
      <c r="M144"/>
    </row>
    <row r="145" spans="1:13" ht="15" customHeight="1" x14ac:dyDescent="0.4">
      <c r="A145"/>
      <c r="B145"/>
      <c r="C145"/>
      <c r="D145"/>
      <c r="E145"/>
      <c r="F145"/>
      <c r="G145"/>
      <c r="H145"/>
      <c r="I145"/>
      <c r="J145"/>
      <c r="K145"/>
      <c r="L145"/>
      <c r="M145"/>
    </row>
    <row r="146" spans="1:13" ht="15" customHeight="1" x14ac:dyDescent="0.4">
      <c r="A146"/>
      <c r="B146"/>
      <c r="C146"/>
      <c r="D146"/>
      <c r="E146"/>
      <c r="F146"/>
      <c r="G146"/>
      <c r="H146"/>
      <c r="I146"/>
      <c r="J146"/>
      <c r="K146"/>
      <c r="L146"/>
      <c r="M146"/>
    </row>
    <row r="147" spans="1:13" ht="15" customHeight="1" x14ac:dyDescent="0.4">
      <c r="A147"/>
      <c r="B147"/>
      <c r="C147"/>
      <c r="D147"/>
      <c r="E147"/>
      <c r="F147"/>
      <c r="G147"/>
      <c r="H147"/>
      <c r="I147"/>
      <c r="J147"/>
      <c r="K147"/>
      <c r="L147"/>
      <c r="M147"/>
    </row>
    <row r="148" spans="1:13" ht="15" customHeight="1" x14ac:dyDescent="0.4">
      <c r="A148"/>
      <c r="B148"/>
      <c r="C148"/>
      <c r="D148"/>
      <c r="E148"/>
      <c r="F148"/>
      <c r="G148"/>
      <c r="H148"/>
      <c r="I148"/>
      <c r="J148"/>
      <c r="K148"/>
      <c r="L148"/>
      <c r="M148"/>
    </row>
    <row r="149" spans="1:13" ht="15" customHeight="1" x14ac:dyDescent="0.4">
      <c r="A149"/>
      <c r="B149"/>
      <c r="C149"/>
      <c r="D149"/>
      <c r="E149"/>
      <c r="F149"/>
      <c r="G149"/>
      <c r="H149"/>
      <c r="I149"/>
      <c r="J149"/>
      <c r="K149"/>
      <c r="L149"/>
      <c r="M149"/>
    </row>
    <row r="150" spans="1:13" ht="15" customHeight="1" x14ac:dyDescent="0.4">
      <c r="A150"/>
      <c r="B150"/>
      <c r="C150"/>
      <c r="D150"/>
      <c r="E150"/>
      <c r="F150"/>
      <c r="G150"/>
      <c r="H150"/>
      <c r="I150"/>
      <c r="J150"/>
      <c r="K150"/>
      <c r="L150"/>
      <c r="M150"/>
    </row>
    <row r="151" spans="1:13" ht="15" customHeight="1" x14ac:dyDescent="0.4">
      <c r="A151"/>
      <c r="B151"/>
      <c r="C151"/>
      <c r="D151"/>
      <c r="E151"/>
      <c r="F151"/>
      <c r="G151"/>
      <c r="H151"/>
      <c r="I151"/>
      <c r="J151"/>
      <c r="K151"/>
      <c r="L151"/>
      <c r="M151"/>
    </row>
    <row r="152" spans="1:13" ht="15" customHeight="1" x14ac:dyDescent="0.4">
      <c r="A152"/>
      <c r="B152"/>
      <c r="C152"/>
      <c r="D152"/>
      <c r="E152"/>
      <c r="F152"/>
      <c r="G152"/>
      <c r="H152"/>
      <c r="I152"/>
      <c r="J152"/>
      <c r="K152"/>
      <c r="L152"/>
      <c r="M152"/>
    </row>
    <row r="153" spans="1:13" ht="15" customHeight="1" x14ac:dyDescent="0.4">
      <c r="A153"/>
      <c r="B153"/>
      <c r="C153"/>
      <c r="D153"/>
      <c r="E153"/>
      <c r="F153"/>
      <c r="G153"/>
      <c r="H153"/>
      <c r="I153"/>
      <c r="J153"/>
      <c r="K153"/>
      <c r="L153"/>
      <c r="M153"/>
    </row>
    <row r="154" spans="1:13" ht="15" customHeight="1" x14ac:dyDescent="0.4">
      <c r="A154"/>
      <c r="B154"/>
      <c r="C154"/>
      <c r="D154"/>
      <c r="E154"/>
      <c r="F154"/>
      <c r="G154"/>
      <c r="H154"/>
      <c r="I154"/>
      <c r="J154"/>
      <c r="K154"/>
      <c r="L154"/>
      <c r="M154"/>
    </row>
    <row r="155" spans="1:13" ht="15" customHeight="1" x14ac:dyDescent="0.4">
      <c r="A155"/>
      <c r="B155"/>
      <c r="C155"/>
      <c r="D155"/>
      <c r="E155"/>
      <c r="F155"/>
      <c r="G155"/>
      <c r="H155"/>
      <c r="I155"/>
      <c r="J155"/>
      <c r="K155"/>
      <c r="L155"/>
      <c r="M155"/>
    </row>
    <row r="156" spans="1:13" ht="15" customHeight="1" x14ac:dyDescent="0.4">
      <c r="A156"/>
      <c r="B156"/>
      <c r="C156"/>
      <c r="D156"/>
      <c r="E156"/>
      <c r="F156"/>
      <c r="G156"/>
      <c r="H156"/>
      <c r="I156"/>
      <c r="J156"/>
      <c r="K156"/>
      <c r="L156"/>
      <c r="M156"/>
    </row>
    <row r="157" spans="1:13" ht="15" customHeight="1" x14ac:dyDescent="0.4">
      <c r="A157"/>
      <c r="B157"/>
      <c r="C157"/>
      <c r="D157"/>
      <c r="E157"/>
      <c r="F157"/>
      <c r="G157"/>
      <c r="H157"/>
      <c r="I157"/>
      <c r="J157"/>
      <c r="K157"/>
      <c r="L157"/>
      <c r="M157"/>
    </row>
    <row r="158" spans="1:13" ht="15" customHeight="1" x14ac:dyDescent="0.4">
      <c r="A158"/>
      <c r="B158"/>
      <c r="C158"/>
      <c r="D158"/>
      <c r="E158"/>
      <c r="F158"/>
      <c r="G158"/>
      <c r="H158"/>
      <c r="I158"/>
      <c r="J158"/>
      <c r="K158"/>
      <c r="L158"/>
      <c r="M158"/>
    </row>
    <row r="159" spans="1:13" ht="15" customHeight="1" x14ac:dyDescent="0.4">
      <c r="A159"/>
      <c r="B159"/>
      <c r="C159"/>
      <c r="D159"/>
      <c r="E159"/>
      <c r="F159"/>
      <c r="G159"/>
      <c r="H159"/>
      <c r="I159"/>
      <c r="J159"/>
      <c r="K159"/>
      <c r="L159"/>
      <c r="M159"/>
    </row>
    <row r="160" spans="1:13" ht="15" customHeight="1" x14ac:dyDescent="0.4">
      <c r="A160"/>
      <c r="B160"/>
      <c r="C160"/>
      <c r="D160"/>
      <c r="E160"/>
      <c r="F160"/>
      <c r="G160"/>
      <c r="H160"/>
      <c r="I160"/>
      <c r="J160"/>
      <c r="K160"/>
      <c r="L160"/>
      <c r="M160"/>
    </row>
    <row r="161" spans="1:13" ht="15" customHeight="1" x14ac:dyDescent="0.4">
      <c r="A161"/>
      <c r="B161"/>
      <c r="C161"/>
      <c r="D161"/>
      <c r="E161"/>
      <c r="F161"/>
      <c r="G161"/>
      <c r="H161"/>
      <c r="I161"/>
      <c r="J161"/>
      <c r="K161"/>
      <c r="L161"/>
      <c r="M161"/>
    </row>
    <row r="162" spans="1:13" ht="15" customHeight="1" x14ac:dyDescent="0.4">
      <c r="A162"/>
      <c r="B162"/>
      <c r="C162"/>
      <c r="D162"/>
      <c r="E162"/>
      <c r="F162"/>
      <c r="G162"/>
      <c r="H162"/>
      <c r="I162"/>
      <c r="J162"/>
      <c r="K162"/>
      <c r="L162"/>
      <c r="M162"/>
    </row>
    <row r="163" spans="1:13" ht="15" customHeight="1" x14ac:dyDescent="0.4">
      <c r="A163"/>
      <c r="B163"/>
      <c r="C163"/>
      <c r="D163"/>
      <c r="E163"/>
      <c r="F163"/>
      <c r="G163"/>
      <c r="H163"/>
      <c r="I163"/>
      <c r="J163"/>
      <c r="K163"/>
      <c r="L163"/>
      <c r="M163"/>
    </row>
    <row r="164" spans="1:13" ht="15" customHeight="1" x14ac:dyDescent="0.4">
      <c r="A164"/>
      <c r="B164"/>
      <c r="C164"/>
      <c r="D164"/>
      <c r="E164"/>
      <c r="F164"/>
      <c r="G164"/>
      <c r="H164"/>
      <c r="I164"/>
      <c r="J164"/>
      <c r="K164"/>
      <c r="L164"/>
      <c r="M164"/>
    </row>
    <row r="165" spans="1:13" ht="15" customHeight="1" x14ac:dyDescent="0.4">
      <c r="A165"/>
      <c r="B165"/>
      <c r="C165"/>
      <c r="D165"/>
      <c r="E165"/>
      <c r="F165"/>
      <c r="G165"/>
      <c r="H165"/>
      <c r="I165"/>
      <c r="J165"/>
      <c r="K165"/>
      <c r="L165"/>
      <c r="M165"/>
    </row>
    <row r="166" spans="1:13" ht="15" customHeight="1" x14ac:dyDescent="0.4">
      <c r="A166"/>
      <c r="B166"/>
      <c r="C166"/>
      <c r="D166"/>
      <c r="E166"/>
      <c r="F166"/>
      <c r="G166"/>
      <c r="H166"/>
      <c r="I166"/>
      <c r="J166"/>
      <c r="K166"/>
      <c r="L166"/>
      <c r="M166"/>
    </row>
    <row r="167" spans="1:13" ht="15" customHeight="1" x14ac:dyDescent="0.4">
      <c r="A167"/>
      <c r="B167"/>
      <c r="C167"/>
      <c r="D167"/>
      <c r="E167"/>
      <c r="F167"/>
      <c r="G167"/>
      <c r="H167"/>
      <c r="I167"/>
      <c r="J167"/>
      <c r="K167"/>
      <c r="L167"/>
      <c r="M167"/>
    </row>
    <row r="168" spans="1:13" ht="15" customHeight="1" x14ac:dyDescent="0.4">
      <c r="A168"/>
      <c r="B168"/>
      <c r="C168"/>
      <c r="D168"/>
      <c r="E168"/>
      <c r="F168"/>
      <c r="G168"/>
      <c r="H168"/>
      <c r="I168"/>
      <c r="J168"/>
      <c r="K168"/>
      <c r="L168"/>
      <c r="M168"/>
    </row>
    <row r="169" spans="1:13" ht="15" customHeight="1" x14ac:dyDescent="0.4">
      <c r="A169"/>
      <c r="B169"/>
      <c r="C169"/>
      <c r="D169"/>
      <c r="E169"/>
      <c r="F169"/>
      <c r="G169"/>
      <c r="H169"/>
      <c r="I169"/>
      <c r="J169"/>
      <c r="K169"/>
      <c r="L169"/>
      <c r="M169"/>
    </row>
    <row r="170" spans="1:13" ht="15" customHeight="1" x14ac:dyDescent="0.4">
      <c r="A170"/>
      <c r="B170"/>
      <c r="C170"/>
      <c r="D170"/>
      <c r="E170"/>
      <c r="F170"/>
      <c r="G170"/>
      <c r="H170"/>
      <c r="I170"/>
      <c r="J170"/>
      <c r="K170"/>
      <c r="L170"/>
      <c r="M170"/>
    </row>
    <row r="171" spans="1:13" ht="15" customHeight="1" x14ac:dyDescent="0.4">
      <c r="A171"/>
      <c r="B171"/>
      <c r="C171"/>
      <c r="D171"/>
      <c r="E171"/>
      <c r="F171"/>
      <c r="G171"/>
      <c r="H171"/>
      <c r="I171"/>
      <c r="J171"/>
      <c r="K171"/>
      <c r="L171"/>
      <c r="M171"/>
    </row>
    <row r="172" spans="1:13" ht="15" customHeight="1" x14ac:dyDescent="0.4">
      <c r="A172"/>
      <c r="B172"/>
      <c r="C172"/>
      <c r="D172"/>
      <c r="E172"/>
      <c r="F172"/>
      <c r="G172"/>
      <c r="H172"/>
      <c r="I172"/>
      <c r="J172"/>
      <c r="K172"/>
      <c r="L172"/>
      <c r="M172"/>
    </row>
    <row r="173" spans="1:13" ht="15" customHeight="1" x14ac:dyDescent="0.4">
      <c r="A173"/>
      <c r="B173"/>
      <c r="C173"/>
      <c r="D173"/>
      <c r="E173"/>
      <c r="F173"/>
      <c r="G173"/>
      <c r="H173"/>
      <c r="I173"/>
      <c r="J173"/>
      <c r="K173"/>
      <c r="L173"/>
      <c r="M173"/>
    </row>
    <row r="174" spans="1:13" ht="15" customHeight="1" x14ac:dyDescent="0.4">
      <c r="A174"/>
      <c r="B174"/>
      <c r="C174"/>
      <c r="D174"/>
      <c r="E174"/>
      <c r="F174"/>
      <c r="G174"/>
      <c r="H174"/>
      <c r="I174"/>
      <c r="J174"/>
      <c r="K174"/>
      <c r="L174"/>
      <c r="M174"/>
    </row>
    <row r="175" spans="1:13" ht="15" customHeight="1" x14ac:dyDescent="0.4">
      <c r="A175"/>
      <c r="B175"/>
      <c r="C175"/>
      <c r="D175"/>
      <c r="E175"/>
      <c r="F175"/>
      <c r="G175"/>
      <c r="H175"/>
      <c r="I175"/>
      <c r="J175"/>
      <c r="K175"/>
      <c r="L175"/>
      <c r="M175"/>
    </row>
    <row r="176" spans="1:13" ht="15" customHeight="1" x14ac:dyDescent="0.4">
      <c r="A176"/>
      <c r="B176"/>
      <c r="C176"/>
      <c r="D176"/>
      <c r="E176"/>
      <c r="F176"/>
      <c r="G176"/>
      <c r="H176"/>
      <c r="I176"/>
      <c r="J176"/>
      <c r="K176"/>
      <c r="L176"/>
      <c r="M176"/>
    </row>
    <row r="177" spans="1:13" ht="15" customHeight="1" x14ac:dyDescent="0.4">
      <c r="A177"/>
      <c r="B177"/>
      <c r="C177"/>
      <c r="D177"/>
      <c r="E177"/>
      <c r="F177"/>
      <c r="G177"/>
      <c r="H177"/>
      <c r="I177"/>
      <c r="J177"/>
      <c r="K177"/>
      <c r="L177"/>
      <c r="M177"/>
    </row>
    <row r="178" spans="1:13" ht="15" customHeight="1" x14ac:dyDescent="0.4">
      <c r="A178"/>
      <c r="B178"/>
      <c r="C178"/>
      <c r="D178"/>
      <c r="E178"/>
      <c r="F178"/>
      <c r="G178"/>
      <c r="H178"/>
      <c r="I178"/>
      <c r="J178"/>
      <c r="K178"/>
      <c r="L178"/>
      <c r="M178"/>
    </row>
    <row r="179" spans="1:13" ht="15" customHeight="1" x14ac:dyDescent="0.4">
      <c r="A179"/>
      <c r="B179"/>
      <c r="C179"/>
      <c r="D179"/>
      <c r="E179"/>
      <c r="F179"/>
      <c r="G179"/>
      <c r="H179"/>
      <c r="I179"/>
      <c r="J179"/>
      <c r="K179"/>
      <c r="L179"/>
      <c r="M179"/>
    </row>
    <row r="180" spans="1:13" ht="15" customHeight="1" x14ac:dyDescent="0.4">
      <c r="A180"/>
      <c r="B180"/>
      <c r="C180"/>
      <c r="D180"/>
      <c r="E180"/>
      <c r="F180"/>
      <c r="G180"/>
      <c r="H180"/>
      <c r="I180"/>
      <c r="J180"/>
      <c r="K180"/>
      <c r="L180"/>
      <c r="M180"/>
    </row>
    <row r="181" spans="1:13" ht="15" customHeight="1" x14ac:dyDescent="0.4">
      <c r="A181"/>
      <c r="B181"/>
      <c r="C181"/>
      <c r="D181"/>
      <c r="E181"/>
      <c r="F181"/>
      <c r="G181"/>
      <c r="H181"/>
      <c r="I181"/>
      <c r="J181"/>
      <c r="K181"/>
      <c r="L181"/>
      <c r="M181"/>
    </row>
    <row r="182" spans="1:13" ht="15" customHeight="1" x14ac:dyDescent="0.4">
      <c r="A182"/>
      <c r="B182"/>
      <c r="C182"/>
      <c r="D182"/>
      <c r="E182"/>
      <c r="F182"/>
      <c r="G182"/>
      <c r="H182"/>
      <c r="I182"/>
      <c r="J182"/>
      <c r="K182"/>
      <c r="L182"/>
      <c r="M182"/>
    </row>
    <row r="183" spans="1:13" ht="15" customHeight="1" x14ac:dyDescent="0.4">
      <c r="A183"/>
      <c r="B183"/>
      <c r="C183"/>
      <c r="D183"/>
      <c r="E183"/>
      <c r="F183"/>
      <c r="G183"/>
      <c r="H183"/>
      <c r="I183"/>
      <c r="J183"/>
      <c r="K183"/>
      <c r="L183"/>
      <c r="M183"/>
    </row>
    <row r="184" spans="1:13" ht="15" customHeight="1" x14ac:dyDescent="0.4">
      <c r="A184"/>
      <c r="B184"/>
      <c r="C184"/>
      <c r="D184"/>
      <c r="E184"/>
      <c r="F184"/>
      <c r="G184"/>
      <c r="H184"/>
      <c r="I184"/>
      <c r="J184"/>
      <c r="K184"/>
      <c r="L184"/>
      <c r="M184"/>
    </row>
    <row r="185" spans="1:13" ht="15" customHeight="1" x14ac:dyDescent="0.4">
      <c r="A185"/>
      <c r="B185"/>
      <c r="C185"/>
      <c r="D185"/>
      <c r="E185"/>
      <c r="F185"/>
      <c r="G185"/>
      <c r="H185"/>
      <c r="I185"/>
      <c r="J185"/>
      <c r="K185"/>
      <c r="L185"/>
      <c r="M185"/>
    </row>
    <row r="186" spans="1:13" ht="15" customHeight="1" x14ac:dyDescent="0.4">
      <c r="A186"/>
      <c r="B186"/>
      <c r="C186"/>
      <c r="D186"/>
      <c r="E186"/>
      <c r="F186"/>
      <c r="G186"/>
      <c r="H186"/>
      <c r="I186"/>
      <c r="J186"/>
      <c r="K186"/>
      <c r="L186"/>
      <c r="M186"/>
    </row>
    <row r="187" spans="1:13" ht="15" customHeight="1" x14ac:dyDescent="0.4">
      <c r="A187"/>
      <c r="B187"/>
      <c r="C187"/>
      <c r="D187"/>
      <c r="E187"/>
      <c r="F187"/>
      <c r="G187"/>
      <c r="H187"/>
      <c r="I187"/>
      <c r="J187"/>
      <c r="K187"/>
      <c r="L187"/>
      <c r="M187"/>
    </row>
    <row r="188" spans="1:13" ht="15" customHeight="1" x14ac:dyDescent="0.4">
      <c r="A188"/>
      <c r="B188"/>
      <c r="C188"/>
      <c r="D188"/>
      <c r="E188"/>
      <c r="F188"/>
      <c r="G188"/>
      <c r="H188"/>
      <c r="I188"/>
      <c r="J188"/>
      <c r="K188"/>
      <c r="L188"/>
      <c r="M188"/>
    </row>
    <row r="189" spans="1:13" ht="15" customHeight="1" x14ac:dyDescent="0.4">
      <c r="A189"/>
      <c r="B189"/>
      <c r="C189"/>
      <c r="D189"/>
      <c r="E189"/>
      <c r="F189"/>
      <c r="G189"/>
      <c r="H189"/>
      <c r="I189"/>
      <c r="J189"/>
      <c r="K189"/>
      <c r="L189"/>
      <c r="M189"/>
    </row>
    <row r="190" spans="1:13" ht="15" customHeight="1" x14ac:dyDescent="0.4">
      <c r="A190"/>
      <c r="B190"/>
      <c r="C190"/>
      <c r="D190"/>
      <c r="E190"/>
      <c r="F190"/>
      <c r="G190"/>
      <c r="H190"/>
      <c r="I190"/>
      <c r="J190"/>
      <c r="K190"/>
      <c r="L190"/>
      <c r="M190"/>
    </row>
    <row r="191" spans="1:13" ht="15" customHeight="1" x14ac:dyDescent="0.4">
      <c r="A191"/>
      <c r="B191"/>
      <c r="C191"/>
      <c r="D191"/>
      <c r="E191"/>
      <c r="F191"/>
      <c r="G191"/>
      <c r="H191"/>
      <c r="I191"/>
      <c r="J191"/>
      <c r="K191"/>
      <c r="L191"/>
      <c r="M191"/>
    </row>
    <row r="192" spans="1:13" ht="15" customHeight="1" x14ac:dyDescent="0.4">
      <c r="A192"/>
      <c r="B192"/>
      <c r="C192"/>
      <c r="D192"/>
      <c r="E192"/>
      <c r="F192"/>
      <c r="G192"/>
      <c r="H192"/>
      <c r="I192"/>
      <c r="J192"/>
      <c r="K192"/>
      <c r="L192"/>
      <c r="M192"/>
    </row>
    <row r="193" spans="1:13" ht="15" customHeight="1" x14ac:dyDescent="0.4">
      <c r="A193"/>
      <c r="B193"/>
      <c r="C193"/>
      <c r="D193"/>
      <c r="E193"/>
      <c r="F193"/>
      <c r="G193"/>
      <c r="H193"/>
      <c r="I193"/>
      <c r="J193"/>
      <c r="K193"/>
      <c r="L193"/>
      <c r="M193"/>
    </row>
    <row r="194" spans="1:13" ht="15" customHeight="1" x14ac:dyDescent="0.4">
      <c r="A194"/>
      <c r="B194"/>
      <c r="C194"/>
      <c r="D194"/>
      <c r="E194"/>
      <c r="F194"/>
      <c r="G194"/>
      <c r="H194"/>
      <c r="I194"/>
      <c r="J194"/>
      <c r="K194"/>
      <c r="L194"/>
      <c r="M194"/>
    </row>
    <row r="195" spans="1:13" ht="15" customHeight="1" x14ac:dyDescent="0.4">
      <c r="A195"/>
      <c r="B195"/>
      <c r="C195"/>
      <c r="D195"/>
      <c r="E195"/>
      <c r="F195"/>
      <c r="G195"/>
      <c r="H195"/>
      <c r="I195"/>
      <c r="J195"/>
      <c r="K195"/>
      <c r="L195"/>
      <c r="M195"/>
    </row>
    <row r="196" spans="1:13" ht="15" customHeight="1" x14ac:dyDescent="0.4">
      <c r="A196"/>
      <c r="B196"/>
      <c r="C196"/>
      <c r="D196"/>
      <c r="E196"/>
      <c r="F196"/>
      <c r="G196"/>
      <c r="H196"/>
      <c r="I196"/>
      <c r="J196"/>
      <c r="K196"/>
      <c r="L196"/>
      <c r="M196"/>
    </row>
    <row r="197" spans="1:13" ht="15" customHeight="1" x14ac:dyDescent="0.4">
      <c r="A197"/>
      <c r="B197"/>
      <c r="C197"/>
      <c r="D197"/>
      <c r="E197"/>
      <c r="F197"/>
      <c r="G197"/>
      <c r="H197"/>
      <c r="I197"/>
      <c r="J197"/>
      <c r="K197"/>
      <c r="L197"/>
      <c r="M197"/>
    </row>
    <row r="198" spans="1:13" ht="15" customHeight="1" x14ac:dyDescent="0.4">
      <c r="A198"/>
      <c r="B198"/>
      <c r="C198"/>
      <c r="D198"/>
      <c r="E198"/>
      <c r="F198"/>
      <c r="G198"/>
      <c r="H198"/>
      <c r="I198"/>
      <c r="J198"/>
      <c r="K198"/>
      <c r="L198"/>
      <c r="M198"/>
    </row>
    <row r="199" spans="1:13" ht="15" customHeight="1" x14ac:dyDescent="0.4">
      <c r="A199"/>
      <c r="B199"/>
      <c r="C199"/>
      <c r="D199"/>
      <c r="E199"/>
      <c r="F199"/>
      <c r="G199"/>
      <c r="H199"/>
      <c r="I199"/>
      <c r="J199"/>
      <c r="K199"/>
      <c r="L199"/>
      <c r="M199"/>
    </row>
    <row r="200" spans="1:13" ht="15" customHeight="1" x14ac:dyDescent="0.4">
      <c r="A200"/>
      <c r="B200"/>
      <c r="C200"/>
      <c r="D200"/>
      <c r="E200"/>
      <c r="F200"/>
      <c r="G200"/>
      <c r="H200"/>
      <c r="I200"/>
      <c r="J200"/>
      <c r="K200"/>
      <c r="L200"/>
      <c r="M200"/>
    </row>
    <row r="201" spans="1:13" ht="15" customHeight="1" x14ac:dyDescent="0.4">
      <c r="A201"/>
      <c r="B201"/>
      <c r="C201"/>
      <c r="D201"/>
      <c r="E201"/>
      <c r="F201"/>
      <c r="G201"/>
      <c r="H201"/>
      <c r="I201"/>
      <c r="J201"/>
      <c r="K201"/>
      <c r="L201"/>
      <c r="M201"/>
    </row>
    <row r="202" spans="1:13" ht="15" customHeight="1" x14ac:dyDescent="0.4">
      <c r="A202"/>
      <c r="B202"/>
      <c r="C202"/>
      <c r="D202"/>
      <c r="E202"/>
      <c r="F202"/>
      <c r="G202"/>
      <c r="H202"/>
      <c r="I202"/>
      <c r="J202"/>
      <c r="K202"/>
      <c r="L202"/>
      <c r="M202"/>
    </row>
    <row r="203" spans="1:13" ht="15" customHeight="1" x14ac:dyDescent="0.4">
      <c r="A203"/>
      <c r="B203"/>
      <c r="C203"/>
      <c r="D203"/>
      <c r="E203"/>
      <c r="F203"/>
      <c r="G203"/>
      <c r="H203"/>
      <c r="I203"/>
      <c r="J203"/>
      <c r="K203"/>
      <c r="L203"/>
      <c r="M203"/>
    </row>
    <row r="204" spans="1:13" ht="15" customHeight="1" x14ac:dyDescent="0.4">
      <c r="A204"/>
      <c r="B204"/>
      <c r="C204"/>
      <c r="D204"/>
      <c r="E204"/>
      <c r="F204"/>
      <c r="G204"/>
      <c r="H204"/>
      <c r="I204"/>
      <c r="J204"/>
      <c r="K204"/>
      <c r="L204"/>
      <c r="M204"/>
    </row>
    <row r="205" spans="1:13" ht="15" customHeight="1" x14ac:dyDescent="0.4">
      <c r="A205"/>
      <c r="B205"/>
      <c r="C205"/>
      <c r="D205"/>
      <c r="E205"/>
      <c r="F205"/>
      <c r="G205"/>
      <c r="H205"/>
      <c r="I205"/>
      <c r="J205"/>
      <c r="K205"/>
      <c r="L205"/>
      <c r="M205"/>
    </row>
    <row r="206" spans="1:13" ht="15" customHeight="1" x14ac:dyDescent="0.4">
      <c r="A206"/>
      <c r="B206"/>
      <c r="C206"/>
      <c r="D206"/>
      <c r="E206"/>
      <c r="F206"/>
      <c r="G206"/>
      <c r="H206"/>
      <c r="I206"/>
      <c r="J206"/>
      <c r="K206"/>
      <c r="L206"/>
      <c r="M206"/>
    </row>
    <row r="207" spans="1:13" ht="15" customHeight="1" x14ac:dyDescent="0.4">
      <c r="A207"/>
      <c r="B207"/>
      <c r="C207"/>
      <c r="D207"/>
      <c r="E207"/>
      <c r="F207"/>
      <c r="G207"/>
      <c r="H207"/>
      <c r="I207"/>
      <c r="J207"/>
      <c r="K207"/>
      <c r="L207"/>
      <c r="M207"/>
    </row>
    <row r="208" spans="1:13" ht="15" customHeight="1" x14ac:dyDescent="0.4">
      <c r="A208"/>
      <c r="B208"/>
      <c r="C208"/>
      <c r="D208"/>
      <c r="E208"/>
      <c r="F208"/>
      <c r="G208"/>
      <c r="H208"/>
      <c r="I208"/>
      <c r="J208"/>
      <c r="K208"/>
      <c r="L208"/>
      <c r="M208"/>
    </row>
    <row r="209" spans="1:13" ht="15" customHeight="1" x14ac:dyDescent="0.4">
      <c r="A209"/>
      <c r="B209"/>
      <c r="C209"/>
      <c r="D209"/>
      <c r="E209"/>
      <c r="F209"/>
      <c r="G209"/>
      <c r="H209"/>
      <c r="I209"/>
      <c r="J209"/>
      <c r="K209"/>
      <c r="L209"/>
      <c r="M209"/>
    </row>
    <row r="210" spans="1:13" ht="15" customHeight="1" x14ac:dyDescent="0.4">
      <c r="A210"/>
      <c r="B210"/>
      <c r="C210"/>
      <c r="D210"/>
      <c r="E210"/>
      <c r="F210"/>
      <c r="G210"/>
      <c r="H210"/>
      <c r="I210"/>
      <c r="J210"/>
      <c r="K210"/>
      <c r="L210"/>
      <c r="M210"/>
    </row>
    <row r="211" spans="1:13" ht="15" customHeight="1" x14ac:dyDescent="0.4">
      <c r="A211"/>
      <c r="B211"/>
      <c r="C211"/>
      <c r="D211"/>
      <c r="E211"/>
      <c r="F211"/>
      <c r="G211"/>
      <c r="H211"/>
      <c r="I211"/>
      <c r="J211"/>
      <c r="K211"/>
      <c r="L211"/>
      <c r="M211"/>
    </row>
    <row r="212" spans="1:13" ht="15" customHeight="1" x14ac:dyDescent="0.4">
      <c r="A212"/>
      <c r="B212"/>
      <c r="C212"/>
      <c r="D212"/>
      <c r="E212"/>
      <c r="F212"/>
      <c r="G212"/>
      <c r="H212"/>
      <c r="I212"/>
      <c r="J212"/>
      <c r="K212"/>
      <c r="L212"/>
      <c r="M212"/>
    </row>
    <row r="213" spans="1:13" ht="15" customHeight="1" x14ac:dyDescent="0.4">
      <c r="A213"/>
      <c r="B213"/>
      <c r="C213"/>
      <c r="D213"/>
      <c r="E213"/>
      <c r="F213"/>
      <c r="G213"/>
      <c r="H213"/>
      <c r="I213"/>
      <c r="J213"/>
      <c r="K213"/>
      <c r="L213"/>
      <c r="M213"/>
    </row>
    <row r="214" spans="1:13" ht="15" customHeight="1" x14ac:dyDescent="0.4">
      <c r="A214"/>
      <c r="B214"/>
      <c r="C214"/>
      <c r="D214"/>
      <c r="E214"/>
      <c r="F214"/>
      <c r="G214"/>
      <c r="H214"/>
      <c r="I214"/>
      <c r="J214"/>
      <c r="K214"/>
      <c r="L214"/>
      <c r="M214"/>
    </row>
    <row r="215" spans="1:13" ht="15" customHeight="1" x14ac:dyDescent="0.4">
      <c r="A215"/>
      <c r="B215"/>
      <c r="C215"/>
      <c r="D215"/>
      <c r="E215"/>
      <c r="F215"/>
      <c r="G215"/>
      <c r="H215"/>
      <c r="I215"/>
      <c r="J215"/>
      <c r="K215"/>
      <c r="L215"/>
      <c r="M215"/>
    </row>
    <row r="216" spans="1:13" ht="15" customHeight="1" x14ac:dyDescent="0.4">
      <c r="A216"/>
      <c r="B216"/>
      <c r="C216"/>
      <c r="D216"/>
      <c r="E216"/>
      <c r="F216"/>
      <c r="G216"/>
      <c r="H216"/>
      <c r="I216"/>
      <c r="J216"/>
      <c r="K216"/>
      <c r="L216"/>
      <c r="M216"/>
    </row>
    <row r="217" spans="1:13" ht="15" customHeight="1" x14ac:dyDescent="0.4">
      <c r="A217"/>
      <c r="B217"/>
      <c r="C217"/>
      <c r="D217"/>
      <c r="E217"/>
      <c r="F217"/>
      <c r="G217"/>
      <c r="H217"/>
      <c r="I217"/>
      <c r="J217"/>
      <c r="K217"/>
      <c r="L217"/>
      <c r="M217"/>
    </row>
    <row r="218" spans="1:13" ht="15" customHeight="1" x14ac:dyDescent="0.4">
      <c r="A218"/>
      <c r="B218"/>
      <c r="C218"/>
      <c r="D218"/>
      <c r="E218"/>
      <c r="F218"/>
      <c r="G218"/>
      <c r="H218"/>
      <c r="I218"/>
      <c r="J218"/>
      <c r="K218"/>
      <c r="L218"/>
      <c r="M218"/>
    </row>
    <row r="219" spans="1:13" ht="15" customHeight="1" x14ac:dyDescent="0.4">
      <c r="A219"/>
      <c r="B219"/>
      <c r="C219"/>
      <c r="D219"/>
      <c r="E219"/>
      <c r="F219"/>
      <c r="G219"/>
      <c r="H219"/>
      <c r="I219"/>
      <c r="J219"/>
      <c r="K219"/>
      <c r="L219"/>
      <c r="M219"/>
    </row>
    <row r="220" spans="1:13" ht="15" customHeight="1" x14ac:dyDescent="0.4">
      <c r="A220"/>
      <c r="B220"/>
      <c r="C220"/>
      <c r="D220"/>
      <c r="E220"/>
      <c r="F220"/>
      <c r="G220"/>
      <c r="H220"/>
      <c r="I220"/>
      <c r="J220"/>
      <c r="K220"/>
      <c r="L220"/>
      <c r="M220"/>
    </row>
    <row r="221" spans="1:13" ht="15" customHeight="1" x14ac:dyDescent="0.4">
      <c r="A221"/>
      <c r="B221"/>
      <c r="C221"/>
      <c r="D221"/>
      <c r="E221"/>
      <c r="F221"/>
      <c r="G221"/>
      <c r="H221"/>
      <c r="I221"/>
      <c r="J221"/>
      <c r="K221"/>
      <c r="L221"/>
      <c r="M221"/>
    </row>
    <row r="222" spans="1:13" ht="15" customHeight="1" x14ac:dyDescent="0.4">
      <c r="A222"/>
      <c r="B222"/>
      <c r="C222"/>
      <c r="D222"/>
      <c r="E222"/>
      <c r="F222"/>
      <c r="G222"/>
      <c r="H222"/>
      <c r="I222"/>
      <c r="J222"/>
      <c r="K222"/>
      <c r="L222"/>
      <c r="M222"/>
    </row>
    <row r="223" spans="1:13" ht="15" customHeight="1" x14ac:dyDescent="0.4">
      <c r="A223"/>
      <c r="B223"/>
      <c r="C223"/>
      <c r="D223"/>
      <c r="E223"/>
      <c r="F223"/>
      <c r="G223"/>
      <c r="H223"/>
      <c r="I223"/>
      <c r="J223"/>
      <c r="K223"/>
      <c r="L223"/>
      <c r="M223"/>
    </row>
    <row r="224" spans="1:13" ht="15" customHeight="1" x14ac:dyDescent="0.4">
      <c r="A224"/>
      <c r="B224"/>
      <c r="C224"/>
      <c r="D224"/>
      <c r="E224"/>
      <c r="F224"/>
      <c r="G224"/>
      <c r="H224"/>
      <c r="I224"/>
      <c r="J224"/>
      <c r="K224"/>
      <c r="L224"/>
      <c r="M224"/>
    </row>
    <row r="225" spans="1:13" ht="15" customHeight="1" x14ac:dyDescent="0.4">
      <c r="A225"/>
      <c r="B225"/>
      <c r="C225"/>
      <c r="D225"/>
      <c r="E225"/>
      <c r="F225"/>
      <c r="G225"/>
      <c r="H225"/>
      <c r="I225"/>
      <c r="J225"/>
      <c r="K225"/>
      <c r="L225"/>
      <c r="M225"/>
    </row>
    <row r="226" spans="1:13" ht="15" customHeight="1" x14ac:dyDescent="0.4">
      <c r="A226"/>
      <c r="B226"/>
      <c r="C226"/>
      <c r="D226"/>
      <c r="E226"/>
      <c r="F226"/>
      <c r="G226"/>
      <c r="H226"/>
      <c r="I226"/>
      <c r="J226"/>
      <c r="K226"/>
      <c r="L226"/>
      <c r="M226"/>
    </row>
    <row r="227" spans="1:13" ht="15" customHeight="1" x14ac:dyDescent="0.4">
      <c r="A227"/>
      <c r="B227"/>
      <c r="C227"/>
      <c r="D227"/>
      <c r="E227"/>
      <c r="F227"/>
      <c r="G227"/>
      <c r="H227"/>
      <c r="I227"/>
      <c r="J227"/>
      <c r="K227"/>
      <c r="L227"/>
      <c r="M227"/>
    </row>
    <row r="228" spans="1:13" ht="15" customHeight="1" x14ac:dyDescent="0.4">
      <c r="A228"/>
      <c r="B228"/>
      <c r="C228"/>
      <c r="D228"/>
      <c r="E228"/>
      <c r="F228"/>
      <c r="G228"/>
      <c r="H228"/>
      <c r="I228"/>
      <c r="J228"/>
      <c r="K228"/>
      <c r="L228"/>
      <c r="M228"/>
    </row>
    <row r="229" spans="1:13" ht="15" customHeight="1" x14ac:dyDescent="0.4">
      <c r="A229"/>
      <c r="B229"/>
      <c r="C229"/>
      <c r="D229"/>
      <c r="E229"/>
      <c r="F229"/>
      <c r="G229"/>
      <c r="H229"/>
      <c r="I229"/>
      <c r="J229"/>
      <c r="K229"/>
      <c r="L229"/>
      <c r="M229"/>
    </row>
    <row r="230" spans="1:13" ht="15" customHeight="1" x14ac:dyDescent="0.4">
      <c r="A230"/>
      <c r="B230"/>
      <c r="C230"/>
      <c r="D230"/>
      <c r="E230"/>
      <c r="F230"/>
      <c r="G230"/>
      <c r="H230"/>
      <c r="I230"/>
      <c r="J230"/>
      <c r="K230"/>
      <c r="L230"/>
      <c r="M230"/>
    </row>
    <row r="231" spans="1:13" ht="15" customHeight="1" x14ac:dyDescent="0.4">
      <c r="A231"/>
      <c r="B231"/>
      <c r="C231"/>
      <c r="D231"/>
      <c r="E231"/>
      <c r="F231"/>
      <c r="G231"/>
      <c r="H231"/>
      <c r="I231"/>
      <c r="J231"/>
      <c r="K231"/>
      <c r="L231"/>
      <c r="M231"/>
    </row>
    <row r="232" spans="1:13" ht="15" customHeight="1" x14ac:dyDescent="0.4">
      <c r="A232"/>
      <c r="B232"/>
      <c r="C232"/>
      <c r="D232"/>
      <c r="E232"/>
      <c r="F232"/>
      <c r="G232"/>
      <c r="H232"/>
      <c r="I232"/>
      <c r="J232"/>
      <c r="K232"/>
      <c r="L232"/>
      <c r="M232"/>
    </row>
    <row r="233" spans="1:13" ht="15" customHeight="1" x14ac:dyDescent="0.4">
      <c r="A233"/>
      <c r="B233"/>
      <c r="C233"/>
      <c r="D233"/>
      <c r="E233"/>
      <c r="F233"/>
      <c r="G233"/>
      <c r="H233"/>
      <c r="I233"/>
      <c r="J233"/>
      <c r="K233"/>
      <c r="L233"/>
      <c r="M233"/>
    </row>
    <row r="234" spans="1:13" ht="15" customHeight="1" x14ac:dyDescent="0.4">
      <c r="A234"/>
      <c r="B234"/>
      <c r="C234"/>
      <c r="D234"/>
      <c r="E234"/>
      <c r="F234"/>
      <c r="G234"/>
      <c r="H234"/>
      <c r="I234"/>
      <c r="J234"/>
      <c r="K234"/>
      <c r="L234"/>
      <c r="M234"/>
    </row>
    <row r="235" spans="1:13" ht="15" customHeight="1" x14ac:dyDescent="0.4">
      <c r="A235"/>
      <c r="B235"/>
      <c r="C235"/>
      <c r="D235"/>
      <c r="E235"/>
      <c r="F235"/>
      <c r="G235"/>
      <c r="H235"/>
      <c r="I235"/>
      <c r="J235"/>
      <c r="K235"/>
      <c r="L235"/>
      <c r="M235"/>
    </row>
    <row r="236" spans="1:13" ht="15" customHeight="1" x14ac:dyDescent="0.4">
      <c r="A236"/>
      <c r="B236"/>
      <c r="C236"/>
      <c r="D236"/>
      <c r="E236"/>
      <c r="F236"/>
      <c r="G236"/>
      <c r="H236"/>
      <c r="I236"/>
      <c r="J236"/>
      <c r="K236"/>
      <c r="L236"/>
      <c r="M236"/>
    </row>
    <row r="237" spans="1:13" ht="15" customHeight="1" x14ac:dyDescent="0.4">
      <c r="A237"/>
      <c r="B237"/>
      <c r="C237"/>
      <c r="D237"/>
      <c r="E237"/>
      <c r="F237"/>
      <c r="G237"/>
      <c r="H237"/>
      <c r="I237"/>
      <c r="J237"/>
      <c r="K237"/>
      <c r="L237"/>
      <c r="M237"/>
    </row>
    <row r="238" spans="1:13" ht="15" customHeight="1" x14ac:dyDescent="0.4">
      <c r="A238"/>
      <c r="B238"/>
      <c r="C238"/>
      <c r="D238"/>
      <c r="E238"/>
      <c r="F238"/>
      <c r="G238"/>
      <c r="H238"/>
      <c r="I238"/>
      <c r="J238"/>
      <c r="K238"/>
      <c r="L238"/>
      <c r="M238"/>
    </row>
    <row r="239" spans="1:13" ht="15" customHeight="1" x14ac:dyDescent="0.4">
      <c r="A239"/>
      <c r="B239"/>
      <c r="C239"/>
      <c r="D239"/>
      <c r="E239"/>
      <c r="F239"/>
      <c r="G239"/>
      <c r="H239"/>
      <c r="I239"/>
      <c r="J239"/>
      <c r="K239"/>
      <c r="L239"/>
      <c r="M239"/>
    </row>
    <row r="240" spans="1:13" ht="15" customHeight="1" x14ac:dyDescent="0.4">
      <c r="A240"/>
      <c r="B240"/>
      <c r="C240"/>
      <c r="D240"/>
      <c r="E240"/>
      <c r="F240"/>
      <c r="G240"/>
      <c r="H240"/>
      <c r="I240"/>
      <c r="J240"/>
      <c r="K240"/>
      <c r="L240"/>
      <c r="M240"/>
    </row>
    <row r="241" spans="1:13" ht="15" customHeight="1" x14ac:dyDescent="0.4">
      <c r="A241"/>
      <c r="B241"/>
      <c r="C241"/>
      <c r="D241"/>
      <c r="E241"/>
      <c r="F241"/>
      <c r="G241"/>
      <c r="H241"/>
      <c r="I241"/>
      <c r="J241"/>
      <c r="K241"/>
      <c r="L241"/>
      <c r="M241"/>
    </row>
    <row r="242" spans="1:13" ht="15" customHeight="1" x14ac:dyDescent="0.4">
      <c r="A242"/>
      <c r="B242"/>
      <c r="C242"/>
      <c r="D242"/>
      <c r="E242"/>
      <c r="F242"/>
      <c r="G242"/>
      <c r="H242"/>
      <c r="I242"/>
      <c r="J242"/>
      <c r="K242"/>
      <c r="L242"/>
      <c r="M242"/>
    </row>
    <row r="243" spans="1:13" ht="15" customHeight="1" x14ac:dyDescent="0.4">
      <c r="A243"/>
      <c r="B243"/>
      <c r="C243"/>
      <c r="D243"/>
      <c r="E243"/>
      <c r="F243"/>
      <c r="G243"/>
      <c r="H243"/>
      <c r="I243"/>
      <c r="J243"/>
      <c r="K243"/>
      <c r="L243"/>
      <c r="M243"/>
    </row>
    <row r="244" spans="1:13" ht="15" customHeight="1" x14ac:dyDescent="0.4">
      <c r="A244"/>
      <c r="B244"/>
      <c r="C244"/>
      <c r="D244"/>
      <c r="E244"/>
      <c r="F244"/>
      <c r="G244"/>
      <c r="H244"/>
      <c r="I244"/>
      <c r="J244"/>
      <c r="K244"/>
      <c r="L244"/>
      <c r="M244"/>
    </row>
    <row r="245" spans="1:13" ht="15" customHeight="1" x14ac:dyDescent="0.4">
      <c r="A245"/>
      <c r="B245"/>
      <c r="C245"/>
      <c r="D245"/>
      <c r="E245"/>
      <c r="F245"/>
      <c r="G245"/>
      <c r="H245"/>
      <c r="I245"/>
      <c r="J245"/>
      <c r="K245"/>
      <c r="L245"/>
      <c r="M245"/>
    </row>
    <row r="246" spans="1:13" ht="15" customHeight="1" x14ac:dyDescent="0.4">
      <c r="A246"/>
      <c r="B246"/>
      <c r="C246"/>
      <c r="D246"/>
      <c r="E246"/>
      <c r="F246"/>
      <c r="G246"/>
      <c r="H246"/>
      <c r="I246"/>
      <c r="J246"/>
      <c r="K246"/>
      <c r="L246"/>
      <c r="M246"/>
    </row>
    <row r="247" spans="1:13" ht="15" customHeight="1" x14ac:dyDescent="0.4">
      <c r="A247"/>
      <c r="B247"/>
      <c r="C247"/>
      <c r="D247"/>
      <c r="E247"/>
      <c r="F247"/>
      <c r="G247"/>
      <c r="H247"/>
      <c r="I247"/>
      <c r="J247"/>
      <c r="K247"/>
      <c r="L247"/>
      <c r="M247"/>
    </row>
    <row r="248" spans="1:13" ht="15" customHeight="1" x14ac:dyDescent="0.4">
      <c r="A248"/>
      <c r="B248"/>
      <c r="C248"/>
      <c r="D248"/>
      <c r="E248"/>
      <c r="F248"/>
      <c r="G248"/>
      <c r="H248"/>
      <c r="I248"/>
      <c r="J248"/>
      <c r="K248"/>
      <c r="L248"/>
      <c r="M248"/>
    </row>
    <row r="249" spans="1:13" ht="15" customHeight="1" x14ac:dyDescent="0.4">
      <c r="A249"/>
      <c r="B249"/>
      <c r="C249"/>
      <c r="D249"/>
      <c r="E249"/>
      <c r="F249"/>
      <c r="G249"/>
      <c r="H249"/>
      <c r="I249"/>
      <c r="J249"/>
      <c r="K249"/>
      <c r="L249"/>
      <c r="M249"/>
    </row>
    <row r="250" spans="1:13" ht="15" customHeight="1" x14ac:dyDescent="0.4">
      <c r="A250"/>
      <c r="B250"/>
      <c r="C250"/>
      <c r="D250"/>
      <c r="E250"/>
      <c r="F250"/>
      <c r="G250"/>
      <c r="H250"/>
      <c r="I250"/>
      <c r="J250"/>
      <c r="K250"/>
      <c r="L250"/>
      <c r="M250"/>
    </row>
    <row r="251" spans="1:13" ht="15" customHeight="1" x14ac:dyDescent="0.4">
      <c r="A251"/>
      <c r="B251"/>
      <c r="C251"/>
      <c r="D251"/>
      <c r="E251"/>
      <c r="F251"/>
      <c r="G251"/>
      <c r="H251"/>
      <c r="I251"/>
      <c r="J251"/>
      <c r="K251"/>
      <c r="L251"/>
      <c r="M251"/>
    </row>
    <row r="252" spans="1:13" ht="15" customHeight="1" x14ac:dyDescent="0.4">
      <c r="A252"/>
      <c r="B252"/>
      <c r="C252"/>
      <c r="D252"/>
      <c r="E252"/>
      <c r="F252"/>
      <c r="G252"/>
      <c r="H252"/>
      <c r="I252"/>
      <c r="J252"/>
      <c r="K252"/>
      <c r="L252"/>
      <c r="M252"/>
    </row>
    <row r="253" spans="1:13" ht="15" customHeight="1" x14ac:dyDescent="0.4">
      <c r="A253"/>
      <c r="B253"/>
      <c r="C253"/>
      <c r="D253"/>
      <c r="E253"/>
      <c r="F253"/>
      <c r="G253"/>
      <c r="H253"/>
      <c r="I253"/>
      <c r="J253"/>
      <c r="K253"/>
      <c r="L253"/>
      <c r="M253"/>
    </row>
    <row r="254" spans="1:13" ht="15" customHeight="1" x14ac:dyDescent="0.4">
      <c r="A254"/>
      <c r="B254"/>
      <c r="C254"/>
      <c r="D254"/>
      <c r="E254"/>
      <c r="F254"/>
      <c r="G254"/>
      <c r="H254"/>
      <c r="I254"/>
      <c r="J254"/>
      <c r="K254"/>
      <c r="L254"/>
      <c r="M254"/>
    </row>
    <row r="255" spans="1:13" ht="15" customHeight="1" x14ac:dyDescent="0.4">
      <c r="A255"/>
      <c r="B255"/>
      <c r="C255"/>
      <c r="D255"/>
      <c r="E255"/>
      <c r="F255"/>
      <c r="G255"/>
      <c r="H255"/>
      <c r="I255"/>
      <c r="J255"/>
      <c r="K255"/>
      <c r="L255"/>
      <c r="M255"/>
    </row>
    <row r="256" spans="1:13" ht="15" customHeight="1" x14ac:dyDescent="0.4">
      <c r="A256"/>
      <c r="B256"/>
      <c r="C256"/>
      <c r="D256"/>
      <c r="E256"/>
      <c r="F256"/>
      <c r="G256"/>
      <c r="H256"/>
      <c r="I256"/>
      <c r="J256"/>
      <c r="K256"/>
      <c r="L256"/>
      <c r="M256"/>
    </row>
    <row r="257" spans="1:13" ht="15" customHeight="1" x14ac:dyDescent="0.4">
      <c r="A257"/>
      <c r="B257"/>
      <c r="C257"/>
      <c r="D257"/>
      <c r="E257"/>
      <c r="F257"/>
      <c r="G257"/>
      <c r="H257"/>
      <c r="I257"/>
      <c r="J257"/>
      <c r="K257"/>
      <c r="L257"/>
      <c r="M257"/>
    </row>
    <row r="258" spans="1:13" ht="15" customHeight="1" x14ac:dyDescent="0.4">
      <c r="A258"/>
      <c r="B258"/>
      <c r="C258"/>
      <c r="D258"/>
      <c r="E258"/>
      <c r="F258"/>
      <c r="G258"/>
      <c r="H258"/>
      <c r="I258"/>
      <c r="J258"/>
      <c r="K258"/>
      <c r="L258"/>
      <c r="M258"/>
    </row>
    <row r="259" spans="1:13" ht="15" customHeight="1" x14ac:dyDescent="0.4">
      <c r="A259"/>
      <c r="B259"/>
      <c r="C259"/>
      <c r="D259"/>
      <c r="E259"/>
      <c r="F259"/>
      <c r="G259"/>
      <c r="H259"/>
      <c r="I259"/>
      <c r="J259"/>
      <c r="K259"/>
      <c r="L259"/>
      <c r="M259"/>
    </row>
    <row r="260" spans="1:13" ht="15" customHeight="1" x14ac:dyDescent="0.4">
      <c r="A260"/>
      <c r="B260"/>
      <c r="C260"/>
      <c r="D260"/>
      <c r="E260"/>
      <c r="F260"/>
      <c r="G260"/>
      <c r="H260"/>
      <c r="I260"/>
      <c r="J260"/>
      <c r="K260"/>
      <c r="L260"/>
      <c r="M260"/>
    </row>
    <row r="261" spans="1:13" ht="15" customHeight="1" x14ac:dyDescent="0.4">
      <c r="A261"/>
      <c r="B261"/>
      <c r="C261"/>
      <c r="D261"/>
      <c r="E261"/>
      <c r="F261"/>
      <c r="G261"/>
      <c r="H261"/>
      <c r="I261"/>
      <c r="J261"/>
      <c r="K261"/>
      <c r="L261"/>
      <c r="M261"/>
    </row>
    <row r="262" spans="1:13" ht="15" customHeight="1" x14ac:dyDescent="0.4">
      <c r="A262"/>
      <c r="B262"/>
      <c r="C262"/>
      <c r="D262"/>
      <c r="E262"/>
      <c r="F262"/>
      <c r="G262"/>
      <c r="H262"/>
      <c r="I262"/>
      <c r="J262"/>
      <c r="K262"/>
      <c r="L262"/>
      <c r="M262"/>
    </row>
    <row r="263" spans="1:13" ht="15" customHeight="1" x14ac:dyDescent="0.4">
      <c r="A263"/>
      <c r="B263"/>
      <c r="C263"/>
      <c r="D263"/>
      <c r="E263"/>
      <c r="F263"/>
      <c r="G263"/>
      <c r="H263"/>
      <c r="I263"/>
      <c r="J263"/>
      <c r="K263"/>
      <c r="L263"/>
      <c r="M263"/>
    </row>
    <row r="264" spans="1:13" ht="15" customHeight="1" x14ac:dyDescent="0.4">
      <c r="A264"/>
      <c r="B264"/>
      <c r="C264"/>
      <c r="D264"/>
      <c r="E264"/>
      <c r="F264"/>
      <c r="G264"/>
      <c r="H264"/>
      <c r="I264"/>
      <c r="J264"/>
      <c r="K264"/>
      <c r="L264"/>
      <c r="M264"/>
    </row>
    <row r="265" spans="1:13" ht="15" customHeight="1" x14ac:dyDescent="0.4">
      <c r="A265"/>
      <c r="B265"/>
      <c r="C265"/>
      <c r="D265"/>
      <c r="E265"/>
      <c r="F265"/>
      <c r="G265"/>
      <c r="H265"/>
      <c r="I265"/>
      <c r="J265"/>
      <c r="K265"/>
      <c r="L265"/>
      <c r="M265"/>
    </row>
    <row r="266" spans="1:13" ht="15" customHeight="1" x14ac:dyDescent="0.4">
      <c r="A266"/>
      <c r="B266"/>
      <c r="C266"/>
      <c r="D266"/>
      <c r="E266"/>
      <c r="F266"/>
      <c r="G266"/>
      <c r="H266"/>
      <c r="I266"/>
      <c r="J266"/>
      <c r="K266"/>
      <c r="L266"/>
      <c r="M266"/>
    </row>
    <row r="267" spans="1:13" ht="15" customHeight="1" x14ac:dyDescent="0.4">
      <c r="A267"/>
      <c r="B267"/>
      <c r="C267"/>
      <c r="D267"/>
      <c r="E267"/>
      <c r="F267"/>
      <c r="G267"/>
      <c r="H267"/>
      <c r="I267"/>
      <c r="J267"/>
      <c r="K267"/>
      <c r="L267"/>
      <c r="M267"/>
    </row>
    <row r="268" spans="1:13" ht="15" customHeight="1" x14ac:dyDescent="0.4">
      <c r="A268"/>
      <c r="B268"/>
      <c r="C268"/>
      <c r="D268"/>
      <c r="E268"/>
      <c r="F268"/>
      <c r="G268"/>
      <c r="H268"/>
      <c r="I268"/>
      <c r="J268"/>
      <c r="K268"/>
      <c r="L268"/>
      <c r="M268"/>
    </row>
    <row r="269" spans="1:13" ht="15" customHeight="1" x14ac:dyDescent="0.4">
      <c r="A269"/>
      <c r="B269"/>
      <c r="C269"/>
      <c r="D269"/>
      <c r="E269"/>
      <c r="F269"/>
      <c r="G269"/>
      <c r="H269"/>
      <c r="I269"/>
      <c r="J269"/>
      <c r="K269"/>
      <c r="L269"/>
      <c r="M269"/>
    </row>
    <row r="270" spans="1:13" ht="15" customHeight="1" x14ac:dyDescent="0.4">
      <c r="A270"/>
      <c r="B270"/>
      <c r="C270"/>
      <c r="D270"/>
      <c r="E270"/>
      <c r="F270"/>
      <c r="G270"/>
      <c r="H270"/>
      <c r="I270"/>
      <c r="J270"/>
      <c r="K270"/>
      <c r="L270"/>
      <c r="M270"/>
    </row>
    <row r="271" spans="1:13" ht="15" customHeight="1" x14ac:dyDescent="0.4">
      <c r="A271"/>
      <c r="B271"/>
      <c r="C271"/>
      <c r="D271"/>
      <c r="E271"/>
      <c r="F271"/>
      <c r="G271"/>
      <c r="H271"/>
      <c r="I271"/>
      <c r="J271"/>
      <c r="K271"/>
      <c r="L271"/>
      <c r="M271"/>
    </row>
    <row r="272" spans="1:13" ht="15" customHeight="1" x14ac:dyDescent="0.4">
      <c r="A272"/>
      <c r="B272"/>
      <c r="C272"/>
      <c r="D272"/>
      <c r="E272"/>
      <c r="F272"/>
      <c r="G272"/>
      <c r="H272"/>
      <c r="I272"/>
      <c r="J272"/>
      <c r="K272"/>
      <c r="L272"/>
      <c r="M272"/>
    </row>
    <row r="273" spans="1:13" ht="15" customHeight="1" x14ac:dyDescent="0.4">
      <c r="A273"/>
      <c r="B273"/>
      <c r="C273"/>
      <c r="D273"/>
      <c r="E273"/>
      <c r="F273"/>
      <c r="G273"/>
      <c r="H273"/>
      <c r="I273"/>
      <c r="J273"/>
      <c r="K273"/>
      <c r="L273"/>
      <c r="M273"/>
    </row>
    <row r="274" spans="1:13" ht="15" customHeight="1" x14ac:dyDescent="0.4">
      <c r="A274"/>
      <c r="B274"/>
      <c r="C274"/>
      <c r="D274"/>
      <c r="E274"/>
      <c r="F274"/>
      <c r="G274"/>
      <c r="H274"/>
      <c r="I274"/>
      <c r="J274"/>
      <c r="K274"/>
      <c r="L274"/>
      <c r="M274"/>
    </row>
    <row r="275" spans="1:13" ht="15" customHeight="1" x14ac:dyDescent="0.4">
      <c r="A275"/>
      <c r="B275"/>
      <c r="C275"/>
      <c r="D275"/>
      <c r="E275"/>
      <c r="F275"/>
      <c r="G275"/>
      <c r="H275"/>
      <c r="I275"/>
      <c r="J275"/>
      <c r="K275"/>
      <c r="L275"/>
      <c r="M275"/>
    </row>
    <row r="276" spans="1:13" ht="15" customHeight="1" x14ac:dyDescent="0.4">
      <c r="A276"/>
      <c r="B276"/>
      <c r="C276"/>
      <c r="D276"/>
      <c r="E276"/>
      <c r="F276"/>
      <c r="G276"/>
      <c r="H276"/>
      <c r="I276"/>
      <c r="J276"/>
      <c r="K276"/>
      <c r="L276"/>
      <c r="M276"/>
    </row>
    <row r="277" spans="1:13" ht="15" customHeight="1" x14ac:dyDescent="0.4">
      <c r="A277"/>
      <c r="B277"/>
      <c r="C277"/>
      <c r="D277"/>
      <c r="E277"/>
      <c r="F277"/>
      <c r="G277"/>
      <c r="H277"/>
      <c r="I277"/>
      <c r="J277"/>
      <c r="K277"/>
      <c r="L277"/>
      <c r="M277"/>
    </row>
    <row r="278" spans="1:13" ht="15" customHeight="1" x14ac:dyDescent="0.4">
      <c r="A278"/>
      <c r="B278"/>
      <c r="C278"/>
      <c r="D278"/>
      <c r="E278"/>
      <c r="F278"/>
      <c r="G278"/>
      <c r="H278"/>
      <c r="I278"/>
      <c r="J278"/>
      <c r="K278"/>
      <c r="L278"/>
      <c r="M278"/>
    </row>
    <row r="279" spans="1:13" ht="15" customHeight="1" x14ac:dyDescent="0.4">
      <c r="A279"/>
      <c r="B279"/>
      <c r="C279"/>
      <c r="D279"/>
      <c r="E279"/>
      <c r="F279"/>
      <c r="G279"/>
      <c r="H279"/>
      <c r="I279"/>
      <c r="J279"/>
      <c r="K279"/>
      <c r="L279"/>
      <c r="M279"/>
    </row>
    <row r="280" spans="1:13" ht="15" customHeight="1" x14ac:dyDescent="0.4">
      <c r="A280"/>
      <c r="B280"/>
      <c r="C280"/>
      <c r="D280"/>
      <c r="E280"/>
      <c r="F280"/>
      <c r="G280"/>
      <c r="H280"/>
      <c r="I280"/>
      <c r="J280"/>
      <c r="K280"/>
      <c r="L280"/>
      <c r="M280"/>
    </row>
    <row r="281" spans="1:13" ht="15" customHeight="1" x14ac:dyDescent="0.4">
      <c r="A281"/>
      <c r="B281"/>
      <c r="C281"/>
      <c r="D281"/>
      <c r="E281"/>
      <c r="F281"/>
      <c r="G281"/>
      <c r="H281"/>
      <c r="I281"/>
      <c r="J281"/>
      <c r="K281"/>
      <c r="L281"/>
      <c r="M281"/>
    </row>
    <row r="282" spans="1:13" ht="15" customHeight="1" x14ac:dyDescent="0.4">
      <c r="A282"/>
      <c r="B282"/>
      <c r="C282"/>
      <c r="D282"/>
      <c r="E282"/>
      <c r="F282"/>
      <c r="G282"/>
      <c r="H282"/>
      <c r="I282"/>
      <c r="J282"/>
      <c r="K282"/>
      <c r="L282"/>
      <c r="M282"/>
    </row>
    <row r="283" spans="1:13" ht="15" customHeight="1" x14ac:dyDescent="0.4">
      <c r="A283"/>
      <c r="B283"/>
      <c r="C283"/>
      <c r="D283"/>
      <c r="E283"/>
      <c r="F283"/>
      <c r="G283"/>
      <c r="H283"/>
      <c r="I283"/>
      <c r="J283"/>
      <c r="K283"/>
      <c r="L283"/>
      <c r="M283"/>
    </row>
    <row r="284" spans="1:13" ht="15" customHeight="1" x14ac:dyDescent="0.4">
      <c r="A284"/>
      <c r="B284"/>
      <c r="C284"/>
      <c r="D284"/>
      <c r="E284"/>
      <c r="F284"/>
      <c r="G284"/>
      <c r="H284"/>
      <c r="I284"/>
      <c r="J284"/>
      <c r="K284"/>
      <c r="L284"/>
      <c r="M284"/>
    </row>
    <row r="285" spans="1:13" ht="15" customHeight="1" x14ac:dyDescent="0.4">
      <c r="A285"/>
      <c r="B285"/>
      <c r="C285"/>
      <c r="D285"/>
      <c r="E285"/>
      <c r="F285"/>
      <c r="G285"/>
      <c r="H285"/>
      <c r="I285"/>
      <c r="J285"/>
      <c r="K285"/>
      <c r="L285"/>
      <c r="M285"/>
    </row>
    <row r="286" spans="1:13" ht="15" customHeight="1" x14ac:dyDescent="0.4">
      <c r="A286"/>
      <c r="B286"/>
      <c r="C286"/>
      <c r="D286"/>
      <c r="E286"/>
      <c r="F286"/>
      <c r="G286"/>
      <c r="H286"/>
      <c r="I286"/>
      <c r="J286"/>
      <c r="K286"/>
      <c r="L286"/>
      <c r="M286"/>
    </row>
    <row r="287" spans="1:13" ht="15" customHeight="1" x14ac:dyDescent="0.4">
      <c r="A287"/>
      <c r="B287"/>
      <c r="C287"/>
      <c r="D287"/>
      <c r="E287"/>
      <c r="F287"/>
      <c r="G287"/>
      <c r="H287"/>
      <c r="I287"/>
      <c r="J287"/>
      <c r="K287"/>
      <c r="L287"/>
      <c r="M287"/>
    </row>
    <row r="288" spans="1:13" ht="15" customHeight="1" x14ac:dyDescent="0.4">
      <c r="A288"/>
      <c r="B288"/>
      <c r="C288"/>
      <c r="D288"/>
      <c r="E288"/>
      <c r="F288"/>
      <c r="G288"/>
      <c r="H288"/>
      <c r="I288"/>
      <c r="J288"/>
      <c r="K288"/>
      <c r="L288"/>
      <c r="M288"/>
    </row>
    <row r="289" spans="1:13" ht="15" customHeight="1" x14ac:dyDescent="0.4">
      <c r="A289"/>
      <c r="B289"/>
      <c r="C289"/>
      <c r="D289"/>
      <c r="E289"/>
      <c r="F289"/>
      <c r="G289"/>
      <c r="H289"/>
      <c r="I289"/>
      <c r="J289"/>
      <c r="K289"/>
      <c r="L289"/>
      <c r="M289"/>
    </row>
    <row r="290" spans="1:13" ht="15" customHeight="1" x14ac:dyDescent="0.4">
      <c r="A290"/>
      <c r="B290"/>
      <c r="C290"/>
      <c r="D290"/>
      <c r="E290"/>
      <c r="F290"/>
      <c r="G290"/>
      <c r="H290"/>
      <c r="I290"/>
      <c r="J290"/>
      <c r="K290"/>
      <c r="L290"/>
      <c r="M290"/>
    </row>
    <row r="291" spans="1:13" ht="15" customHeight="1" x14ac:dyDescent="0.4">
      <c r="A291"/>
      <c r="B291"/>
      <c r="C291"/>
      <c r="D291"/>
      <c r="E291"/>
      <c r="F291"/>
      <c r="G291"/>
      <c r="H291"/>
      <c r="I291"/>
      <c r="J291"/>
      <c r="K291"/>
      <c r="L291"/>
      <c r="M291"/>
    </row>
    <row r="292" spans="1:13" ht="15" customHeight="1" x14ac:dyDescent="0.4">
      <c r="A292"/>
      <c r="B292"/>
      <c r="C292"/>
      <c r="D292"/>
      <c r="E292"/>
      <c r="F292"/>
      <c r="G292"/>
      <c r="H292"/>
      <c r="I292"/>
      <c r="J292"/>
      <c r="K292"/>
      <c r="L292"/>
      <c r="M292"/>
    </row>
    <row r="293" spans="1:13" ht="15" customHeight="1" x14ac:dyDescent="0.4">
      <c r="A293"/>
      <c r="B293"/>
      <c r="C293"/>
      <c r="D293"/>
      <c r="E293"/>
      <c r="F293"/>
      <c r="G293"/>
      <c r="H293"/>
      <c r="I293"/>
      <c r="J293"/>
      <c r="K293"/>
      <c r="L293"/>
      <c r="M293"/>
    </row>
    <row r="294" spans="1:13" ht="15" customHeight="1" x14ac:dyDescent="0.4">
      <c r="A294"/>
      <c r="B294"/>
      <c r="C294"/>
      <c r="D294"/>
      <c r="E294"/>
      <c r="F294"/>
      <c r="G294"/>
      <c r="H294"/>
      <c r="I294"/>
      <c r="J294"/>
      <c r="K294"/>
      <c r="L294"/>
      <c r="M294"/>
    </row>
    <row r="295" spans="1:13" ht="15" customHeight="1" x14ac:dyDescent="0.4">
      <c r="A295"/>
      <c r="B295"/>
      <c r="C295"/>
      <c r="D295"/>
      <c r="E295"/>
      <c r="F295"/>
      <c r="G295"/>
      <c r="H295"/>
      <c r="I295"/>
      <c r="J295"/>
      <c r="K295"/>
      <c r="L295"/>
      <c r="M295"/>
    </row>
    <row r="296" spans="1:13" ht="15" customHeight="1" x14ac:dyDescent="0.4">
      <c r="A296"/>
      <c r="B296"/>
      <c r="C296"/>
      <c r="D296"/>
      <c r="E296"/>
      <c r="F296"/>
      <c r="G296"/>
      <c r="H296"/>
      <c r="I296"/>
      <c r="J296"/>
      <c r="K296"/>
      <c r="L296"/>
      <c r="M296"/>
    </row>
    <row r="297" spans="1:13" ht="15" customHeight="1" x14ac:dyDescent="0.4">
      <c r="A297"/>
      <c r="B297"/>
      <c r="C297"/>
      <c r="D297"/>
      <c r="E297"/>
      <c r="F297"/>
      <c r="G297"/>
      <c r="H297"/>
      <c r="I297"/>
      <c r="J297"/>
      <c r="K297"/>
      <c r="L297"/>
      <c r="M297"/>
    </row>
    <row r="298" spans="1:13" ht="15" customHeight="1" x14ac:dyDescent="0.4">
      <c r="A298"/>
      <c r="B298"/>
      <c r="C298"/>
      <c r="D298"/>
      <c r="E298"/>
      <c r="F298"/>
      <c r="G298"/>
      <c r="H298"/>
      <c r="I298"/>
      <c r="J298"/>
      <c r="K298"/>
      <c r="L298"/>
      <c r="M298"/>
    </row>
    <row r="299" spans="1:13" ht="15" customHeight="1" x14ac:dyDescent="0.4">
      <c r="A299"/>
      <c r="B299"/>
      <c r="C299"/>
      <c r="D299"/>
      <c r="E299"/>
      <c r="F299"/>
      <c r="G299"/>
      <c r="H299"/>
      <c r="I299"/>
      <c r="J299"/>
      <c r="K299"/>
      <c r="L299"/>
      <c r="M299"/>
    </row>
    <row r="300" spans="1:13" ht="15" customHeight="1" x14ac:dyDescent="0.4">
      <c r="A300"/>
      <c r="B300"/>
      <c r="C300"/>
      <c r="D300"/>
      <c r="E300"/>
      <c r="F300"/>
      <c r="G300"/>
      <c r="H300"/>
      <c r="I300"/>
      <c r="J300"/>
      <c r="K300"/>
      <c r="L300"/>
      <c r="M300"/>
    </row>
    <row r="301" spans="1:13" ht="15" customHeight="1" x14ac:dyDescent="0.4">
      <c r="A301"/>
      <c r="B301"/>
      <c r="C301"/>
      <c r="D301"/>
      <c r="E301"/>
      <c r="F301"/>
      <c r="G301"/>
      <c r="H301"/>
      <c r="I301"/>
      <c r="J301"/>
      <c r="K301"/>
      <c r="L301"/>
      <c r="M301"/>
    </row>
    <row r="302" spans="1:13" ht="15" customHeight="1" x14ac:dyDescent="0.4">
      <c r="A302"/>
      <c r="B302"/>
      <c r="C302"/>
      <c r="D302"/>
      <c r="E302"/>
      <c r="F302"/>
      <c r="G302"/>
      <c r="H302"/>
      <c r="I302"/>
      <c r="J302"/>
      <c r="K302"/>
      <c r="L302"/>
      <c r="M302"/>
    </row>
    <row r="303" spans="1:13" ht="15" customHeight="1" x14ac:dyDescent="0.4">
      <c r="A303"/>
      <c r="B303"/>
      <c r="C303"/>
      <c r="D303"/>
      <c r="E303"/>
      <c r="F303"/>
      <c r="G303"/>
      <c r="H303"/>
      <c r="I303"/>
      <c r="J303"/>
      <c r="K303"/>
      <c r="L303"/>
      <c r="M303"/>
    </row>
    <row r="304" spans="1:13" ht="15" customHeight="1" x14ac:dyDescent="0.4">
      <c r="A304"/>
      <c r="B304"/>
      <c r="C304"/>
      <c r="D304"/>
      <c r="E304"/>
      <c r="F304"/>
      <c r="G304"/>
      <c r="H304"/>
      <c r="I304"/>
      <c r="J304"/>
      <c r="K304"/>
      <c r="L304"/>
      <c r="M304"/>
    </row>
    <row r="305" spans="1:13" ht="15" customHeight="1" x14ac:dyDescent="0.4">
      <c r="A305"/>
      <c r="B305"/>
      <c r="C305"/>
      <c r="D305"/>
      <c r="E305"/>
      <c r="F305"/>
      <c r="G305"/>
      <c r="H305"/>
      <c r="I305"/>
      <c r="J305"/>
      <c r="K305"/>
      <c r="L305"/>
      <c r="M305"/>
    </row>
    <row r="306" spans="1:13" ht="15" customHeight="1" x14ac:dyDescent="0.4">
      <c r="A306"/>
      <c r="B306"/>
      <c r="C306"/>
      <c r="D306"/>
      <c r="E306"/>
      <c r="F306"/>
      <c r="G306"/>
      <c r="H306"/>
      <c r="I306"/>
      <c r="J306"/>
      <c r="K306"/>
      <c r="L306"/>
      <c r="M306"/>
    </row>
    <row r="307" spans="1:13" ht="15" customHeight="1" x14ac:dyDescent="0.4">
      <c r="A307"/>
      <c r="B307"/>
      <c r="C307"/>
      <c r="D307"/>
      <c r="E307"/>
      <c r="F307"/>
      <c r="G307"/>
      <c r="H307"/>
      <c r="I307"/>
      <c r="J307"/>
      <c r="K307"/>
      <c r="L307"/>
      <c r="M307"/>
    </row>
    <row r="308" spans="1:13" ht="15" customHeight="1" x14ac:dyDescent="0.4">
      <c r="A308"/>
      <c r="B308"/>
      <c r="C308"/>
      <c r="D308"/>
      <c r="E308"/>
      <c r="F308"/>
      <c r="G308"/>
      <c r="H308"/>
      <c r="I308"/>
      <c r="J308"/>
      <c r="K308"/>
      <c r="L308"/>
      <c r="M308"/>
    </row>
    <row r="309" spans="1:13" ht="15" customHeight="1" x14ac:dyDescent="0.4">
      <c r="A309"/>
      <c r="B309"/>
      <c r="C309"/>
      <c r="D309"/>
      <c r="E309"/>
      <c r="F309"/>
      <c r="G309"/>
      <c r="H309"/>
      <c r="I309"/>
      <c r="J309"/>
      <c r="K309"/>
      <c r="L309"/>
      <c r="M309"/>
    </row>
    <row r="310" spans="1:13" ht="15" customHeight="1" x14ac:dyDescent="0.4">
      <c r="A310"/>
      <c r="B310"/>
      <c r="C310"/>
      <c r="D310"/>
      <c r="E310"/>
      <c r="F310"/>
      <c r="G310"/>
      <c r="H310"/>
      <c r="I310"/>
      <c r="J310"/>
      <c r="K310"/>
      <c r="L310"/>
      <c r="M310"/>
    </row>
    <row r="311" spans="1:13" ht="15" customHeight="1" x14ac:dyDescent="0.4">
      <c r="A311"/>
      <c r="B311"/>
      <c r="C311"/>
      <c r="D311"/>
      <c r="E311"/>
      <c r="F311"/>
      <c r="G311"/>
      <c r="H311"/>
      <c r="I311"/>
      <c r="J311"/>
      <c r="K311"/>
      <c r="L311"/>
      <c r="M311"/>
    </row>
    <row r="312" spans="1:13" ht="15" customHeight="1" x14ac:dyDescent="0.4">
      <c r="A312"/>
      <c r="B312"/>
      <c r="C312"/>
      <c r="D312"/>
      <c r="E312"/>
      <c r="F312"/>
      <c r="G312"/>
      <c r="H312"/>
      <c r="I312"/>
      <c r="J312"/>
      <c r="K312"/>
      <c r="L312"/>
      <c r="M312"/>
    </row>
    <row r="313" spans="1:13" ht="15" customHeight="1" x14ac:dyDescent="0.4">
      <c r="A313"/>
      <c r="B313"/>
      <c r="C313"/>
      <c r="D313"/>
      <c r="E313"/>
      <c r="F313"/>
      <c r="G313"/>
      <c r="H313"/>
      <c r="I313"/>
      <c r="J313"/>
      <c r="K313"/>
      <c r="L313"/>
      <c r="M313"/>
    </row>
    <row r="314" spans="1:13" ht="15" customHeight="1" x14ac:dyDescent="0.4">
      <c r="A314"/>
      <c r="B314"/>
      <c r="C314"/>
      <c r="D314"/>
      <c r="E314"/>
      <c r="F314"/>
      <c r="G314"/>
      <c r="H314"/>
      <c r="I314"/>
      <c r="J314"/>
      <c r="K314"/>
      <c r="L314"/>
      <c r="M314"/>
    </row>
    <row r="315" spans="1:13" ht="15" customHeight="1" x14ac:dyDescent="0.4">
      <c r="A315"/>
      <c r="B315"/>
      <c r="C315"/>
      <c r="D315"/>
      <c r="E315"/>
      <c r="F315"/>
      <c r="G315"/>
      <c r="H315"/>
      <c r="I315"/>
      <c r="J315"/>
      <c r="K315"/>
      <c r="L315"/>
      <c r="M315"/>
    </row>
    <row r="316" spans="1:13" ht="15" customHeight="1" x14ac:dyDescent="0.4">
      <c r="A316"/>
      <c r="B316"/>
      <c r="C316"/>
      <c r="D316"/>
      <c r="E316"/>
      <c r="F316"/>
      <c r="G316"/>
      <c r="H316"/>
      <c r="I316"/>
      <c r="J316"/>
      <c r="K316"/>
      <c r="L316"/>
      <c r="M316"/>
    </row>
    <row r="317" spans="1:13" ht="15" customHeight="1" x14ac:dyDescent="0.4">
      <c r="A317"/>
      <c r="B317"/>
      <c r="C317"/>
      <c r="D317"/>
      <c r="E317"/>
      <c r="F317"/>
      <c r="G317"/>
      <c r="H317"/>
      <c r="I317"/>
      <c r="J317"/>
      <c r="K317"/>
      <c r="L317"/>
      <c r="M317"/>
    </row>
    <row r="318" spans="1:13" ht="15" customHeight="1" x14ac:dyDescent="0.4">
      <c r="A318"/>
      <c r="B318"/>
      <c r="C318"/>
      <c r="D318"/>
      <c r="E318"/>
      <c r="F318"/>
      <c r="G318"/>
      <c r="H318"/>
      <c r="I318"/>
      <c r="J318"/>
      <c r="K318"/>
      <c r="L318"/>
      <c r="M318"/>
    </row>
    <row r="319" spans="1:13" ht="15" customHeight="1" x14ac:dyDescent="0.4">
      <c r="A319"/>
      <c r="B319"/>
      <c r="C319"/>
      <c r="D319"/>
      <c r="E319"/>
      <c r="F319"/>
      <c r="G319"/>
      <c r="H319"/>
      <c r="I319"/>
      <c r="J319"/>
      <c r="K319"/>
      <c r="L319"/>
      <c r="M319"/>
    </row>
    <row r="320" spans="1:13" ht="15" customHeight="1" x14ac:dyDescent="0.4">
      <c r="A320"/>
      <c r="B320"/>
      <c r="C320"/>
      <c r="D320"/>
      <c r="E320"/>
      <c r="F320"/>
      <c r="G320"/>
      <c r="H320"/>
      <c r="I320"/>
      <c r="J320"/>
      <c r="K320"/>
      <c r="L320"/>
      <c r="M320"/>
    </row>
    <row r="321" spans="1:13" ht="15" customHeight="1" x14ac:dyDescent="0.4">
      <c r="A321"/>
      <c r="B321"/>
      <c r="C321"/>
      <c r="D321"/>
      <c r="E321"/>
      <c r="F321"/>
      <c r="G321"/>
      <c r="H321"/>
      <c r="I321"/>
      <c r="J321"/>
      <c r="K321"/>
      <c r="L321"/>
      <c r="M321"/>
    </row>
    <row r="322" spans="1:13" ht="15" customHeight="1" x14ac:dyDescent="0.4">
      <c r="A322"/>
      <c r="B322"/>
      <c r="C322"/>
      <c r="D322"/>
      <c r="E322"/>
      <c r="F322"/>
      <c r="G322"/>
      <c r="H322"/>
      <c r="I322"/>
      <c r="J322"/>
      <c r="K322"/>
      <c r="L322"/>
      <c r="M322"/>
    </row>
    <row r="323" spans="1:13" ht="15" customHeight="1" x14ac:dyDescent="0.4">
      <c r="A323"/>
      <c r="B323"/>
      <c r="C323"/>
      <c r="D323"/>
      <c r="E323"/>
      <c r="F323"/>
      <c r="G323"/>
      <c r="H323"/>
      <c r="I323"/>
      <c r="J323"/>
      <c r="K323"/>
      <c r="L323"/>
      <c r="M323"/>
    </row>
    <row r="324" spans="1:13" ht="15" customHeight="1" x14ac:dyDescent="0.4">
      <c r="A324"/>
      <c r="B324"/>
      <c r="C324"/>
      <c r="D324"/>
      <c r="E324"/>
      <c r="F324"/>
      <c r="G324"/>
      <c r="H324"/>
      <c r="I324"/>
      <c r="J324"/>
      <c r="K324"/>
      <c r="L324"/>
      <c r="M324"/>
    </row>
    <row r="325" spans="1:13" ht="15" customHeight="1" x14ac:dyDescent="0.4">
      <c r="A325"/>
      <c r="B325"/>
      <c r="C325"/>
      <c r="D325"/>
      <c r="E325"/>
      <c r="F325"/>
      <c r="G325"/>
      <c r="H325"/>
      <c r="I325"/>
      <c r="J325"/>
      <c r="K325"/>
      <c r="L325"/>
      <c r="M325"/>
    </row>
    <row r="326" spans="1:13" ht="15" customHeight="1" x14ac:dyDescent="0.4">
      <c r="A326"/>
      <c r="B326"/>
      <c r="C326"/>
      <c r="D326"/>
      <c r="E326"/>
      <c r="F326"/>
      <c r="G326"/>
      <c r="H326"/>
      <c r="I326"/>
      <c r="J326"/>
      <c r="K326"/>
      <c r="L326"/>
      <c r="M326"/>
    </row>
    <row r="327" spans="1:13" ht="15" customHeight="1" x14ac:dyDescent="0.4">
      <c r="A327"/>
      <c r="B327"/>
      <c r="C327"/>
      <c r="D327"/>
      <c r="E327"/>
      <c r="F327"/>
      <c r="G327"/>
      <c r="H327"/>
      <c r="I327"/>
      <c r="J327"/>
      <c r="K327"/>
      <c r="L327"/>
      <c r="M327"/>
    </row>
    <row r="328" spans="1:13" ht="15" customHeight="1" x14ac:dyDescent="0.4">
      <c r="A328"/>
      <c r="B328"/>
      <c r="C328"/>
      <c r="D328"/>
      <c r="E328"/>
      <c r="F328"/>
      <c r="G328"/>
      <c r="H328"/>
      <c r="I328"/>
      <c r="J328"/>
      <c r="K328"/>
      <c r="L328"/>
      <c r="M328"/>
    </row>
    <row r="329" spans="1:13" ht="15" customHeight="1" x14ac:dyDescent="0.4">
      <c r="A329"/>
      <c r="B329"/>
      <c r="C329"/>
      <c r="D329"/>
      <c r="E329"/>
      <c r="F329"/>
      <c r="G329"/>
      <c r="H329"/>
      <c r="I329"/>
      <c r="J329"/>
      <c r="K329"/>
      <c r="L329"/>
      <c r="M329"/>
    </row>
    <row r="330" spans="1:13" ht="15" customHeight="1" x14ac:dyDescent="0.4">
      <c r="A330"/>
      <c r="B330"/>
      <c r="C330"/>
      <c r="D330"/>
      <c r="E330"/>
      <c r="F330"/>
      <c r="G330"/>
      <c r="H330"/>
      <c r="I330"/>
      <c r="J330"/>
      <c r="K330"/>
      <c r="L330"/>
      <c r="M330"/>
    </row>
    <row r="331" spans="1:13" ht="15" customHeight="1" x14ac:dyDescent="0.4">
      <c r="A331"/>
      <c r="B331"/>
      <c r="C331"/>
      <c r="D331"/>
      <c r="E331"/>
      <c r="F331"/>
      <c r="G331"/>
      <c r="H331"/>
      <c r="I331"/>
      <c r="J331"/>
      <c r="K331"/>
      <c r="L331"/>
      <c r="M331"/>
    </row>
    <row r="332" spans="1:13" ht="15" customHeight="1" x14ac:dyDescent="0.4">
      <c r="A332"/>
      <c r="B332"/>
      <c r="C332"/>
      <c r="D332"/>
      <c r="E332"/>
      <c r="F332"/>
      <c r="G332"/>
      <c r="H332"/>
      <c r="I332"/>
      <c r="J332"/>
      <c r="K332"/>
      <c r="L332"/>
      <c r="M332"/>
    </row>
    <row r="333" spans="1:13" ht="15" customHeight="1" x14ac:dyDescent="0.4">
      <c r="A333"/>
      <c r="B333"/>
      <c r="C333"/>
      <c r="D333"/>
      <c r="E333"/>
      <c r="F333"/>
      <c r="G333"/>
      <c r="H333"/>
      <c r="I333"/>
      <c r="J333"/>
      <c r="K333"/>
      <c r="L333"/>
      <c r="M333"/>
    </row>
    <row r="334" spans="1:13" ht="15" customHeight="1" x14ac:dyDescent="0.4">
      <c r="A334"/>
      <c r="B334"/>
      <c r="C334"/>
      <c r="D334"/>
      <c r="E334"/>
      <c r="F334"/>
      <c r="G334"/>
      <c r="H334"/>
      <c r="I334"/>
      <c r="J334"/>
      <c r="K334"/>
      <c r="L334"/>
      <c r="M334"/>
    </row>
    <row r="335" spans="1:13" ht="15" customHeight="1" x14ac:dyDescent="0.4">
      <c r="A335"/>
      <c r="B335"/>
      <c r="C335"/>
      <c r="D335"/>
      <c r="E335"/>
      <c r="F335"/>
      <c r="G335"/>
      <c r="H335"/>
      <c r="I335"/>
      <c r="J335"/>
      <c r="K335"/>
      <c r="L335"/>
      <c r="M335"/>
    </row>
    <row r="336" spans="1:13" ht="15" customHeight="1" x14ac:dyDescent="0.4">
      <c r="A336"/>
      <c r="B336"/>
      <c r="C336"/>
      <c r="D336"/>
      <c r="E336"/>
      <c r="F336"/>
      <c r="G336"/>
      <c r="H336"/>
      <c r="I336"/>
      <c r="J336"/>
      <c r="K336"/>
      <c r="L336"/>
      <c r="M336"/>
    </row>
    <row r="337" spans="1:13" ht="15" customHeight="1" x14ac:dyDescent="0.4">
      <c r="A337"/>
      <c r="B337"/>
      <c r="C337"/>
      <c r="D337"/>
      <c r="E337"/>
      <c r="F337"/>
      <c r="G337"/>
      <c r="H337"/>
      <c r="I337"/>
      <c r="J337"/>
      <c r="K337"/>
      <c r="L337"/>
      <c r="M337"/>
    </row>
    <row r="338" spans="1:13" ht="15" customHeight="1" x14ac:dyDescent="0.4">
      <c r="A338"/>
      <c r="B338"/>
      <c r="C338"/>
      <c r="D338"/>
      <c r="E338"/>
      <c r="F338"/>
      <c r="G338"/>
      <c r="H338"/>
      <c r="I338"/>
      <c r="J338"/>
      <c r="K338"/>
      <c r="L338"/>
      <c r="M338"/>
    </row>
    <row r="339" spans="1:13" ht="15" customHeight="1" x14ac:dyDescent="0.4">
      <c r="A339"/>
      <c r="B339"/>
      <c r="C339"/>
      <c r="D339"/>
      <c r="E339"/>
      <c r="F339"/>
      <c r="G339"/>
      <c r="H339"/>
      <c r="I339"/>
      <c r="J339"/>
      <c r="K339"/>
      <c r="L339"/>
      <c r="M339"/>
    </row>
    <row r="340" spans="1:13" ht="15" customHeight="1" x14ac:dyDescent="0.4">
      <c r="A340"/>
      <c r="B340"/>
      <c r="C340"/>
      <c r="D340"/>
      <c r="E340"/>
      <c r="F340"/>
      <c r="G340"/>
      <c r="H340"/>
      <c r="I340"/>
      <c r="J340"/>
      <c r="K340"/>
      <c r="L340"/>
      <c r="M340"/>
    </row>
    <row r="341" spans="1:13" ht="15" customHeight="1" x14ac:dyDescent="0.4">
      <c r="A341"/>
      <c r="B341"/>
      <c r="C341"/>
      <c r="D341"/>
      <c r="E341"/>
      <c r="F341"/>
      <c r="G341"/>
      <c r="H341"/>
      <c r="I341"/>
      <c r="J341"/>
      <c r="K341"/>
      <c r="L341"/>
      <c r="M341"/>
    </row>
    <row r="342" spans="1:13" ht="15" customHeight="1" x14ac:dyDescent="0.4">
      <c r="A342"/>
      <c r="B342"/>
      <c r="C342"/>
      <c r="D342"/>
      <c r="E342"/>
      <c r="F342"/>
      <c r="G342"/>
      <c r="H342"/>
      <c r="I342"/>
      <c r="J342"/>
      <c r="K342"/>
      <c r="L342"/>
      <c r="M342"/>
    </row>
    <row r="343" spans="1:13" ht="15" customHeight="1" x14ac:dyDescent="0.4">
      <c r="A343"/>
      <c r="B343"/>
      <c r="C343"/>
      <c r="D343"/>
      <c r="E343"/>
      <c r="F343"/>
      <c r="G343"/>
      <c r="H343"/>
      <c r="I343"/>
      <c r="J343"/>
      <c r="K343"/>
      <c r="L343"/>
      <c r="M343"/>
    </row>
    <row r="344" spans="1:13" ht="15" customHeight="1" x14ac:dyDescent="0.4">
      <c r="A344"/>
      <c r="B344"/>
      <c r="C344"/>
      <c r="D344"/>
      <c r="E344"/>
      <c r="F344"/>
      <c r="G344"/>
      <c r="H344"/>
      <c r="I344"/>
      <c r="J344"/>
      <c r="K344"/>
      <c r="L344"/>
      <c r="M344"/>
    </row>
    <row r="345" spans="1:13" ht="15" customHeight="1" x14ac:dyDescent="0.4">
      <c r="A345"/>
      <c r="B345"/>
      <c r="C345"/>
      <c r="D345"/>
      <c r="E345"/>
      <c r="F345"/>
      <c r="G345"/>
      <c r="H345"/>
      <c r="I345"/>
      <c r="J345"/>
      <c r="K345"/>
      <c r="L345"/>
      <c r="M345"/>
    </row>
    <row r="346" spans="1:13" ht="15" customHeight="1" x14ac:dyDescent="0.4">
      <c r="A346"/>
      <c r="B346"/>
      <c r="C346"/>
      <c r="D346"/>
      <c r="E346"/>
      <c r="F346"/>
      <c r="G346"/>
      <c r="H346"/>
      <c r="I346"/>
      <c r="J346"/>
      <c r="K346"/>
      <c r="L346"/>
      <c r="M346"/>
    </row>
    <row r="347" spans="1:13" ht="15" customHeight="1" x14ac:dyDescent="0.4">
      <c r="A347"/>
      <c r="B347"/>
      <c r="C347"/>
      <c r="D347"/>
      <c r="E347"/>
      <c r="F347"/>
      <c r="G347"/>
      <c r="H347"/>
      <c r="I347"/>
      <c r="J347"/>
      <c r="K347"/>
      <c r="L347"/>
      <c r="M347"/>
    </row>
    <row r="348" spans="1:13" ht="15" customHeight="1" x14ac:dyDescent="0.4">
      <c r="A348"/>
      <c r="B348"/>
      <c r="C348"/>
      <c r="D348"/>
      <c r="E348"/>
      <c r="F348"/>
      <c r="G348"/>
      <c r="H348"/>
      <c r="I348"/>
      <c r="J348"/>
      <c r="K348"/>
      <c r="L348"/>
      <c r="M348"/>
    </row>
    <row r="349" spans="1:13" ht="15" customHeight="1" x14ac:dyDescent="0.4">
      <c r="A349"/>
      <c r="B349"/>
      <c r="C349"/>
      <c r="D349"/>
      <c r="E349"/>
      <c r="F349"/>
      <c r="G349"/>
      <c r="H349"/>
      <c r="I349"/>
      <c r="J349"/>
      <c r="K349"/>
      <c r="L349"/>
      <c r="M349"/>
    </row>
    <row r="350" spans="1:13" ht="15" customHeight="1" x14ac:dyDescent="0.4">
      <c r="A350"/>
      <c r="B350"/>
      <c r="C350"/>
      <c r="D350"/>
      <c r="E350"/>
      <c r="F350"/>
      <c r="G350"/>
      <c r="H350"/>
      <c r="I350"/>
      <c r="J350"/>
      <c r="K350"/>
      <c r="L350"/>
      <c r="M350"/>
    </row>
    <row r="351" spans="1:13" ht="15" customHeight="1" x14ac:dyDescent="0.4">
      <c r="A351"/>
      <c r="B351"/>
      <c r="C351"/>
      <c r="D351"/>
      <c r="E351"/>
      <c r="F351"/>
      <c r="G351"/>
      <c r="H351"/>
      <c r="I351"/>
      <c r="J351"/>
      <c r="K351"/>
      <c r="L351"/>
      <c r="M351"/>
    </row>
    <row r="352" spans="1:13" ht="15" customHeight="1" x14ac:dyDescent="0.4">
      <c r="A352"/>
      <c r="B352"/>
      <c r="C352"/>
      <c r="D352"/>
      <c r="E352"/>
      <c r="F352"/>
      <c r="G352"/>
      <c r="H352"/>
      <c r="I352"/>
      <c r="J352"/>
      <c r="K352"/>
      <c r="L352"/>
      <c r="M352"/>
    </row>
    <row r="353" spans="1:13" ht="15" customHeight="1" x14ac:dyDescent="0.4">
      <c r="A353"/>
      <c r="B353"/>
      <c r="C353"/>
      <c r="D353"/>
      <c r="E353"/>
      <c r="F353"/>
      <c r="G353"/>
      <c r="H353"/>
      <c r="I353"/>
      <c r="J353"/>
      <c r="K353"/>
      <c r="L353"/>
      <c r="M353"/>
    </row>
    <row r="354" spans="1:13" ht="15" customHeight="1" x14ac:dyDescent="0.4">
      <c r="A354"/>
      <c r="B354"/>
      <c r="C354"/>
      <c r="D354"/>
      <c r="E354"/>
      <c r="F354"/>
      <c r="G354"/>
      <c r="H354"/>
      <c r="I354"/>
      <c r="J354"/>
      <c r="K354"/>
      <c r="L354"/>
      <c r="M354"/>
    </row>
    <row r="355" spans="1:13" ht="15" customHeight="1" x14ac:dyDescent="0.4">
      <c r="A355"/>
      <c r="B355"/>
      <c r="C355"/>
      <c r="D355"/>
      <c r="E355"/>
      <c r="F355"/>
      <c r="G355"/>
      <c r="H355"/>
      <c r="I355"/>
      <c r="J355"/>
      <c r="K355"/>
      <c r="L355"/>
      <c r="M355"/>
    </row>
    <row r="356" spans="1:13" ht="15" customHeight="1" x14ac:dyDescent="0.4">
      <c r="A356"/>
      <c r="B356"/>
      <c r="C356"/>
      <c r="D356"/>
      <c r="E356"/>
      <c r="F356"/>
      <c r="G356"/>
      <c r="H356"/>
      <c r="I356"/>
      <c r="J356"/>
      <c r="K356"/>
      <c r="L356"/>
      <c r="M356"/>
    </row>
    <row r="357" spans="1:13" ht="15" customHeight="1" x14ac:dyDescent="0.4">
      <c r="A357"/>
      <c r="B357"/>
      <c r="C357"/>
      <c r="D357"/>
      <c r="E357"/>
      <c r="F357"/>
      <c r="G357"/>
      <c r="H357"/>
      <c r="I357"/>
      <c r="J357"/>
      <c r="K357"/>
      <c r="L357"/>
      <c r="M357"/>
    </row>
    <row r="358" spans="1:13" ht="15" customHeight="1" x14ac:dyDescent="0.4">
      <c r="A358"/>
      <c r="B358"/>
      <c r="C358"/>
      <c r="D358"/>
      <c r="E358"/>
      <c r="F358"/>
      <c r="G358"/>
      <c r="H358"/>
      <c r="I358"/>
      <c r="J358"/>
      <c r="K358"/>
      <c r="L358"/>
      <c r="M358"/>
    </row>
    <row r="359" spans="1:13" ht="15" customHeight="1" x14ac:dyDescent="0.4">
      <c r="A359"/>
      <c r="B359"/>
      <c r="C359"/>
      <c r="D359"/>
      <c r="E359"/>
      <c r="F359"/>
      <c r="G359"/>
      <c r="H359"/>
      <c r="I359"/>
      <c r="J359"/>
      <c r="K359"/>
      <c r="L359"/>
      <c r="M359"/>
    </row>
    <row r="360" spans="1:13" ht="15" customHeight="1" x14ac:dyDescent="0.4">
      <c r="A360"/>
      <c r="B360"/>
      <c r="C360"/>
      <c r="D360"/>
      <c r="E360"/>
      <c r="F360"/>
      <c r="G360"/>
      <c r="H360"/>
      <c r="I360"/>
      <c r="J360"/>
      <c r="K360"/>
      <c r="L360"/>
      <c r="M360"/>
    </row>
    <row r="361" spans="1:13" ht="15" customHeight="1" x14ac:dyDescent="0.4">
      <c r="A361"/>
      <c r="B361"/>
      <c r="C361"/>
      <c r="D361"/>
      <c r="E361"/>
      <c r="F361"/>
      <c r="G361"/>
      <c r="H361"/>
      <c r="I361"/>
      <c r="J361"/>
      <c r="K361"/>
      <c r="L361"/>
      <c r="M361"/>
    </row>
    <row r="362" spans="1:13" ht="15" customHeight="1" x14ac:dyDescent="0.4">
      <c r="A362"/>
      <c r="B362"/>
      <c r="C362"/>
      <c r="D362"/>
      <c r="E362"/>
      <c r="F362"/>
      <c r="G362"/>
      <c r="H362"/>
      <c r="I362"/>
      <c r="J362"/>
      <c r="K362"/>
      <c r="L362"/>
      <c r="M362"/>
    </row>
    <row r="363" spans="1:13" ht="15" customHeight="1" x14ac:dyDescent="0.4">
      <c r="A363"/>
      <c r="B363"/>
      <c r="C363"/>
      <c r="D363"/>
      <c r="E363"/>
      <c r="F363"/>
      <c r="G363"/>
      <c r="H363"/>
      <c r="I363"/>
      <c r="J363"/>
      <c r="K363"/>
      <c r="L363"/>
      <c r="M363"/>
    </row>
    <row r="364" spans="1:13" ht="15" customHeight="1" x14ac:dyDescent="0.4">
      <c r="A364"/>
      <c r="B364"/>
      <c r="C364"/>
      <c r="D364"/>
      <c r="E364"/>
      <c r="F364"/>
      <c r="G364"/>
      <c r="H364"/>
      <c r="I364"/>
      <c r="J364"/>
      <c r="K364"/>
      <c r="L364"/>
      <c r="M364"/>
    </row>
    <row r="365" spans="1:13" ht="15" customHeight="1" x14ac:dyDescent="0.4">
      <c r="A365"/>
      <c r="B365"/>
      <c r="C365"/>
      <c r="D365"/>
      <c r="E365"/>
      <c r="F365"/>
      <c r="G365"/>
      <c r="H365"/>
      <c r="I365"/>
      <c r="J365"/>
      <c r="K365"/>
      <c r="L365"/>
      <c r="M365"/>
    </row>
    <row r="366" spans="1:13" ht="15" customHeight="1" x14ac:dyDescent="0.4">
      <c r="A366"/>
      <c r="B366"/>
      <c r="C366"/>
      <c r="D366"/>
      <c r="E366"/>
      <c r="F366"/>
      <c r="G366"/>
      <c r="H366"/>
      <c r="I366"/>
      <c r="J366"/>
      <c r="K366"/>
      <c r="L366"/>
      <c r="M366"/>
    </row>
    <row r="367" spans="1:13" ht="15" customHeight="1" x14ac:dyDescent="0.4">
      <c r="A367"/>
      <c r="B367"/>
      <c r="C367"/>
      <c r="D367"/>
      <c r="E367"/>
      <c r="F367"/>
      <c r="G367"/>
      <c r="H367"/>
      <c r="I367"/>
      <c r="J367"/>
      <c r="K367"/>
      <c r="L367"/>
      <c r="M367"/>
    </row>
    <row r="368" spans="1:13" ht="15" customHeight="1" x14ac:dyDescent="0.4">
      <c r="A368"/>
      <c r="B368"/>
      <c r="C368"/>
      <c r="D368"/>
      <c r="E368"/>
      <c r="F368"/>
      <c r="G368"/>
      <c r="H368"/>
      <c r="I368"/>
      <c r="J368"/>
      <c r="K368"/>
      <c r="L368"/>
      <c r="M368"/>
    </row>
    <row r="369" spans="1:13" ht="15" customHeight="1" x14ac:dyDescent="0.4">
      <c r="A369"/>
      <c r="B369"/>
      <c r="C369"/>
      <c r="D369"/>
      <c r="E369"/>
      <c r="F369"/>
      <c r="G369"/>
      <c r="H369"/>
      <c r="I369"/>
      <c r="J369"/>
      <c r="K369"/>
      <c r="L369"/>
      <c r="M369"/>
    </row>
    <row r="370" spans="1:13" ht="15" customHeight="1" x14ac:dyDescent="0.4">
      <c r="A370"/>
      <c r="B370"/>
      <c r="C370"/>
      <c r="D370"/>
      <c r="E370"/>
      <c r="F370"/>
      <c r="G370"/>
      <c r="H370"/>
      <c r="I370"/>
      <c r="J370"/>
      <c r="K370"/>
      <c r="L370"/>
      <c r="M370"/>
    </row>
    <row r="371" spans="1:13" ht="15" customHeight="1" x14ac:dyDescent="0.4">
      <c r="A371"/>
      <c r="B371"/>
      <c r="C371"/>
      <c r="D371"/>
      <c r="E371"/>
      <c r="F371"/>
      <c r="G371"/>
      <c r="H371"/>
      <c r="I371"/>
      <c r="J371"/>
      <c r="K371"/>
      <c r="L371"/>
      <c r="M371"/>
    </row>
    <row r="372" spans="1:13" ht="15" customHeight="1" x14ac:dyDescent="0.4">
      <c r="A372"/>
      <c r="B372"/>
      <c r="C372"/>
      <c r="D372"/>
      <c r="E372"/>
      <c r="F372"/>
      <c r="G372"/>
      <c r="H372"/>
      <c r="I372"/>
      <c r="J372"/>
      <c r="K372"/>
      <c r="L372"/>
      <c r="M372"/>
    </row>
    <row r="373" spans="1:13" ht="15" customHeight="1" x14ac:dyDescent="0.4">
      <c r="A373"/>
      <c r="B373"/>
      <c r="C373"/>
      <c r="D373"/>
      <c r="E373"/>
      <c r="F373"/>
      <c r="G373"/>
      <c r="H373"/>
      <c r="I373"/>
      <c r="J373"/>
      <c r="K373"/>
      <c r="L373"/>
      <c r="M373"/>
    </row>
    <row r="374" spans="1:13" ht="15" customHeight="1" x14ac:dyDescent="0.4">
      <c r="A374"/>
      <c r="B374"/>
      <c r="C374"/>
      <c r="D374"/>
      <c r="E374"/>
      <c r="F374"/>
      <c r="G374"/>
      <c r="H374"/>
      <c r="I374"/>
      <c r="J374"/>
      <c r="K374"/>
      <c r="L374"/>
      <c r="M374"/>
    </row>
    <row r="375" spans="1:13" ht="15" customHeight="1" x14ac:dyDescent="0.4">
      <c r="A375"/>
      <c r="B375"/>
      <c r="C375"/>
      <c r="D375"/>
      <c r="E375"/>
      <c r="F375"/>
      <c r="G375"/>
      <c r="H375"/>
      <c r="I375"/>
      <c r="J375"/>
      <c r="K375"/>
      <c r="L375"/>
      <c r="M375"/>
    </row>
    <row r="376" spans="1:13" ht="15" customHeight="1" x14ac:dyDescent="0.4">
      <c r="A376"/>
      <c r="B376"/>
      <c r="C376"/>
      <c r="D376"/>
      <c r="E376"/>
      <c r="F376"/>
      <c r="G376"/>
      <c r="H376"/>
      <c r="I376"/>
      <c r="J376"/>
      <c r="K376"/>
      <c r="L376"/>
      <c r="M376"/>
    </row>
    <row r="377" spans="1:13" ht="15" customHeight="1" x14ac:dyDescent="0.4">
      <c r="A377"/>
      <c r="B377"/>
      <c r="C377"/>
      <c r="D377"/>
      <c r="E377"/>
      <c r="F377"/>
      <c r="G377"/>
      <c r="H377"/>
      <c r="I377"/>
      <c r="J377"/>
      <c r="K377"/>
      <c r="L377"/>
      <c r="M377"/>
    </row>
    <row r="378" spans="1:13" ht="15" customHeight="1" x14ac:dyDescent="0.4">
      <c r="A378"/>
      <c r="B378"/>
      <c r="C378"/>
      <c r="D378"/>
      <c r="E378"/>
      <c r="F378"/>
      <c r="G378"/>
      <c r="H378"/>
      <c r="I378"/>
      <c r="J378"/>
      <c r="K378"/>
      <c r="L378"/>
      <c r="M378"/>
    </row>
    <row r="379" spans="1:13" ht="15" customHeight="1" x14ac:dyDescent="0.4">
      <c r="A379"/>
      <c r="B379"/>
      <c r="C379"/>
      <c r="D379"/>
      <c r="E379"/>
      <c r="F379"/>
      <c r="G379"/>
      <c r="H379"/>
      <c r="I379"/>
      <c r="J379"/>
      <c r="K379"/>
      <c r="L379"/>
      <c r="M379"/>
    </row>
    <row r="380" spans="1:13" ht="15" customHeight="1" x14ac:dyDescent="0.4">
      <c r="A380"/>
      <c r="B380"/>
      <c r="C380"/>
      <c r="D380"/>
      <c r="E380"/>
      <c r="F380"/>
      <c r="G380"/>
      <c r="H380"/>
      <c r="I380"/>
      <c r="J380"/>
      <c r="K380"/>
      <c r="L380"/>
      <c r="M380"/>
    </row>
    <row r="381" spans="1:13" ht="15" customHeight="1" x14ac:dyDescent="0.4">
      <c r="A381"/>
      <c r="B381"/>
      <c r="C381"/>
      <c r="D381"/>
      <c r="E381"/>
      <c r="F381"/>
      <c r="G381"/>
      <c r="H381"/>
      <c r="I381"/>
      <c r="J381"/>
      <c r="K381"/>
      <c r="L381"/>
      <c r="M381"/>
    </row>
    <row r="382" spans="1:13" ht="15" customHeight="1" x14ac:dyDescent="0.4">
      <c r="A382"/>
      <c r="B382"/>
      <c r="C382"/>
      <c r="D382"/>
      <c r="E382"/>
      <c r="F382"/>
      <c r="G382"/>
      <c r="H382"/>
      <c r="I382"/>
      <c r="J382"/>
      <c r="K382"/>
      <c r="L382"/>
      <c r="M382"/>
    </row>
    <row r="383" spans="1:13" ht="15" customHeight="1" x14ac:dyDescent="0.4">
      <c r="A383"/>
      <c r="B383"/>
      <c r="C383"/>
      <c r="D383"/>
      <c r="E383"/>
      <c r="F383"/>
      <c r="G383"/>
      <c r="H383"/>
      <c r="I383"/>
      <c r="J383"/>
      <c r="K383"/>
      <c r="L383"/>
      <c r="M383"/>
    </row>
    <row r="384" spans="1:13" ht="15" customHeight="1" x14ac:dyDescent="0.4">
      <c r="A384"/>
      <c r="B384"/>
      <c r="C384"/>
      <c r="D384"/>
      <c r="E384"/>
      <c r="F384"/>
      <c r="G384"/>
      <c r="H384"/>
      <c r="I384"/>
      <c r="J384"/>
      <c r="K384"/>
      <c r="L384"/>
      <c r="M384"/>
    </row>
    <row r="385" spans="1:13" ht="15" customHeight="1" x14ac:dyDescent="0.4">
      <c r="A385"/>
      <c r="B385"/>
      <c r="C385"/>
      <c r="D385"/>
      <c r="E385"/>
      <c r="F385"/>
      <c r="G385"/>
      <c r="H385"/>
      <c r="I385"/>
      <c r="J385"/>
      <c r="K385"/>
      <c r="L385"/>
      <c r="M385"/>
    </row>
    <row r="386" spans="1:13" ht="15" customHeight="1" x14ac:dyDescent="0.4">
      <c r="A386"/>
      <c r="B386"/>
      <c r="C386"/>
      <c r="D386"/>
      <c r="E386"/>
      <c r="F386"/>
      <c r="G386"/>
      <c r="H386"/>
      <c r="I386"/>
      <c r="J386"/>
      <c r="K386"/>
      <c r="L386"/>
      <c r="M386"/>
    </row>
    <row r="387" spans="1:13" ht="15" customHeight="1" x14ac:dyDescent="0.4">
      <c r="A387"/>
      <c r="B387"/>
      <c r="C387"/>
      <c r="D387"/>
      <c r="E387"/>
      <c r="F387"/>
      <c r="G387"/>
      <c r="H387"/>
      <c r="I387"/>
      <c r="J387"/>
      <c r="K387"/>
      <c r="L387"/>
      <c r="M387"/>
    </row>
    <row r="388" spans="1:13" ht="15" customHeight="1" x14ac:dyDescent="0.4">
      <c r="A388"/>
      <c r="B388"/>
      <c r="C388"/>
      <c r="D388"/>
      <c r="E388"/>
      <c r="F388"/>
      <c r="G388"/>
      <c r="H388"/>
      <c r="I388"/>
      <c r="J388"/>
      <c r="K388"/>
      <c r="L388"/>
      <c r="M388"/>
    </row>
    <row r="389" spans="1:13" ht="15" customHeight="1" x14ac:dyDescent="0.4">
      <c r="A389"/>
      <c r="B389"/>
      <c r="C389"/>
      <c r="D389"/>
      <c r="E389"/>
      <c r="F389"/>
      <c r="G389"/>
      <c r="H389"/>
      <c r="I389"/>
      <c r="J389"/>
      <c r="K389"/>
      <c r="L389"/>
      <c r="M389"/>
    </row>
    <row r="390" spans="1:13" ht="15" customHeight="1" x14ac:dyDescent="0.4">
      <c r="A390"/>
      <c r="B390"/>
      <c r="C390"/>
      <c r="D390"/>
      <c r="E390"/>
      <c r="F390"/>
      <c r="G390"/>
      <c r="H390"/>
      <c r="I390"/>
      <c r="J390"/>
      <c r="K390"/>
      <c r="L390"/>
      <c r="M390"/>
    </row>
    <row r="391" spans="1:13" ht="15" customHeight="1" x14ac:dyDescent="0.4">
      <c r="A391"/>
      <c r="B391"/>
      <c r="C391"/>
      <c r="D391"/>
      <c r="E391"/>
      <c r="F391"/>
      <c r="G391"/>
      <c r="H391"/>
      <c r="I391"/>
      <c r="J391"/>
      <c r="K391"/>
      <c r="L391"/>
      <c r="M391"/>
    </row>
    <row r="392" spans="1:13" ht="15" customHeight="1" x14ac:dyDescent="0.4">
      <c r="A392"/>
      <c r="B392"/>
      <c r="C392"/>
      <c r="D392"/>
      <c r="E392"/>
      <c r="F392"/>
      <c r="G392"/>
      <c r="H392"/>
      <c r="I392"/>
      <c r="J392"/>
      <c r="K392"/>
      <c r="L392"/>
      <c r="M392"/>
    </row>
    <row r="393" spans="1:13" ht="15" customHeight="1" x14ac:dyDescent="0.4">
      <c r="A393"/>
      <c r="B393"/>
      <c r="C393"/>
      <c r="D393"/>
      <c r="E393"/>
      <c r="F393"/>
      <c r="G393"/>
      <c r="H393"/>
      <c r="I393"/>
      <c r="J393"/>
      <c r="K393"/>
      <c r="L393"/>
      <c r="M393"/>
    </row>
    <row r="394" spans="1:13" ht="15" customHeight="1" x14ac:dyDescent="0.4">
      <c r="A394"/>
      <c r="B394"/>
      <c r="C394"/>
      <c r="D394"/>
      <c r="E394"/>
      <c r="F394"/>
      <c r="G394"/>
      <c r="H394"/>
      <c r="I394"/>
      <c r="J394"/>
      <c r="K394"/>
      <c r="L394"/>
      <c r="M394"/>
    </row>
    <row r="395" spans="1:13" ht="15" customHeight="1" x14ac:dyDescent="0.4">
      <c r="A395"/>
      <c r="B395"/>
      <c r="C395"/>
      <c r="D395"/>
      <c r="E395"/>
      <c r="F395"/>
      <c r="G395"/>
      <c r="H395"/>
      <c r="I395"/>
      <c r="J395"/>
      <c r="K395"/>
      <c r="L395"/>
      <c r="M395"/>
    </row>
    <row r="396" spans="1:13" ht="15" customHeight="1" x14ac:dyDescent="0.4">
      <c r="A396"/>
      <c r="B396"/>
      <c r="C396"/>
      <c r="D396"/>
      <c r="E396"/>
      <c r="F396"/>
      <c r="G396"/>
      <c r="H396"/>
      <c r="I396"/>
      <c r="J396"/>
      <c r="K396"/>
      <c r="L396"/>
      <c r="M396"/>
    </row>
    <row r="397" spans="1:13" ht="15" customHeight="1" x14ac:dyDescent="0.4">
      <c r="A397"/>
      <c r="B397"/>
      <c r="C397"/>
      <c r="D397"/>
      <c r="E397"/>
      <c r="F397"/>
      <c r="G397"/>
      <c r="H397"/>
      <c r="I397"/>
      <c r="J397"/>
      <c r="K397"/>
      <c r="L397"/>
      <c r="M397"/>
    </row>
    <row r="398" spans="1:13" ht="15" customHeight="1" x14ac:dyDescent="0.4">
      <c r="A398"/>
      <c r="B398"/>
      <c r="C398"/>
      <c r="D398"/>
      <c r="E398"/>
      <c r="F398"/>
      <c r="G398"/>
      <c r="H398"/>
      <c r="I398"/>
      <c r="J398"/>
      <c r="K398"/>
      <c r="L398"/>
      <c r="M398"/>
    </row>
    <row r="399" spans="1:13" ht="15" customHeight="1" x14ac:dyDescent="0.4">
      <c r="A399"/>
      <c r="B399"/>
      <c r="C399"/>
      <c r="D399"/>
      <c r="E399"/>
      <c r="F399"/>
      <c r="G399"/>
      <c r="H399"/>
      <c r="I399"/>
      <c r="J399"/>
      <c r="K399"/>
      <c r="L399"/>
      <c r="M399"/>
    </row>
    <row r="400" spans="1:13" ht="15" customHeight="1" x14ac:dyDescent="0.4">
      <c r="A400"/>
      <c r="B400"/>
      <c r="C400"/>
      <c r="D400"/>
      <c r="E400"/>
      <c r="F400"/>
      <c r="G400"/>
      <c r="H400"/>
      <c r="I400"/>
      <c r="J400"/>
      <c r="K400"/>
      <c r="L400"/>
      <c r="M400"/>
    </row>
    <row r="401" spans="1:13" ht="15" customHeight="1" x14ac:dyDescent="0.4">
      <c r="A401"/>
      <c r="B401"/>
      <c r="C401"/>
      <c r="D401"/>
      <c r="E401"/>
      <c r="F401"/>
      <c r="G401"/>
      <c r="H401"/>
      <c r="I401"/>
      <c r="J401"/>
      <c r="K401"/>
      <c r="L401"/>
      <c r="M401"/>
    </row>
    <row r="402" spans="1:13" ht="15" customHeight="1" x14ac:dyDescent="0.4">
      <c r="A402"/>
      <c r="B402"/>
      <c r="C402"/>
      <c r="D402"/>
      <c r="E402"/>
      <c r="F402"/>
      <c r="G402"/>
      <c r="H402"/>
      <c r="I402"/>
      <c r="J402"/>
      <c r="K402"/>
      <c r="L402"/>
      <c r="M402"/>
    </row>
    <row r="403" spans="1:13" ht="15" customHeight="1" x14ac:dyDescent="0.4">
      <c r="A403"/>
      <c r="B403"/>
      <c r="C403"/>
      <c r="D403"/>
      <c r="E403"/>
      <c r="F403"/>
      <c r="G403"/>
      <c r="H403"/>
      <c r="I403"/>
      <c r="J403"/>
      <c r="K403"/>
      <c r="L403"/>
      <c r="M403"/>
    </row>
    <row r="404" spans="1:13" ht="15" customHeight="1" x14ac:dyDescent="0.4">
      <c r="A404"/>
      <c r="B404"/>
      <c r="C404"/>
      <c r="D404"/>
      <c r="E404"/>
      <c r="F404"/>
      <c r="G404"/>
      <c r="H404"/>
      <c r="I404"/>
      <c r="J404"/>
      <c r="K404"/>
      <c r="L404"/>
      <c r="M404"/>
    </row>
    <row r="405" spans="1:13" ht="15" customHeight="1" x14ac:dyDescent="0.4">
      <c r="A405"/>
      <c r="B405"/>
      <c r="C405"/>
      <c r="D405"/>
      <c r="E405"/>
      <c r="F405"/>
      <c r="G405"/>
      <c r="H405"/>
      <c r="I405"/>
      <c r="J405"/>
      <c r="K405"/>
      <c r="L405"/>
      <c r="M405"/>
    </row>
    <row r="406" spans="1:13" ht="15" customHeight="1" x14ac:dyDescent="0.4">
      <c r="A406"/>
      <c r="B406"/>
      <c r="C406"/>
      <c r="D406"/>
      <c r="E406"/>
      <c r="F406"/>
      <c r="G406"/>
      <c r="H406"/>
      <c r="I406"/>
      <c r="J406"/>
      <c r="K406"/>
      <c r="L406"/>
      <c r="M406"/>
    </row>
    <row r="407" spans="1:13" ht="15" customHeight="1" x14ac:dyDescent="0.4">
      <c r="A407"/>
      <c r="B407"/>
      <c r="C407"/>
      <c r="D407"/>
      <c r="E407"/>
      <c r="F407"/>
      <c r="G407"/>
      <c r="H407"/>
      <c r="I407"/>
      <c r="J407"/>
      <c r="K407"/>
      <c r="L407"/>
      <c r="M407"/>
    </row>
    <row r="408" spans="1:13" ht="15" customHeight="1" x14ac:dyDescent="0.4">
      <c r="A408"/>
      <c r="B408"/>
      <c r="C408"/>
      <c r="D408"/>
      <c r="E408"/>
      <c r="F408"/>
      <c r="G408"/>
      <c r="H408"/>
      <c r="I408"/>
      <c r="J408"/>
      <c r="K408"/>
      <c r="L408"/>
      <c r="M408"/>
    </row>
    <row r="409" spans="1:13" ht="15" customHeight="1" x14ac:dyDescent="0.4">
      <c r="A409"/>
      <c r="B409"/>
      <c r="C409"/>
      <c r="D409"/>
      <c r="E409"/>
      <c r="F409"/>
      <c r="G409"/>
      <c r="H409"/>
      <c r="I409"/>
      <c r="J409"/>
      <c r="K409"/>
      <c r="L409"/>
      <c r="M409"/>
    </row>
    <row r="410" spans="1:13" ht="15" customHeight="1" x14ac:dyDescent="0.4">
      <c r="A410"/>
      <c r="B410"/>
      <c r="C410"/>
      <c r="D410"/>
      <c r="E410"/>
      <c r="F410"/>
      <c r="G410"/>
      <c r="H410"/>
      <c r="I410"/>
      <c r="J410"/>
      <c r="K410"/>
      <c r="L410"/>
      <c r="M410"/>
    </row>
    <row r="411" spans="1:13" ht="15" customHeight="1" x14ac:dyDescent="0.4">
      <c r="A411"/>
      <c r="B411"/>
      <c r="C411"/>
      <c r="D411"/>
      <c r="E411"/>
      <c r="F411"/>
      <c r="G411"/>
      <c r="H411"/>
      <c r="I411"/>
      <c r="J411"/>
      <c r="K411"/>
      <c r="L411"/>
      <c r="M411"/>
    </row>
    <row r="412" spans="1:13" ht="15" customHeight="1" x14ac:dyDescent="0.4">
      <c r="A412"/>
      <c r="B412"/>
      <c r="C412"/>
      <c r="D412"/>
      <c r="E412"/>
      <c r="F412"/>
      <c r="G412"/>
      <c r="H412"/>
      <c r="I412"/>
      <c r="J412"/>
      <c r="K412"/>
      <c r="L412"/>
      <c r="M412"/>
    </row>
    <row r="413" spans="1:13" ht="15" customHeight="1" x14ac:dyDescent="0.4">
      <c r="A413"/>
      <c r="B413"/>
      <c r="C413"/>
      <c r="D413"/>
      <c r="E413"/>
      <c r="F413"/>
      <c r="G413"/>
      <c r="H413"/>
      <c r="I413"/>
      <c r="J413"/>
      <c r="K413"/>
      <c r="L413"/>
      <c r="M413"/>
    </row>
    <row r="414" spans="1:13" ht="15" customHeight="1" x14ac:dyDescent="0.4">
      <c r="A414"/>
      <c r="B414"/>
      <c r="C414"/>
      <c r="D414"/>
      <c r="E414"/>
      <c r="F414"/>
      <c r="G414"/>
      <c r="H414"/>
      <c r="I414"/>
      <c r="J414"/>
      <c r="K414"/>
      <c r="L414"/>
      <c r="M414"/>
    </row>
    <row r="415" spans="1:13" ht="15" customHeight="1" x14ac:dyDescent="0.4">
      <c r="A415"/>
      <c r="B415"/>
      <c r="C415"/>
      <c r="D415"/>
      <c r="E415"/>
      <c r="F415"/>
      <c r="G415"/>
      <c r="H415"/>
      <c r="I415"/>
      <c r="J415"/>
      <c r="K415"/>
      <c r="L415"/>
      <c r="M415"/>
    </row>
    <row r="416" spans="1:13" ht="15" customHeight="1" x14ac:dyDescent="0.4">
      <c r="A416"/>
      <c r="B416"/>
      <c r="C416"/>
      <c r="D416"/>
      <c r="E416"/>
      <c r="F416"/>
      <c r="G416"/>
      <c r="H416"/>
      <c r="I416"/>
      <c r="J416"/>
      <c r="K416"/>
      <c r="L416"/>
      <c r="M416"/>
    </row>
    <row r="417" spans="1:13" ht="15" customHeight="1" x14ac:dyDescent="0.4">
      <c r="A417"/>
      <c r="B417"/>
      <c r="C417"/>
      <c r="D417"/>
      <c r="E417"/>
      <c r="F417"/>
      <c r="G417"/>
      <c r="H417"/>
      <c r="I417"/>
      <c r="J417"/>
      <c r="K417"/>
      <c r="L417"/>
      <c r="M417"/>
    </row>
    <row r="418" spans="1:13" ht="15" customHeight="1" x14ac:dyDescent="0.4">
      <c r="A418"/>
      <c r="B418"/>
      <c r="C418"/>
      <c r="D418"/>
      <c r="E418"/>
      <c r="F418"/>
      <c r="G418"/>
      <c r="H418"/>
      <c r="I418"/>
      <c r="J418"/>
      <c r="K418"/>
      <c r="L418"/>
      <c r="M418"/>
    </row>
    <row r="419" spans="1:13" ht="15" customHeight="1" x14ac:dyDescent="0.4">
      <c r="A419"/>
      <c r="B419"/>
      <c r="C419"/>
      <c r="D419"/>
      <c r="E419"/>
      <c r="F419"/>
      <c r="G419"/>
      <c r="H419"/>
      <c r="I419"/>
      <c r="J419"/>
      <c r="K419"/>
      <c r="L419"/>
      <c r="M419"/>
    </row>
    <row r="420" spans="1:13" ht="15" customHeight="1" x14ac:dyDescent="0.4">
      <c r="A420"/>
      <c r="B420"/>
      <c r="C420"/>
      <c r="D420"/>
      <c r="E420"/>
      <c r="F420"/>
      <c r="G420"/>
      <c r="H420"/>
      <c r="I420"/>
      <c r="J420"/>
      <c r="K420"/>
      <c r="L420"/>
      <c r="M420"/>
    </row>
    <row r="421" spans="1:13" ht="15" customHeight="1" x14ac:dyDescent="0.4">
      <c r="A421"/>
      <c r="B421"/>
      <c r="C421"/>
      <c r="D421"/>
      <c r="E421"/>
      <c r="F421"/>
      <c r="G421"/>
      <c r="H421"/>
      <c r="I421"/>
      <c r="J421"/>
      <c r="K421"/>
      <c r="L421"/>
      <c r="M421"/>
    </row>
    <row r="422" spans="1:13" ht="15" customHeight="1" x14ac:dyDescent="0.4">
      <c r="A422"/>
      <c r="B422"/>
      <c r="C422"/>
      <c r="D422"/>
      <c r="E422"/>
      <c r="F422"/>
      <c r="G422"/>
      <c r="H422"/>
      <c r="I422"/>
      <c r="J422"/>
      <c r="K422"/>
      <c r="L422"/>
      <c r="M422"/>
    </row>
    <row r="423" spans="1:13" ht="15" customHeight="1" x14ac:dyDescent="0.4">
      <c r="A423"/>
      <c r="B423"/>
      <c r="C423"/>
      <c r="D423"/>
      <c r="E423"/>
      <c r="F423"/>
      <c r="G423"/>
      <c r="H423"/>
      <c r="I423"/>
      <c r="J423"/>
      <c r="K423"/>
      <c r="L423"/>
      <c r="M423"/>
    </row>
    <row r="424" spans="1:13" ht="15" customHeight="1" x14ac:dyDescent="0.4">
      <c r="A424"/>
      <c r="B424"/>
      <c r="C424"/>
      <c r="D424"/>
      <c r="E424"/>
      <c r="F424"/>
      <c r="G424"/>
      <c r="H424"/>
      <c r="I424"/>
      <c r="J424"/>
      <c r="K424"/>
      <c r="L424"/>
      <c r="M424"/>
    </row>
    <row r="425" spans="1:13" ht="15" customHeight="1" x14ac:dyDescent="0.4">
      <c r="A425"/>
      <c r="B425"/>
      <c r="C425"/>
      <c r="D425"/>
      <c r="E425"/>
      <c r="F425"/>
      <c r="G425"/>
      <c r="H425"/>
      <c r="I425"/>
      <c r="J425"/>
      <c r="K425"/>
      <c r="L425"/>
      <c r="M425"/>
    </row>
    <row r="426" spans="1:13" ht="15" customHeight="1" x14ac:dyDescent="0.4">
      <c r="A426"/>
      <c r="B426"/>
      <c r="C426"/>
      <c r="D426"/>
      <c r="E426"/>
      <c r="F426"/>
      <c r="G426"/>
      <c r="H426"/>
      <c r="I426"/>
      <c r="J426"/>
      <c r="K426"/>
      <c r="L426"/>
      <c r="M426"/>
    </row>
    <row r="427" spans="1:13" ht="15" customHeight="1" x14ac:dyDescent="0.4">
      <c r="A427"/>
      <c r="B427"/>
      <c r="C427"/>
      <c r="D427"/>
      <c r="E427"/>
      <c r="F427"/>
      <c r="G427"/>
      <c r="H427"/>
      <c r="I427"/>
      <c r="J427"/>
      <c r="K427"/>
      <c r="L427"/>
      <c r="M427"/>
    </row>
    <row r="428" spans="1:13" ht="15" customHeight="1" x14ac:dyDescent="0.4">
      <c r="A428"/>
      <c r="B428"/>
      <c r="C428"/>
      <c r="D428"/>
      <c r="E428"/>
      <c r="F428"/>
      <c r="G428"/>
      <c r="H428"/>
      <c r="I428"/>
      <c r="J428"/>
      <c r="K428"/>
      <c r="L428"/>
      <c r="M428"/>
    </row>
    <row r="429" spans="1:13" ht="15" customHeight="1" x14ac:dyDescent="0.4">
      <c r="A429"/>
      <c r="B429"/>
      <c r="C429"/>
      <c r="D429"/>
      <c r="E429"/>
      <c r="F429"/>
      <c r="G429"/>
      <c r="H429"/>
      <c r="I429"/>
      <c r="J429"/>
      <c r="K429"/>
      <c r="L429"/>
      <c r="M429"/>
    </row>
    <row r="430" spans="1:13" ht="15" customHeight="1" x14ac:dyDescent="0.4">
      <c r="A430"/>
      <c r="B430"/>
      <c r="C430"/>
      <c r="D430"/>
      <c r="E430"/>
      <c r="F430"/>
      <c r="G430"/>
      <c r="H430"/>
      <c r="I430"/>
      <c r="J430"/>
      <c r="K430"/>
      <c r="L430"/>
      <c r="M430"/>
    </row>
    <row r="431" spans="1:13" ht="15" customHeight="1" x14ac:dyDescent="0.4">
      <c r="A431"/>
      <c r="B431"/>
      <c r="C431"/>
      <c r="D431"/>
      <c r="E431"/>
      <c r="F431"/>
      <c r="G431"/>
      <c r="H431"/>
      <c r="I431"/>
      <c r="J431"/>
      <c r="K431"/>
      <c r="L431"/>
      <c r="M431"/>
    </row>
    <row r="432" spans="1:13" ht="15" customHeight="1" x14ac:dyDescent="0.4">
      <c r="A432"/>
      <c r="B432"/>
      <c r="C432"/>
      <c r="D432"/>
      <c r="E432"/>
      <c r="F432"/>
      <c r="G432"/>
      <c r="H432"/>
      <c r="I432"/>
      <c r="J432"/>
      <c r="K432"/>
      <c r="L432"/>
      <c r="M432"/>
    </row>
    <row r="433" spans="1:13" ht="15" customHeight="1" x14ac:dyDescent="0.4">
      <c r="A433"/>
      <c r="B433"/>
      <c r="C433"/>
      <c r="D433"/>
      <c r="E433"/>
      <c r="F433"/>
      <c r="G433"/>
      <c r="H433"/>
      <c r="I433"/>
      <c r="J433"/>
      <c r="K433"/>
      <c r="L433"/>
      <c r="M433"/>
    </row>
    <row r="434" spans="1:13" ht="15" customHeight="1" x14ac:dyDescent="0.4">
      <c r="A434"/>
      <c r="B434"/>
      <c r="C434"/>
      <c r="D434"/>
      <c r="E434"/>
      <c r="F434"/>
      <c r="G434"/>
      <c r="H434"/>
      <c r="I434"/>
      <c r="J434"/>
      <c r="K434"/>
      <c r="L434"/>
      <c r="M434"/>
    </row>
    <row r="435" spans="1:13" ht="15" customHeight="1" x14ac:dyDescent="0.4">
      <c r="A435"/>
      <c r="B435"/>
      <c r="C435"/>
      <c r="D435"/>
      <c r="E435"/>
      <c r="F435"/>
      <c r="G435"/>
      <c r="H435"/>
      <c r="I435"/>
      <c r="J435"/>
      <c r="K435"/>
      <c r="L435"/>
      <c r="M435"/>
    </row>
    <row r="436" spans="1:13" ht="15" customHeight="1" x14ac:dyDescent="0.4">
      <c r="A436"/>
      <c r="B436"/>
      <c r="C436"/>
      <c r="D436"/>
      <c r="E436"/>
      <c r="F436"/>
      <c r="G436"/>
      <c r="H436"/>
      <c r="I436"/>
      <c r="J436"/>
      <c r="K436"/>
      <c r="L436"/>
      <c r="M436"/>
    </row>
    <row r="437" spans="1:13" ht="15" customHeight="1" x14ac:dyDescent="0.4">
      <c r="A437"/>
      <c r="B437"/>
      <c r="C437"/>
      <c r="D437"/>
      <c r="E437"/>
      <c r="F437"/>
      <c r="G437"/>
      <c r="H437"/>
      <c r="I437"/>
      <c r="J437"/>
      <c r="K437"/>
      <c r="L437"/>
      <c r="M437"/>
    </row>
    <row r="438" spans="1:13" ht="15" customHeight="1" x14ac:dyDescent="0.4">
      <c r="A438"/>
      <c r="B438"/>
      <c r="C438"/>
      <c r="D438"/>
      <c r="E438"/>
      <c r="F438"/>
      <c r="G438"/>
      <c r="H438"/>
      <c r="I438"/>
      <c r="J438"/>
      <c r="K438"/>
      <c r="L438"/>
      <c r="M438"/>
    </row>
    <row r="439" spans="1:13" ht="15" customHeight="1" x14ac:dyDescent="0.4">
      <c r="A439"/>
      <c r="B439"/>
      <c r="C439"/>
      <c r="D439"/>
      <c r="E439"/>
      <c r="F439"/>
      <c r="G439"/>
      <c r="H439"/>
      <c r="I439"/>
      <c r="J439"/>
      <c r="K439"/>
      <c r="L439"/>
      <c r="M439"/>
    </row>
    <row r="440" spans="1:13" ht="15" customHeight="1" x14ac:dyDescent="0.4">
      <c r="A440"/>
      <c r="B440"/>
      <c r="C440"/>
      <c r="D440"/>
      <c r="E440"/>
      <c r="F440"/>
      <c r="G440"/>
      <c r="H440"/>
      <c r="I440"/>
      <c r="J440"/>
      <c r="K440"/>
      <c r="L440"/>
      <c r="M440"/>
    </row>
    <row r="441" spans="1:13" ht="15" customHeight="1" x14ac:dyDescent="0.4">
      <c r="A441"/>
      <c r="B441"/>
      <c r="C441"/>
      <c r="D441"/>
      <c r="E441"/>
      <c r="F441"/>
      <c r="G441"/>
      <c r="H441"/>
      <c r="I441"/>
      <c r="J441"/>
      <c r="K441"/>
      <c r="L441"/>
      <c r="M441"/>
    </row>
    <row r="442" spans="1:13" ht="15" customHeight="1" x14ac:dyDescent="0.4">
      <c r="A442"/>
      <c r="B442"/>
      <c r="C442"/>
      <c r="D442"/>
      <c r="E442"/>
      <c r="F442"/>
      <c r="G442"/>
      <c r="H442"/>
      <c r="I442"/>
      <c r="J442"/>
      <c r="K442"/>
      <c r="L442"/>
      <c r="M442"/>
    </row>
    <row r="443" spans="1:13" ht="15" customHeight="1" x14ac:dyDescent="0.4">
      <c r="A443"/>
      <c r="B443"/>
      <c r="C443"/>
      <c r="D443"/>
      <c r="E443"/>
      <c r="F443"/>
      <c r="G443"/>
      <c r="H443"/>
      <c r="I443"/>
      <c r="J443"/>
      <c r="K443"/>
      <c r="L443"/>
      <c r="M443"/>
    </row>
    <row r="444" spans="1:13" ht="15" customHeight="1" x14ac:dyDescent="0.4">
      <c r="A444"/>
      <c r="B444"/>
      <c r="C444"/>
      <c r="D444"/>
      <c r="E444"/>
      <c r="F444"/>
      <c r="G444"/>
      <c r="H444"/>
      <c r="I444"/>
      <c r="J444"/>
      <c r="K444"/>
      <c r="L444"/>
      <c r="M444"/>
    </row>
    <row r="445" spans="1:13" ht="15" customHeight="1" x14ac:dyDescent="0.4">
      <c r="A445"/>
      <c r="B445"/>
      <c r="C445"/>
      <c r="D445"/>
      <c r="E445"/>
      <c r="F445"/>
      <c r="G445"/>
      <c r="H445"/>
      <c r="I445"/>
      <c r="J445"/>
      <c r="K445"/>
      <c r="L445"/>
      <c r="M445"/>
    </row>
    <row r="446" spans="1:13" ht="15" customHeight="1" x14ac:dyDescent="0.4">
      <c r="A446"/>
      <c r="B446"/>
      <c r="C446"/>
      <c r="D446"/>
      <c r="E446"/>
      <c r="F446"/>
      <c r="G446"/>
      <c r="H446"/>
      <c r="I446"/>
      <c r="J446"/>
      <c r="K446"/>
      <c r="L446"/>
      <c r="M446"/>
    </row>
    <row r="447" spans="1:13" ht="15" customHeight="1" x14ac:dyDescent="0.4">
      <c r="A447"/>
      <c r="B447"/>
      <c r="C447"/>
      <c r="D447"/>
      <c r="E447"/>
      <c r="F447"/>
      <c r="G447"/>
      <c r="H447"/>
      <c r="I447"/>
      <c r="J447"/>
      <c r="K447"/>
      <c r="L447"/>
      <c r="M447"/>
    </row>
    <row r="448" spans="1:13" ht="15" customHeight="1" x14ac:dyDescent="0.4">
      <c r="A448"/>
      <c r="B448"/>
      <c r="C448"/>
      <c r="D448"/>
      <c r="E448"/>
      <c r="F448"/>
      <c r="G448"/>
      <c r="H448"/>
      <c r="I448"/>
      <c r="J448"/>
      <c r="K448"/>
      <c r="L448"/>
      <c r="M448"/>
    </row>
    <row r="449" spans="1:13" ht="15" customHeight="1" x14ac:dyDescent="0.4">
      <c r="A449"/>
      <c r="B449"/>
      <c r="C449"/>
      <c r="D449"/>
      <c r="E449"/>
      <c r="F449"/>
      <c r="G449"/>
      <c r="H449"/>
      <c r="I449"/>
      <c r="J449"/>
      <c r="K449"/>
      <c r="L449"/>
      <c r="M449"/>
    </row>
    <row r="450" spans="1:13" ht="15" customHeight="1" x14ac:dyDescent="0.4">
      <c r="A450"/>
      <c r="B450"/>
      <c r="C450"/>
      <c r="D450"/>
      <c r="E450"/>
      <c r="F450"/>
      <c r="G450"/>
      <c r="H450"/>
      <c r="I450"/>
      <c r="J450"/>
      <c r="K450"/>
      <c r="L450"/>
      <c r="M450"/>
    </row>
    <row r="451" spans="1:13" ht="15" customHeight="1" x14ac:dyDescent="0.4">
      <c r="A451"/>
      <c r="B451"/>
      <c r="C451"/>
      <c r="D451"/>
      <c r="E451"/>
      <c r="F451"/>
      <c r="G451"/>
      <c r="H451"/>
      <c r="I451"/>
      <c r="J451"/>
      <c r="K451"/>
      <c r="L451"/>
      <c r="M451"/>
    </row>
    <row r="452" spans="1:13" ht="15" customHeight="1" x14ac:dyDescent="0.4">
      <c r="A452"/>
      <c r="B452"/>
      <c r="C452"/>
      <c r="D452"/>
      <c r="E452"/>
      <c r="F452"/>
      <c r="G452"/>
      <c r="H452"/>
      <c r="I452"/>
      <c r="J452"/>
      <c r="K452"/>
      <c r="L452"/>
      <c r="M452"/>
    </row>
    <row r="453" spans="1:13" ht="15" customHeight="1" x14ac:dyDescent="0.4">
      <c r="A453"/>
      <c r="B453"/>
      <c r="C453"/>
      <c r="D453"/>
      <c r="E453"/>
      <c r="F453"/>
      <c r="G453"/>
      <c r="H453"/>
      <c r="I453"/>
      <c r="J453"/>
      <c r="K453"/>
      <c r="L453"/>
      <c r="M453"/>
    </row>
    <row r="454" spans="1:13" ht="15" customHeight="1" x14ac:dyDescent="0.4">
      <c r="A454"/>
      <c r="B454"/>
      <c r="C454"/>
      <c r="D454"/>
      <c r="E454"/>
      <c r="F454"/>
      <c r="G454"/>
      <c r="H454"/>
      <c r="I454"/>
      <c r="J454"/>
      <c r="K454"/>
      <c r="L454"/>
      <c r="M454"/>
    </row>
    <row r="455" spans="1:13" ht="15" customHeight="1" x14ac:dyDescent="0.4">
      <c r="A455"/>
      <c r="B455"/>
      <c r="C455"/>
      <c r="D455"/>
      <c r="E455"/>
      <c r="F455"/>
      <c r="G455"/>
      <c r="H455"/>
      <c r="I455"/>
      <c r="J455"/>
      <c r="K455"/>
      <c r="L455"/>
      <c r="M455"/>
    </row>
    <row r="456" spans="1:13" ht="15" customHeight="1" x14ac:dyDescent="0.4">
      <c r="A456"/>
      <c r="B456"/>
      <c r="C456"/>
      <c r="D456"/>
      <c r="E456"/>
      <c r="F456"/>
      <c r="G456"/>
      <c r="H456"/>
      <c r="I456"/>
      <c r="J456"/>
      <c r="K456"/>
      <c r="L456"/>
      <c r="M456"/>
    </row>
    <row r="457" spans="1:13" ht="15" customHeight="1" x14ac:dyDescent="0.4">
      <c r="A457"/>
      <c r="B457"/>
      <c r="C457"/>
      <c r="D457"/>
      <c r="E457"/>
      <c r="F457"/>
      <c r="G457"/>
      <c r="H457"/>
      <c r="I457"/>
      <c r="J457"/>
      <c r="K457"/>
      <c r="L457"/>
      <c r="M457"/>
    </row>
    <row r="458" spans="1:13" ht="15" customHeight="1" x14ac:dyDescent="0.4">
      <c r="A458"/>
      <c r="B458"/>
      <c r="C458"/>
      <c r="D458"/>
      <c r="E458"/>
      <c r="F458"/>
      <c r="G458"/>
      <c r="H458"/>
      <c r="I458"/>
      <c r="J458"/>
      <c r="K458"/>
      <c r="L458"/>
      <c r="M458"/>
    </row>
    <row r="459" spans="1:13" ht="15" customHeight="1" x14ac:dyDescent="0.4">
      <c r="A459"/>
      <c r="B459"/>
      <c r="C459"/>
      <c r="D459"/>
      <c r="E459"/>
      <c r="F459"/>
      <c r="G459"/>
      <c r="H459"/>
      <c r="I459"/>
      <c r="J459"/>
      <c r="K459"/>
      <c r="L459"/>
      <c r="M459"/>
    </row>
    <row r="460" spans="1:13" ht="15" customHeight="1" x14ac:dyDescent="0.4">
      <c r="A460"/>
      <c r="B460"/>
      <c r="C460"/>
      <c r="D460"/>
      <c r="E460"/>
      <c r="F460"/>
      <c r="G460"/>
      <c r="H460"/>
      <c r="I460"/>
      <c r="J460"/>
      <c r="K460"/>
      <c r="L460"/>
      <c r="M460"/>
    </row>
    <row r="461" spans="1:13" ht="15" customHeight="1" x14ac:dyDescent="0.4">
      <c r="A461"/>
      <c r="B461"/>
      <c r="C461"/>
      <c r="D461"/>
      <c r="E461"/>
      <c r="F461"/>
      <c r="G461"/>
      <c r="H461"/>
      <c r="I461"/>
      <c r="J461"/>
      <c r="K461"/>
      <c r="L461"/>
      <c r="M461"/>
    </row>
    <row r="462" spans="1:13" ht="15" customHeight="1" x14ac:dyDescent="0.4">
      <c r="A462"/>
      <c r="B462"/>
      <c r="C462"/>
      <c r="D462"/>
      <c r="E462"/>
      <c r="F462"/>
      <c r="G462"/>
      <c r="H462"/>
      <c r="I462"/>
      <c r="J462"/>
      <c r="K462"/>
      <c r="L462"/>
      <c r="M462"/>
    </row>
    <row r="463" spans="1:13" ht="15" customHeight="1" x14ac:dyDescent="0.4">
      <c r="A463"/>
      <c r="B463"/>
      <c r="C463"/>
      <c r="D463"/>
      <c r="E463"/>
      <c r="F463"/>
      <c r="G463"/>
      <c r="H463"/>
      <c r="I463"/>
      <c r="J463"/>
      <c r="K463"/>
      <c r="L463"/>
      <c r="M463"/>
    </row>
    <row r="464" spans="1:13" ht="15" customHeight="1" x14ac:dyDescent="0.4">
      <c r="A464"/>
      <c r="B464"/>
      <c r="C464"/>
      <c r="D464"/>
      <c r="E464"/>
      <c r="F464"/>
      <c r="G464"/>
      <c r="H464"/>
      <c r="I464"/>
      <c r="J464"/>
      <c r="K464"/>
      <c r="L464"/>
      <c r="M464"/>
    </row>
    <row r="465" spans="1:13" ht="15" customHeight="1" x14ac:dyDescent="0.4">
      <c r="A465"/>
      <c r="B465"/>
      <c r="C465"/>
      <c r="D465"/>
      <c r="E465"/>
      <c r="F465"/>
      <c r="G465"/>
      <c r="H465"/>
      <c r="I465"/>
      <c r="J465"/>
      <c r="K465"/>
      <c r="L465"/>
      <c r="M465"/>
    </row>
    <row r="466" spans="1:13" ht="15" customHeight="1" x14ac:dyDescent="0.4">
      <c r="A466"/>
      <c r="B466"/>
      <c r="C466"/>
      <c r="D466"/>
      <c r="E466"/>
      <c r="F466"/>
      <c r="G466"/>
      <c r="H466"/>
      <c r="I466"/>
      <c r="J466"/>
      <c r="K466"/>
      <c r="L466"/>
      <c r="M466"/>
    </row>
    <row r="467" spans="1:13" ht="15" customHeight="1" x14ac:dyDescent="0.4">
      <c r="A467"/>
      <c r="B467"/>
      <c r="C467"/>
      <c r="D467"/>
      <c r="E467"/>
      <c r="F467"/>
      <c r="G467"/>
      <c r="H467"/>
      <c r="I467"/>
      <c r="J467"/>
      <c r="K467"/>
      <c r="L467"/>
      <c r="M467"/>
    </row>
    <row r="468" spans="1:13" ht="15" customHeight="1" x14ac:dyDescent="0.4">
      <c r="A468"/>
      <c r="B468"/>
      <c r="C468"/>
      <c r="D468"/>
      <c r="E468"/>
      <c r="F468"/>
      <c r="G468"/>
      <c r="H468"/>
      <c r="I468"/>
      <c r="J468"/>
      <c r="K468"/>
      <c r="L468"/>
      <c r="M468"/>
    </row>
    <row r="469" spans="1:13" ht="15" customHeight="1" x14ac:dyDescent="0.4">
      <c r="A469"/>
      <c r="B469"/>
      <c r="C469"/>
      <c r="D469"/>
      <c r="E469"/>
      <c r="F469"/>
      <c r="G469"/>
      <c r="H469"/>
      <c r="I469"/>
      <c r="J469"/>
      <c r="K469"/>
      <c r="L469"/>
      <c r="M469"/>
    </row>
    <row r="470" spans="1:13" ht="15" customHeight="1" x14ac:dyDescent="0.4">
      <c r="A470"/>
      <c r="B470"/>
      <c r="C470"/>
      <c r="D470"/>
      <c r="E470"/>
      <c r="F470"/>
      <c r="G470"/>
      <c r="H470"/>
      <c r="I470"/>
      <c r="J470"/>
      <c r="K470"/>
      <c r="L470"/>
      <c r="M470"/>
    </row>
    <row r="471" spans="1:13" ht="15" customHeight="1" x14ac:dyDescent="0.4">
      <c r="A471"/>
      <c r="B471"/>
      <c r="C471"/>
      <c r="D471"/>
      <c r="E471"/>
      <c r="F471"/>
      <c r="G471"/>
      <c r="H471"/>
      <c r="I471"/>
      <c r="J471"/>
      <c r="K471"/>
      <c r="L471"/>
      <c r="M471"/>
    </row>
    <row r="472" spans="1:13" ht="15" customHeight="1" x14ac:dyDescent="0.4">
      <c r="A472"/>
      <c r="B472"/>
      <c r="C472"/>
      <c r="D472"/>
      <c r="E472"/>
      <c r="F472"/>
      <c r="G472"/>
      <c r="H472"/>
      <c r="I472"/>
      <c r="J472"/>
      <c r="K472"/>
      <c r="L472"/>
      <c r="M472"/>
    </row>
    <row r="473" spans="1:13" ht="15" customHeight="1" x14ac:dyDescent="0.4">
      <c r="A473"/>
      <c r="B473"/>
      <c r="C473"/>
      <c r="D473"/>
      <c r="E473"/>
      <c r="F473"/>
      <c r="G473"/>
      <c r="H473"/>
      <c r="I473"/>
      <c r="J473"/>
      <c r="K473"/>
      <c r="L473"/>
      <c r="M473"/>
    </row>
    <row r="474" spans="1:13" ht="15" customHeight="1" x14ac:dyDescent="0.4">
      <c r="A474"/>
      <c r="B474"/>
      <c r="C474"/>
      <c r="D474"/>
      <c r="E474"/>
      <c r="F474"/>
      <c r="G474"/>
      <c r="H474"/>
      <c r="I474"/>
      <c r="J474"/>
      <c r="K474"/>
      <c r="L474"/>
      <c r="M474"/>
    </row>
    <row r="475" spans="1:13" ht="15" customHeight="1" x14ac:dyDescent="0.4">
      <c r="A475"/>
      <c r="B475"/>
      <c r="C475"/>
      <c r="D475"/>
      <c r="E475"/>
      <c r="F475"/>
      <c r="G475"/>
      <c r="H475"/>
      <c r="I475"/>
      <c r="J475"/>
      <c r="K475"/>
      <c r="L475"/>
      <c r="M475"/>
    </row>
    <row r="476" spans="1:13" ht="15" customHeight="1" x14ac:dyDescent="0.4">
      <c r="A476"/>
      <c r="B476"/>
      <c r="C476"/>
      <c r="D476"/>
      <c r="E476"/>
      <c r="F476"/>
      <c r="G476"/>
      <c r="H476"/>
      <c r="I476"/>
      <c r="J476"/>
      <c r="K476"/>
      <c r="L476"/>
      <c r="M476"/>
    </row>
    <row r="477" spans="1:13" ht="15" customHeight="1" x14ac:dyDescent="0.4">
      <c r="A477"/>
      <c r="B477"/>
      <c r="C477"/>
      <c r="D477"/>
      <c r="E477"/>
      <c r="F477"/>
      <c r="G477"/>
      <c r="H477"/>
      <c r="I477"/>
      <c r="J477"/>
      <c r="K477"/>
      <c r="L477"/>
      <c r="M477"/>
    </row>
    <row r="478" spans="1:13" ht="15" customHeight="1" x14ac:dyDescent="0.4">
      <c r="A478"/>
      <c r="B478"/>
      <c r="C478"/>
      <c r="D478"/>
      <c r="E478"/>
      <c r="F478"/>
      <c r="G478"/>
      <c r="H478"/>
      <c r="I478"/>
      <c r="J478"/>
      <c r="K478"/>
      <c r="L478"/>
      <c r="M478"/>
    </row>
    <row r="479" spans="1:13" ht="15" customHeight="1" x14ac:dyDescent="0.4">
      <c r="A479"/>
      <c r="B479"/>
      <c r="C479"/>
      <c r="D479"/>
      <c r="E479"/>
      <c r="F479"/>
      <c r="G479"/>
      <c r="H479"/>
      <c r="I479"/>
      <c r="J479"/>
      <c r="K479"/>
      <c r="L479"/>
      <c r="M479"/>
    </row>
    <row r="480" spans="1:13" ht="15" customHeight="1" x14ac:dyDescent="0.4">
      <c r="A480"/>
      <c r="B480"/>
      <c r="C480"/>
      <c r="D480"/>
      <c r="E480"/>
      <c r="F480"/>
      <c r="G480"/>
      <c r="H480"/>
      <c r="I480"/>
      <c r="J480"/>
      <c r="K480"/>
      <c r="L480"/>
      <c r="M480"/>
    </row>
    <row r="481" spans="1:13" ht="15" customHeight="1" x14ac:dyDescent="0.4">
      <c r="A481"/>
      <c r="B481"/>
      <c r="C481"/>
      <c r="D481"/>
      <c r="E481"/>
      <c r="F481"/>
      <c r="G481"/>
      <c r="H481"/>
      <c r="I481"/>
      <c r="J481"/>
      <c r="K481"/>
      <c r="L481"/>
      <c r="M481"/>
    </row>
    <row r="482" spans="1:13" ht="15" customHeight="1" x14ac:dyDescent="0.4">
      <c r="A482"/>
      <c r="B482"/>
      <c r="C482"/>
      <c r="D482"/>
      <c r="E482"/>
      <c r="F482"/>
      <c r="G482"/>
      <c r="H482"/>
      <c r="I482"/>
      <c r="J482"/>
      <c r="K482"/>
      <c r="L482"/>
      <c r="M482"/>
    </row>
    <row r="483" spans="1:13" ht="15" customHeight="1" x14ac:dyDescent="0.4">
      <c r="A483"/>
      <c r="B483"/>
      <c r="C483"/>
      <c r="D483"/>
      <c r="E483"/>
      <c r="F483"/>
      <c r="G483"/>
      <c r="H483"/>
      <c r="I483"/>
      <c r="J483"/>
      <c r="K483"/>
      <c r="L483"/>
      <c r="M483"/>
    </row>
    <row r="484" spans="1:13" ht="15" customHeight="1" x14ac:dyDescent="0.4">
      <c r="A484"/>
      <c r="B484"/>
      <c r="C484"/>
      <c r="D484"/>
      <c r="E484"/>
      <c r="F484"/>
      <c r="G484"/>
      <c r="H484"/>
      <c r="I484"/>
      <c r="J484"/>
      <c r="K484"/>
      <c r="L484"/>
      <c r="M484"/>
    </row>
    <row r="485" spans="1:13" ht="15" customHeight="1" x14ac:dyDescent="0.4">
      <c r="A485"/>
      <c r="B485"/>
      <c r="C485"/>
      <c r="D485"/>
      <c r="E485"/>
      <c r="F485"/>
      <c r="G485"/>
      <c r="H485"/>
      <c r="I485"/>
      <c r="J485"/>
      <c r="K485"/>
      <c r="L485"/>
      <c r="M485"/>
    </row>
    <row r="486" spans="1:13" ht="15" customHeight="1" x14ac:dyDescent="0.4">
      <c r="A486"/>
      <c r="B486"/>
      <c r="C486"/>
      <c r="D486"/>
      <c r="E486"/>
      <c r="F486"/>
      <c r="G486"/>
      <c r="H486"/>
      <c r="I486"/>
      <c r="J486"/>
      <c r="K486"/>
      <c r="L486"/>
      <c r="M486"/>
    </row>
    <row r="487" spans="1:13" ht="15" customHeight="1" x14ac:dyDescent="0.4">
      <c r="A487"/>
      <c r="B487"/>
      <c r="C487"/>
      <c r="D487"/>
      <c r="E487"/>
      <c r="F487"/>
      <c r="G487"/>
      <c r="H487"/>
      <c r="I487"/>
      <c r="J487"/>
      <c r="K487"/>
      <c r="L487"/>
      <c r="M487"/>
    </row>
    <row r="488" spans="1:13" ht="15" customHeight="1" x14ac:dyDescent="0.4">
      <c r="A488"/>
      <c r="B488"/>
      <c r="C488"/>
      <c r="D488"/>
      <c r="E488"/>
      <c r="F488"/>
      <c r="G488"/>
      <c r="H488"/>
      <c r="I488"/>
      <c r="J488"/>
      <c r="K488"/>
      <c r="L488"/>
      <c r="M488"/>
    </row>
    <row r="489" spans="1:13" ht="15" customHeight="1" x14ac:dyDescent="0.4">
      <c r="A489"/>
      <c r="B489"/>
      <c r="C489"/>
      <c r="D489"/>
      <c r="E489"/>
      <c r="F489"/>
      <c r="G489"/>
      <c r="H489"/>
      <c r="I489"/>
      <c r="J489"/>
      <c r="K489"/>
      <c r="L489"/>
      <c r="M489"/>
    </row>
    <row r="490" spans="1:13" ht="15" customHeight="1" x14ac:dyDescent="0.4">
      <c r="A490"/>
      <c r="B490"/>
      <c r="C490"/>
      <c r="D490"/>
      <c r="E490"/>
      <c r="F490"/>
      <c r="G490"/>
      <c r="H490"/>
      <c r="I490"/>
      <c r="J490"/>
      <c r="K490"/>
      <c r="L490"/>
      <c r="M490"/>
    </row>
    <row r="491" spans="1:13" ht="15" customHeight="1" x14ac:dyDescent="0.4">
      <c r="A491"/>
      <c r="B491"/>
      <c r="C491"/>
      <c r="D491"/>
      <c r="E491"/>
      <c r="F491"/>
      <c r="G491"/>
      <c r="H491"/>
      <c r="I491"/>
      <c r="J491"/>
      <c r="K491"/>
      <c r="L491"/>
      <c r="M491"/>
    </row>
    <row r="492" spans="1:13" ht="15" customHeight="1" x14ac:dyDescent="0.4">
      <c r="A492"/>
      <c r="B492"/>
      <c r="C492"/>
      <c r="D492"/>
      <c r="E492"/>
      <c r="F492"/>
      <c r="G492"/>
      <c r="H492"/>
      <c r="I492"/>
      <c r="J492"/>
      <c r="K492"/>
      <c r="L492"/>
      <c r="M492"/>
    </row>
    <row r="493" spans="1:13" ht="15" customHeight="1" x14ac:dyDescent="0.4">
      <c r="A493"/>
      <c r="B493"/>
      <c r="C493"/>
      <c r="D493"/>
      <c r="E493"/>
      <c r="F493"/>
      <c r="G493"/>
      <c r="H493"/>
      <c r="I493"/>
      <c r="J493"/>
      <c r="K493"/>
      <c r="L493"/>
      <c r="M493"/>
    </row>
    <row r="494" spans="1:13" ht="15" customHeight="1" x14ac:dyDescent="0.4">
      <c r="A494"/>
      <c r="B494"/>
      <c r="C494"/>
      <c r="D494"/>
      <c r="E494"/>
      <c r="F494"/>
      <c r="G494"/>
      <c r="H494"/>
      <c r="I494"/>
      <c r="J494"/>
      <c r="K494"/>
      <c r="L494"/>
      <c r="M494"/>
    </row>
    <row r="495" spans="1:13" ht="15" customHeight="1" x14ac:dyDescent="0.4">
      <c r="A495"/>
      <c r="B495"/>
      <c r="C495"/>
      <c r="D495"/>
      <c r="E495"/>
      <c r="F495"/>
      <c r="G495"/>
      <c r="H495"/>
      <c r="I495"/>
      <c r="J495"/>
      <c r="K495"/>
      <c r="L495"/>
      <c r="M495"/>
    </row>
    <row r="496" spans="1:13" ht="15" customHeight="1" x14ac:dyDescent="0.4">
      <c r="A496"/>
      <c r="B496"/>
      <c r="C496"/>
      <c r="D496"/>
      <c r="E496"/>
      <c r="F496"/>
      <c r="G496"/>
      <c r="H496"/>
      <c r="I496"/>
      <c r="J496"/>
      <c r="K496"/>
      <c r="L496"/>
      <c r="M496"/>
    </row>
    <row r="497" spans="1:13" ht="15" customHeight="1" x14ac:dyDescent="0.4">
      <c r="A497"/>
      <c r="B497"/>
      <c r="C497"/>
      <c r="D497"/>
      <c r="E497"/>
      <c r="F497"/>
      <c r="G497"/>
      <c r="H497"/>
      <c r="I497"/>
      <c r="J497"/>
      <c r="K497"/>
      <c r="L497"/>
      <c r="M497"/>
    </row>
    <row r="498" spans="1:13" ht="15" customHeight="1" x14ac:dyDescent="0.4">
      <c r="A498"/>
      <c r="B498"/>
      <c r="C498"/>
      <c r="D498"/>
      <c r="E498"/>
      <c r="F498"/>
      <c r="G498"/>
      <c r="H498"/>
      <c r="I498"/>
      <c r="J498"/>
      <c r="K498"/>
      <c r="L498"/>
      <c r="M498"/>
    </row>
    <row r="499" spans="1:13" ht="15" customHeight="1" x14ac:dyDescent="0.4">
      <c r="A499"/>
      <c r="B499"/>
      <c r="C499"/>
      <c r="D499"/>
      <c r="E499"/>
      <c r="F499"/>
      <c r="G499"/>
      <c r="H499"/>
      <c r="I499"/>
      <c r="J499"/>
      <c r="K499"/>
      <c r="L499"/>
      <c r="M499"/>
    </row>
    <row r="500" spans="1:13" ht="15" customHeight="1" x14ac:dyDescent="0.4">
      <c r="A500"/>
      <c r="B500"/>
      <c r="C500"/>
      <c r="D500"/>
      <c r="E500"/>
      <c r="F500"/>
      <c r="G500"/>
      <c r="H500"/>
      <c r="I500"/>
      <c r="J500"/>
      <c r="K500"/>
      <c r="L500"/>
      <c r="M500"/>
    </row>
  </sheetData>
  <dataConsolidate link="1"/>
  <phoneticPr fontId="2" type="noConversion"/>
  <pageMargins left="0.75" right="0.75" top="1" bottom="1" header="0.5" footer="0.5"/>
  <pageSetup orientation="portrait" horizontalDpi="4294967292" verticalDpi="429496729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Normal="100" zoomScalePageLayoutView="75" workbookViewId="0">
      <pane xSplit="3" ySplit="1" topLeftCell="D31" activePane="bottomRight" state="frozen"/>
      <selection pane="topRight" activeCell="D1" sqref="D1"/>
      <selection pane="bottomLeft" activeCell="A2" sqref="A2"/>
      <selection pane="bottomRight" activeCell="L40" sqref="L40"/>
    </sheetView>
  </sheetViews>
  <sheetFormatPr defaultColWidth="8.83203125" defaultRowHeight="15" customHeight="1" x14ac:dyDescent="0.4"/>
  <cols>
    <col min="1" max="1" width="40.33203125" style="48" bestFit="1" customWidth="1"/>
    <col min="2" max="4" width="9.5" style="48" bestFit="1" customWidth="1"/>
    <col min="5" max="7" width="9" style="48" bestFit="1" customWidth="1"/>
    <col min="8" max="16" width="12.6640625" style="48" bestFit="1" customWidth="1"/>
    <col min="17" max="17" width="12.33203125" style="48" bestFit="1" customWidth="1"/>
    <col min="18" max="18" width="8.83203125" style="48"/>
    <col min="19" max="21" width="9.33203125" style="48" bestFit="1" customWidth="1"/>
    <col min="22" max="23" width="8.83203125" style="48"/>
    <col min="24" max="24" width="9.33203125" style="48" bestFit="1" customWidth="1"/>
    <col min="25" max="27" width="8.83203125" style="48"/>
    <col min="28" max="58" width="9" style="48" bestFit="1" customWidth="1"/>
    <col min="59" max="59" width="12.33203125" style="48" bestFit="1" customWidth="1"/>
    <col min="60" max="60" width="9" style="48" bestFit="1" customWidth="1"/>
    <col min="61" max="61" width="11.33203125" style="48" bestFit="1" customWidth="1"/>
    <col min="62" max="77" width="9" style="48" bestFit="1" customWidth="1"/>
    <col min="78" max="78" width="12.33203125" style="48" bestFit="1" customWidth="1"/>
    <col min="79" max="79" width="9" style="48" bestFit="1" customWidth="1"/>
    <col min="80" max="80" width="12.33203125" style="48" bestFit="1" customWidth="1"/>
    <col min="81" max="107" width="9" style="48" bestFit="1" customWidth="1"/>
    <col min="108" max="108" width="11.33203125" style="48" bestFit="1" customWidth="1"/>
    <col min="109" max="124" width="9" style="48" bestFit="1" customWidth="1"/>
    <col min="125" max="125" width="10.33203125" style="48" bestFit="1" customWidth="1"/>
    <col min="126" max="129" width="9.33203125" style="48" bestFit="1" customWidth="1"/>
    <col min="130" max="130" width="9" style="48" bestFit="1" customWidth="1"/>
    <col min="131" max="134" width="9.33203125" style="48" bestFit="1" customWidth="1"/>
    <col min="135" max="165" width="9" style="48" bestFit="1" customWidth="1"/>
    <col min="166" max="166" width="12.33203125" style="48" bestFit="1" customWidth="1"/>
    <col min="167" max="170" width="9" style="48" bestFit="1" customWidth="1"/>
    <col min="171" max="176" width="8.83203125" style="48"/>
    <col min="177" max="177" width="13.83203125" style="48" bestFit="1" customWidth="1"/>
    <col min="178" max="16384" width="8.83203125" style="48"/>
  </cols>
  <sheetData>
    <row r="1" spans="1:209" ht="15" customHeight="1" x14ac:dyDescent="0.4">
      <c r="A1" t="s">
        <v>16</v>
      </c>
      <c r="B1" t="s">
        <v>1</v>
      </c>
      <c r="C1" t="s">
        <v>17</v>
      </c>
      <c r="D1" t="s">
        <v>441</v>
      </c>
      <c r="E1" t="s">
        <v>442</v>
      </c>
      <c r="F1" t="s">
        <v>443</v>
      </c>
      <c r="G1" t="s">
        <v>444</v>
      </c>
      <c r="H1" t="s">
        <v>445</v>
      </c>
      <c r="I1" t="s">
        <v>446</v>
      </c>
      <c r="J1" t="s">
        <v>447</v>
      </c>
      <c r="K1" t="s">
        <v>448</v>
      </c>
      <c r="L1" t="s">
        <v>270</v>
      </c>
      <c r="M1" t="s">
        <v>177</v>
      </c>
      <c r="N1" t="s">
        <v>178</v>
      </c>
      <c r="O1" t="s">
        <v>179</v>
      </c>
      <c r="P1" t="s">
        <v>180</v>
      </c>
      <c r="Q1" t="s">
        <v>181</v>
      </c>
      <c r="R1" t="s">
        <v>182</v>
      </c>
      <c r="S1" t="s">
        <v>183</v>
      </c>
      <c r="T1" t="s">
        <v>184</v>
      </c>
      <c r="U1" t="s">
        <v>185</v>
      </c>
      <c r="V1" t="s">
        <v>186</v>
      </c>
      <c r="W1" t="s">
        <v>187</v>
      </c>
      <c r="X1" t="s">
        <v>188</v>
      </c>
      <c r="Y1" t="s">
        <v>189</v>
      </c>
      <c r="Z1" t="s">
        <v>273</v>
      </c>
      <c r="AA1" t="s">
        <v>190</v>
      </c>
      <c r="AB1" t="s">
        <v>191</v>
      </c>
      <c r="AC1" t="s">
        <v>192</v>
      </c>
      <c r="AD1" t="s">
        <v>193</v>
      </c>
      <c r="AE1" t="s">
        <v>194</v>
      </c>
      <c r="AF1" t="s">
        <v>195</v>
      </c>
      <c r="AG1" t="s">
        <v>196</v>
      </c>
      <c r="AH1" t="s">
        <v>197</v>
      </c>
      <c r="AI1" t="s">
        <v>198</v>
      </c>
      <c r="AJ1" t="s">
        <v>199</v>
      </c>
      <c r="AK1" t="s">
        <v>265</v>
      </c>
      <c r="AL1" t="s">
        <v>274</v>
      </c>
      <c r="AM1" t="s">
        <v>275</v>
      </c>
      <c r="AN1" t="s">
        <v>276</v>
      </c>
      <c r="AO1" t="s">
        <v>277</v>
      </c>
      <c r="AP1" t="s">
        <v>278</v>
      </c>
      <c r="AQ1" t="s">
        <v>279</v>
      </c>
      <c r="AR1" t="s">
        <v>200</v>
      </c>
      <c r="AS1" t="s">
        <v>201</v>
      </c>
      <c r="AT1" t="s">
        <v>202</v>
      </c>
      <c r="AU1" t="s">
        <v>203</v>
      </c>
      <c r="AV1" t="s">
        <v>204</v>
      </c>
      <c r="AW1" t="s">
        <v>205</v>
      </c>
      <c r="AX1" t="s">
        <v>206</v>
      </c>
      <c r="AY1" t="s">
        <v>207</v>
      </c>
      <c r="AZ1" t="s">
        <v>208</v>
      </c>
      <c r="BA1" t="s">
        <v>209</v>
      </c>
      <c r="BB1" t="s">
        <v>210</v>
      </c>
      <c r="BC1" t="s">
        <v>211</v>
      </c>
      <c r="BD1" t="s">
        <v>212</v>
      </c>
      <c r="BE1" t="s">
        <v>213</v>
      </c>
      <c r="BF1" t="s">
        <v>214</v>
      </c>
      <c r="BG1" t="s">
        <v>215</v>
      </c>
      <c r="BH1" t="s">
        <v>216</v>
      </c>
      <c r="BI1" t="s">
        <v>217</v>
      </c>
      <c r="BJ1" t="s">
        <v>218</v>
      </c>
      <c r="BK1" t="s">
        <v>219</v>
      </c>
      <c r="BL1" t="s">
        <v>220</v>
      </c>
      <c r="BM1" t="s">
        <v>221</v>
      </c>
      <c r="BN1" t="s">
        <v>222</v>
      </c>
      <c r="BO1" t="s">
        <v>223</v>
      </c>
      <c r="BP1" t="s">
        <v>224</v>
      </c>
      <c r="BQ1" t="s">
        <v>225</v>
      </c>
      <c r="BR1" t="s">
        <v>226</v>
      </c>
      <c r="BS1" t="s">
        <v>227</v>
      </c>
      <c r="BT1" t="s">
        <v>228</v>
      </c>
      <c r="BU1" t="s">
        <v>229</v>
      </c>
      <c r="BV1" t="s">
        <v>230</v>
      </c>
      <c r="BW1" t="s">
        <v>231</v>
      </c>
      <c r="BX1" t="s">
        <v>232</v>
      </c>
      <c r="BY1" t="s">
        <v>233</v>
      </c>
      <c r="BZ1" t="s">
        <v>234</v>
      </c>
      <c r="CA1" t="s">
        <v>235</v>
      </c>
      <c r="CB1" t="s">
        <v>236</v>
      </c>
      <c r="CC1" t="s">
        <v>237</v>
      </c>
      <c r="CD1" t="s">
        <v>238</v>
      </c>
      <c r="CE1" t="s">
        <v>239</v>
      </c>
      <c r="CF1" t="s">
        <v>240</v>
      </c>
      <c r="CG1" t="s">
        <v>241</v>
      </c>
      <c r="CH1" t="s">
        <v>242</v>
      </c>
      <c r="CI1" t="s">
        <v>243</v>
      </c>
      <c r="CJ1" t="s">
        <v>244</v>
      </c>
      <c r="CK1" t="s">
        <v>245</v>
      </c>
      <c r="CL1" t="s">
        <v>246</v>
      </c>
      <c r="CM1" t="s">
        <v>247</v>
      </c>
      <c r="CN1" t="s">
        <v>280</v>
      </c>
      <c r="CO1" t="s">
        <v>281</v>
      </c>
      <c r="CP1" t="s">
        <v>248</v>
      </c>
      <c r="CQ1" t="s">
        <v>249</v>
      </c>
      <c r="CR1" t="s">
        <v>282</v>
      </c>
      <c r="CS1" t="s">
        <v>283</v>
      </c>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4">
      <c r="A2" t="s">
        <v>177</v>
      </c>
      <c r="B2">
        <v>215</v>
      </c>
      <c r="C2">
        <v>4.2167882919311523</v>
      </c>
      <c r="D2"/>
      <c r="E2"/>
      <c r="F2"/>
      <c r="G2"/>
      <c r="H2"/>
      <c r="I2"/>
      <c r="J2"/>
      <c r="K2"/>
      <c r="L2"/>
      <c r="M2"/>
      <c r="N2"/>
      <c r="O2" s="258">
        <v>87.217880249023438</v>
      </c>
      <c r="P2" s="281">
        <v>5.7230019569396973</v>
      </c>
      <c r="Q2" s="233">
        <v>48.592857360839844</v>
      </c>
      <c r="R2" s="303">
        <v>8.688690185546875</v>
      </c>
      <c r="S2" s="268">
        <v>0.14366912841796875</v>
      </c>
      <c r="T2" s="271">
        <v>0.2965121865272522</v>
      </c>
      <c r="U2" s="271">
        <v>0.22398950159549713</v>
      </c>
      <c r="V2" s="279">
        <v>1.4779816865921021</v>
      </c>
      <c r="W2" s="274">
        <v>2.8925559520721436</v>
      </c>
      <c r="X2"/>
      <c r="Y2"/>
      <c r="Z2" s="339">
        <v>43.584846496582031</v>
      </c>
      <c r="AA2" s="289">
        <v>8.5796890258789063</v>
      </c>
      <c r="AB2" s="275">
        <v>2.6185054779052734</v>
      </c>
      <c r="AC2"/>
      <c r="AD2"/>
      <c r="AE2"/>
      <c r="AF2"/>
      <c r="AG2" s="268">
        <v>2.6704708114266396E-2</v>
      </c>
      <c r="AH2" s="268">
        <v>9.3872629106044769E-2</v>
      </c>
      <c r="AI2" s="268">
        <v>5.6335695087909698E-2</v>
      </c>
      <c r="AJ2"/>
      <c r="AK2"/>
      <c r="AL2"/>
      <c r="AM2"/>
      <c r="AN2"/>
      <c r="AO2"/>
      <c r="AP2"/>
      <c r="AQ2"/>
      <c r="AR2"/>
      <c r="AS2"/>
      <c r="AT2"/>
      <c r="AU2"/>
      <c r="AV2"/>
      <c r="AW2"/>
      <c r="AX2"/>
      <c r="AY2"/>
      <c r="AZ2"/>
      <c r="BA2"/>
      <c r="BB2"/>
      <c r="BC2"/>
      <c r="BD2"/>
      <c r="BE2" s="268">
        <v>1.7811948055168614E-5</v>
      </c>
      <c r="BF2"/>
      <c r="BG2"/>
      <c r="BH2"/>
      <c r="BI2"/>
      <c r="BJ2"/>
      <c r="BK2"/>
      <c r="BL2"/>
      <c r="BM2"/>
      <c r="BN2"/>
      <c r="BO2"/>
      <c r="BP2" s="268">
        <v>0.12911735475063324</v>
      </c>
      <c r="BQ2"/>
      <c r="BR2"/>
      <c r="BS2"/>
      <c r="BT2"/>
      <c r="BU2"/>
      <c r="BV2" s="271">
        <v>0.24861177802085876</v>
      </c>
      <c r="BW2"/>
      <c r="BX2" s="268">
        <v>0.16117589175701141</v>
      </c>
      <c r="BY2" s="268">
        <v>2.7242919430136681E-2</v>
      </c>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4">
      <c r="A3" t="s">
        <v>178</v>
      </c>
      <c r="B3">
        <v>215</v>
      </c>
      <c r="C3">
        <v>11.732976913452148</v>
      </c>
      <c r="D3"/>
      <c r="E3"/>
      <c r="F3"/>
      <c r="G3"/>
      <c r="H3"/>
      <c r="I3"/>
      <c r="J3"/>
      <c r="K3"/>
      <c r="L3"/>
      <c r="M3"/>
      <c r="N3"/>
      <c r="O3" s="371">
        <v>84.6729736328125</v>
      </c>
      <c r="P3" s="283">
        <v>5.2934160232543945</v>
      </c>
      <c r="Q3" s="141">
        <v>51.45318603515625</v>
      </c>
      <c r="R3" s="298">
        <v>10.508333206176758</v>
      </c>
      <c r="S3" s="268">
        <v>0.14366912841796875</v>
      </c>
      <c r="T3" s="271">
        <v>0.2965121865272522</v>
      </c>
      <c r="U3" s="271">
        <v>0.22398950159549713</v>
      </c>
      <c r="V3" s="279">
        <v>1.4779814481735229</v>
      </c>
      <c r="W3" s="274">
        <v>2.8925557136535645</v>
      </c>
      <c r="X3"/>
      <c r="Y3"/>
      <c r="Z3" s="196">
        <v>33.796676635742188</v>
      </c>
      <c r="AA3" s="277">
        <v>9.1461505889892578</v>
      </c>
      <c r="AB3" s="275">
        <v>2.6185057163238525</v>
      </c>
      <c r="AC3"/>
      <c r="AD3"/>
      <c r="AE3"/>
      <c r="AF3"/>
      <c r="AG3" s="268">
        <v>2.6704708114266396E-2</v>
      </c>
      <c r="AH3" s="268">
        <v>9.3872629106044769E-2</v>
      </c>
      <c r="AI3" s="268">
        <v>5.63356913626194E-2</v>
      </c>
      <c r="AJ3"/>
      <c r="AK3"/>
      <c r="AL3"/>
      <c r="AM3"/>
      <c r="AN3"/>
      <c r="AO3"/>
      <c r="AP3"/>
      <c r="AQ3"/>
      <c r="AR3"/>
      <c r="AS3"/>
      <c r="AT3"/>
      <c r="AU3"/>
      <c r="AV3"/>
      <c r="AW3"/>
      <c r="AX3"/>
      <c r="AY3"/>
      <c r="AZ3"/>
      <c r="BA3"/>
      <c r="BB3"/>
      <c r="BC3"/>
      <c r="BD3"/>
      <c r="BE3" s="268">
        <v>1.7811949874158017E-5</v>
      </c>
      <c r="BF3"/>
      <c r="BG3"/>
      <c r="BH3"/>
      <c r="BI3"/>
      <c r="BJ3"/>
      <c r="BK3"/>
      <c r="BL3"/>
      <c r="BM3"/>
      <c r="BN3"/>
      <c r="BO3"/>
      <c r="BP3" s="268">
        <v>0.12911735475063324</v>
      </c>
      <c r="BQ3"/>
      <c r="BR3"/>
      <c r="BS3"/>
      <c r="BT3"/>
      <c r="BU3"/>
      <c r="BV3" s="271">
        <v>0.24861176311969757</v>
      </c>
      <c r="BW3"/>
      <c r="BX3" s="268">
        <v>0.16117590665817261</v>
      </c>
      <c r="BY3" s="268">
        <v>2.7242919430136681E-2</v>
      </c>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4">
      <c r="A4" t="s">
        <v>179</v>
      </c>
      <c r="B4">
        <v>150</v>
      </c>
      <c r="C4">
        <v>14.999977111816406</v>
      </c>
      <c r="D4"/>
      <c r="E4"/>
      <c r="F4"/>
      <c r="G4"/>
      <c r="H4"/>
      <c r="I4"/>
      <c r="J4"/>
      <c r="K4"/>
      <c r="L4"/>
      <c r="M4"/>
      <c r="N4"/>
      <c r="O4"/>
      <c r="P4" s="303">
        <v>6.0594115257263184</v>
      </c>
      <c r="Q4" s="370">
        <v>84.456413269042969</v>
      </c>
      <c r="R4" s="335">
        <v>15.371892929077148</v>
      </c>
      <c r="S4" s="268">
        <v>0.12558694183826447</v>
      </c>
      <c r="T4" s="269">
        <v>0.5940898060798645</v>
      </c>
      <c r="U4" s="271">
        <v>0.43289706110954285</v>
      </c>
      <c r="V4" s="273">
        <v>2.3679275512695313</v>
      </c>
      <c r="W4" s="292">
        <v>3.0903878211975098</v>
      </c>
      <c r="X4"/>
      <c r="Y4"/>
      <c r="Z4" s="304">
        <v>11.820637702941895</v>
      </c>
      <c r="AA4" s="284">
        <v>7.1682014465332031</v>
      </c>
      <c r="AB4" s="276">
        <v>2.6503524780273438</v>
      </c>
      <c r="AC4"/>
      <c r="AD4"/>
      <c r="AE4"/>
      <c r="AF4"/>
      <c r="AG4"/>
      <c r="AH4"/>
      <c r="AI4"/>
      <c r="AJ4"/>
      <c r="AK4"/>
      <c r="AL4"/>
      <c r="AM4"/>
      <c r="AN4"/>
      <c r="AO4"/>
      <c r="AP4"/>
      <c r="AQ4"/>
      <c r="AR4"/>
      <c r="AS4"/>
      <c r="AT4"/>
      <c r="AU4"/>
      <c r="AV4"/>
      <c r="AW4"/>
      <c r="AX4"/>
      <c r="AY4"/>
      <c r="AZ4"/>
      <c r="BA4"/>
      <c r="BB4"/>
      <c r="BC4"/>
      <c r="BD4"/>
      <c r="BE4"/>
      <c r="BF4" s="268">
        <v>6.9436314333870541E-6</v>
      </c>
      <c r="BG4"/>
      <c r="BH4"/>
      <c r="BI4"/>
      <c r="BJ4"/>
      <c r="BK4"/>
      <c r="BL4"/>
      <c r="BM4"/>
      <c r="BN4"/>
      <c r="BO4"/>
      <c r="BP4"/>
      <c r="BQ4"/>
      <c r="BR4"/>
      <c r="BS4"/>
      <c r="BT4"/>
      <c r="BU4"/>
      <c r="BV4"/>
      <c r="BW4"/>
      <c r="BX4" s="280">
        <v>0.77489674091339111</v>
      </c>
      <c r="BY4" s="268">
        <v>8.7318465113639832E-2</v>
      </c>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4">
      <c r="A5" t="s">
        <v>180</v>
      </c>
      <c r="B5">
        <v>15</v>
      </c>
      <c r="C5">
        <v>3.8342447280883789</v>
      </c>
      <c r="D5"/>
      <c r="E5"/>
      <c r="F5"/>
      <c r="G5"/>
      <c r="H5"/>
      <c r="I5"/>
      <c r="J5"/>
      <c r="K5"/>
      <c r="L5"/>
      <c r="M5"/>
      <c r="N5"/>
      <c r="O5"/>
      <c r="P5"/>
      <c r="Q5"/>
      <c r="R5"/>
      <c r="S5" s="269">
        <v>4.5305229723453522E-2</v>
      </c>
      <c r="T5" s="279">
        <v>0.12629634141921997</v>
      </c>
      <c r="U5" s="342">
        <v>3.1581001281738281</v>
      </c>
      <c r="V5" s="295">
        <v>1.2217047214508057</v>
      </c>
      <c r="W5" s="285">
        <v>0.44793117046356201</v>
      </c>
      <c r="X5" s="271">
        <v>2.5793902575969696E-2</v>
      </c>
      <c r="Y5" s="271">
        <v>3.6956004798412323E-2</v>
      </c>
      <c r="Z5"/>
      <c r="AA5" s="195">
        <v>3.066608190536499</v>
      </c>
      <c r="AB5" s="193">
        <v>1.0283262729644775</v>
      </c>
      <c r="AC5" s="271">
        <v>4.1708823293447495E-2</v>
      </c>
      <c r="AD5" s="268">
        <v>3.4846616472350433E-5</v>
      </c>
      <c r="AE5" s="272">
        <v>0.15162958204746246</v>
      </c>
      <c r="AF5" s="269">
        <v>4.8676088452339172E-2</v>
      </c>
      <c r="AG5" s="271">
        <v>1.5087256208062172E-2</v>
      </c>
      <c r="AH5" s="269">
        <v>5.0838444381952286E-2</v>
      </c>
      <c r="AI5" s="280">
        <v>8.3384528756141663E-2</v>
      </c>
      <c r="AJ5" s="268">
        <v>1.8078418215736747E-3</v>
      </c>
      <c r="AK5"/>
      <c r="AL5" s="268">
        <v>3.9855798240751028E-4</v>
      </c>
      <c r="AM5" s="268">
        <v>1.5538194566033781E-4</v>
      </c>
      <c r="AN5" s="268">
        <v>2.8560226201079786E-4</v>
      </c>
      <c r="AO5" s="268">
        <v>2.8162627131678164E-4</v>
      </c>
      <c r="AP5"/>
      <c r="AQ5" s="268">
        <v>6.2809725932311267E-5</v>
      </c>
      <c r="AR5" s="268">
        <v>3.2642779406160116E-3</v>
      </c>
      <c r="AS5" s="268">
        <v>3.5018601920455694E-3</v>
      </c>
      <c r="AT5" s="268">
        <v>1.5412210486829281E-3</v>
      </c>
      <c r="AU5"/>
      <c r="AV5"/>
      <c r="AW5" s="268">
        <v>5.7161954464390874E-4</v>
      </c>
      <c r="AX5"/>
      <c r="AY5" s="269">
        <v>5.9069957584142685E-2</v>
      </c>
      <c r="AZ5" s="268">
        <v>9.2390533536672592E-3</v>
      </c>
      <c r="BA5" s="268">
        <v>6.2716906541027129E-5</v>
      </c>
      <c r="BB5"/>
      <c r="BC5" s="269">
        <v>5.9974830597639084E-2</v>
      </c>
      <c r="BD5"/>
      <c r="BE5" s="268">
        <v>3.8578276871703565E-4</v>
      </c>
      <c r="BF5" s="268">
        <v>1.0501574251975399E-5</v>
      </c>
      <c r="BG5"/>
      <c r="BH5"/>
      <c r="BI5"/>
      <c r="BJ5" s="268">
        <v>1.2591814156621695E-3</v>
      </c>
      <c r="BK5" s="268">
        <v>9.9653974757529795E-5</v>
      </c>
      <c r="BL5" s="268">
        <v>7.7573871240019798E-3</v>
      </c>
      <c r="BM5" s="268">
        <v>1.2596531771123409E-2</v>
      </c>
      <c r="BN5"/>
      <c r="BO5" s="280">
        <v>0.10035925358533859</v>
      </c>
      <c r="BP5" s="307">
        <v>0.52502197027206421</v>
      </c>
      <c r="BQ5" s="268">
        <v>9.879416786134243E-3</v>
      </c>
      <c r="BR5"/>
      <c r="BS5" s="276">
        <v>0.25973746180534363</v>
      </c>
      <c r="BT5"/>
      <c r="BU5" s="270">
        <v>0.54633146524429321</v>
      </c>
      <c r="BV5"/>
      <c r="BW5"/>
      <c r="BX5"/>
      <c r="BY5" s="268">
        <v>8.4374891594052315E-3</v>
      </c>
      <c r="BZ5"/>
      <c r="CA5"/>
      <c r="CB5"/>
      <c r="CC5"/>
      <c r="CD5" s="268">
        <v>1.2881043403467629E-5</v>
      </c>
      <c r="CE5"/>
      <c r="CF5" s="268">
        <v>3.2841027714312077E-3</v>
      </c>
      <c r="CG5"/>
      <c r="CH5" s="268">
        <v>1.2719982805720065E-5</v>
      </c>
      <c r="CI5"/>
      <c r="CJ5" s="268">
        <v>2.4692966690054163E-5</v>
      </c>
      <c r="CK5"/>
      <c r="CL5" s="268">
        <v>1.9468490500003099E-3</v>
      </c>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4">
      <c r="A6" t="s">
        <v>181</v>
      </c>
      <c r="B6">
        <v>37</v>
      </c>
      <c r="C6">
        <v>21.491653442382813</v>
      </c>
      <c r="D6"/>
      <c r="E6"/>
      <c r="F6"/>
      <c r="G6"/>
      <c r="H6"/>
      <c r="I6"/>
      <c r="J6"/>
      <c r="K6"/>
      <c r="L6"/>
      <c r="M6"/>
      <c r="N6"/>
      <c r="O6"/>
      <c r="P6"/>
      <c r="Q6"/>
      <c r="R6"/>
      <c r="S6" s="269">
        <v>0.11175289750099182</v>
      </c>
      <c r="T6" s="279">
        <v>0.31153097748756409</v>
      </c>
      <c r="U6" s="320">
        <v>3.9414725303649902</v>
      </c>
      <c r="V6" s="295">
        <v>3.0135385990142822</v>
      </c>
      <c r="W6" s="285">
        <v>1.1048970222473145</v>
      </c>
      <c r="X6" s="271">
        <v>6.3624963164329529E-2</v>
      </c>
      <c r="Y6" s="271">
        <v>9.1158144176006317E-2</v>
      </c>
      <c r="Z6"/>
      <c r="AA6" s="303">
        <v>1.5517939329147339</v>
      </c>
      <c r="AB6" s="274">
        <v>0.53022998571395874</v>
      </c>
      <c r="AC6" s="271">
        <v>0.10288175940513611</v>
      </c>
      <c r="AD6" s="268">
        <v>8.5954983660485595E-5</v>
      </c>
      <c r="AE6" s="272">
        <v>0.37401965260505676</v>
      </c>
      <c r="AF6" s="269">
        <v>0.14147385954856873</v>
      </c>
      <c r="AG6" s="271">
        <v>3.7215232849121094E-2</v>
      </c>
      <c r="AH6" s="269">
        <v>0.12540149688720703</v>
      </c>
      <c r="AI6" s="280">
        <v>0.20568187534809113</v>
      </c>
      <c r="AJ6" s="268">
        <v>4.4593429192900658E-3</v>
      </c>
      <c r="AK6" s="268">
        <v>6.0434264014475048E-5</v>
      </c>
      <c r="AL6" s="268">
        <v>3.3608652302064002E-5</v>
      </c>
      <c r="AM6" s="268">
        <v>1.3102679076837376E-5</v>
      </c>
      <c r="AN6" s="268">
        <v>2.4083587049972266E-5</v>
      </c>
      <c r="AO6" s="268">
        <v>2.3748312742100097E-5</v>
      </c>
      <c r="AP6" s="268">
        <v>2.3923362277855631E-6</v>
      </c>
      <c r="AQ6" s="268">
        <v>4.6685767301823944E-5</v>
      </c>
      <c r="AR6" s="268">
        <v>2.6985435397364199E-4</v>
      </c>
      <c r="AS6" s="268">
        <v>1.3943899422883987E-2</v>
      </c>
      <c r="AT6" s="268">
        <v>6.1369165778160095E-3</v>
      </c>
      <c r="AU6"/>
      <c r="AV6"/>
      <c r="AW6" s="268">
        <v>1.4099946711212397E-3</v>
      </c>
      <c r="AX6"/>
      <c r="AY6" s="271">
        <v>4.7654617577791214E-2</v>
      </c>
      <c r="AZ6" s="268">
        <v>1.1758401989936829E-2</v>
      </c>
      <c r="BA6" s="268">
        <v>1.5470174548681825E-4</v>
      </c>
      <c r="BB6" s="266">
        <v>1.3538349330488586E-9</v>
      </c>
      <c r="BC6" s="268">
        <v>1.4859540387988091E-2</v>
      </c>
      <c r="BD6"/>
      <c r="BE6" s="268">
        <v>9.515975252725184E-4</v>
      </c>
      <c r="BF6" s="268">
        <v>2.5903886125888675E-5</v>
      </c>
      <c r="BG6"/>
      <c r="BH6"/>
      <c r="BI6"/>
      <c r="BJ6" s="268">
        <v>3.1059812754392624E-3</v>
      </c>
      <c r="BK6" s="268">
        <v>2.4581316392868757E-4</v>
      </c>
      <c r="BL6" s="268">
        <v>1.9134888425469398E-2</v>
      </c>
      <c r="BM6" s="268">
        <v>3.107144683599472E-2</v>
      </c>
      <c r="BN6"/>
      <c r="BO6" s="280">
        <v>0.24755282700061798</v>
      </c>
      <c r="BP6" s="307">
        <v>1.2950544357299805</v>
      </c>
      <c r="BQ6" s="268">
        <v>2.4369226768612862E-2</v>
      </c>
      <c r="BR6"/>
      <c r="BS6" s="278">
        <v>0.70538514852523804</v>
      </c>
      <c r="BT6"/>
      <c r="BU6" s="270">
        <v>1.3476176261901855</v>
      </c>
      <c r="BV6"/>
      <c r="BW6"/>
      <c r="BX6"/>
      <c r="BY6" s="268">
        <v>2.0812472328543663E-2</v>
      </c>
      <c r="BZ6"/>
      <c r="CA6"/>
      <c r="CB6"/>
      <c r="CC6"/>
      <c r="CD6" s="268">
        <v>3.177324470016174E-5</v>
      </c>
      <c r="CE6"/>
      <c r="CF6" s="268">
        <v>4.8214086564257741E-4</v>
      </c>
      <c r="CG6"/>
      <c r="CH6" s="268">
        <v>3.137595922453329E-5</v>
      </c>
      <c r="CI6"/>
      <c r="CJ6" s="268">
        <v>6.0909314925083891E-5</v>
      </c>
      <c r="CK6"/>
      <c r="CL6" s="268">
        <v>4.8022274859249592E-3</v>
      </c>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4">
      <c r="A7" t="s">
        <v>182</v>
      </c>
      <c r="B7">
        <v>37</v>
      </c>
      <c r="C7">
        <v>15.803961753845215</v>
      </c>
      <c r="D7"/>
      <c r="E7"/>
      <c r="F7"/>
      <c r="G7"/>
      <c r="H7"/>
      <c r="I7"/>
      <c r="J7"/>
      <c r="K7"/>
      <c r="L7"/>
      <c r="M7"/>
      <c r="N7"/>
      <c r="O7"/>
      <c r="P7"/>
      <c r="Q7"/>
      <c r="R7"/>
      <c r="S7" s="269">
        <v>0.11175289750099182</v>
      </c>
      <c r="T7" s="279">
        <v>0.31153097748756409</v>
      </c>
      <c r="U7" s="296">
        <v>3.5117480754852295</v>
      </c>
      <c r="V7" s="295">
        <v>3.0135383605957031</v>
      </c>
      <c r="W7" s="285">
        <v>1.1048969030380249</v>
      </c>
      <c r="X7" s="271">
        <v>6.3624963164329529E-2</v>
      </c>
      <c r="Y7" s="271">
        <v>9.115813672542572E-2</v>
      </c>
      <c r="Z7"/>
      <c r="AA7" s="240">
        <v>4.9482874870300293</v>
      </c>
      <c r="AB7" s="341">
        <v>2.1647088527679443</v>
      </c>
      <c r="AC7" s="271">
        <v>0.10288175940513611</v>
      </c>
      <c r="AD7" s="268">
        <v>8.5954983660485595E-5</v>
      </c>
      <c r="AE7" s="272">
        <v>0.37401962280273438</v>
      </c>
      <c r="AF7" s="269">
        <v>0.12006768584251404</v>
      </c>
      <c r="AG7" s="271">
        <v>3.7215232849121094E-2</v>
      </c>
      <c r="AH7" s="269">
        <v>0.12540149688720703</v>
      </c>
      <c r="AI7" s="280">
        <v>0.20568187534809113</v>
      </c>
      <c r="AJ7" s="268">
        <v>4.4593429192900658E-3</v>
      </c>
      <c r="AK7"/>
      <c r="AL7" s="268">
        <v>3.1405214685946703E-3</v>
      </c>
      <c r="AM7" s="268">
        <v>3.0986829660832882E-3</v>
      </c>
      <c r="AN7" s="268">
        <v>3.7512257695198059E-3</v>
      </c>
      <c r="AO7" s="268">
        <v>4.9826004542410374E-3</v>
      </c>
      <c r="AP7" s="268">
        <v>5.2659139328170568E-5</v>
      </c>
      <c r="AQ7" s="268">
        <v>1.4535081572830677E-3</v>
      </c>
      <c r="AR7" s="268">
        <v>3.0621548648923635E-3</v>
      </c>
      <c r="AS7" s="268">
        <v>3.322213888168335E-2</v>
      </c>
      <c r="AT7" s="268">
        <v>1.462155394256115E-2</v>
      </c>
      <c r="AU7"/>
      <c r="AV7"/>
      <c r="AW7" s="268">
        <v>1.4099947875365615E-3</v>
      </c>
      <c r="AX7"/>
      <c r="AY7" s="268">
        <v>1.8064161762595177E-2</v>
      </c>
      <c r="AZ7" s="268">
        <v>1.0526650585234165E-2</v>
      </c>
      <c r="BA7" s="268">
        <v>1.5470173093490303E-4</v>
      </c>
      <c r="BB7"/>
      <c r="BC7" s="292">
        <v>0.81641435623168945</v>
      </c>
      <c r="BD7"/>
      <c r="BE7" s="268">
        <v>9.515975252725184E-4</v>
      </c>
      <c r="BF7" s="268">
        <v>2.5903884306899272E-5</v>
      </c>
      <c r="BG7"/>
      <c r="BH7"/>
      <c r="BI7"/>
      <c r="BJ7" s="268">
        <v>3.1059812754392624E-3</v>
      </c>
      <c r="BK7" s="268">
        <v>2.4581313482485712E-4</v>
      </c>
      <c r="BL7" s="268">
        <v>1.9134888425469398E-2</v>
      </c>
      <c r="BM7" s="268">
        <v>3.107144683599472E-2</v>
      </c>
      <c r="BN7"/>
      <c r="BO7" s="280">
        <v>0.24755284190177917</v>
      </c>
      <c r="BP7" s="307">
        <v>1.2950541973114014</v>
      </c>
      <c r="BQ7" s="268">
        <v>2.4369228631258011E-2</v>
      </c>
      <c r="BR7"/>
      <c r="BS7" s="281">
        <v>0.99615788459777832</v>
      </c>
      <c r="BT7"/>
      <c r="BU7" s="270">
        <v>1.3476176261901855</v>
      </c>
      <c r="BV7"/>
      <c r="BW7"/>
      <c r="BX7"/>
      <c r="BY7" s="268">
        <v>2.0812472328543663E-2</v>
      </c>
      <c r="BZ7"/>
      <c r="CA7"/>
      <c r="CB7"/>
      <c r="CC7"/>
      <c r="CD7" s="268">
        <v>3.1773241062182933E-5</v>
      </c>
      <c r="CE7"/>
      <c r="CF7"/>
      <c r="CG7"/>
      <c r="CH7" s="268">
        <v>3.137595922453329E-5</v>
      </c>
      <c r="CI7"/>
      <c r="CJ7" s="268">
        <v>6.0909318563062698E-5</v>
      </c>
      <c r="CK7"/>
      <c r="CL7" s="268">
        <v>4.8022274859249592E-3</v>
      </c>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4">
      <c r="A8" t="s">
        <v>183</v>
      </c>
      <c r="B8">
        <v>15</v>
      </c>
      <c r="C8">
        <v>3.6137919425964355</v>
      </c>
      <c r="D8"/>
      <c r="E8"/>
      <c r="F8"/>
      <c r="G8"/>
      <c r="H8"/>
      <c r="I8"/>
      <c r="J8"/>
      <c r="K8"/>
      <c r="L8"/>
      <c r="M8"/>
      <c r="N8"/>
      <c r="O8"/>
      <c r="P8"/>
      <c r="Q8"/>
      <c r="R8"/>
      <c r="S8" s="269">
        <v>4.5305229723453522E-2</v>
      </c>
      <c r="T8" s="279">
        <v>0.12629635632038116</v>
      </c>
      <c r="U8" s="296">
        <v>1.4236817359924316</v>
      </c>
      <c r="V8" s="295">
        <v>1.2217049598693848</v>
      </c>
      <c r="W8" s="285">
        <v>0.44793125987052917</v>
      </c>
      <c r="X8" s="271">
        <v>2.5793906301259995E-2</v>
      </c>
      <c r="Y8" s="271">
        <v>3.6956004798412323E-2</v>
      </c>
      <c r="Z8"/>
      <c r="AA8" s="337">
        <v>1.9842900037765503</v>
      </c>
      <c r="AB8" s="303">
        <v>0.62815272808074951</v>
      </c>
      <c r="AC8" s="271">
        <v>4.1708823293447495E-2</v>
      </c>
      <c r="AD8" s="268">
        <v>3.4846616472350433E-5</v>
      </c>
      <c r="AE8" s="272">
        <v>0.15162959694862366</v>
      </c>
      <c r="AF8" s="269">
        <v>4.8676092177629471E-2</v>
      </c>
      <c r="AG8" s="271">
        <v>1.5087258070707321E-2</v>
      </c>
      <c r="AH8" s="269">
        <v>5.0838448107242584E-2</v>
      </c>
      <c r="AI8" s="280">
        <v>8.3384551107883453E-2</v>
      </c>
      <c r="AJ8" s="268">
        <v>1.8078419379889965E-3</v>
      </c>
      <c r="AK8"/>
      <c r="AL8" s="268">
        <v>4.88243717700243E-3</v>
      </c>
      <c r="AM8" s="268">
        <v>4.7154701314866543E-3</v>
      </c>
      <c r="AN8" s="268">
        <v>5.4674390703439713E-3</v>
      </c>
      <c r="AO8" s="268">
        <v>5.3283729357644916E-4</v>
      </c>
      <c r="AP8"/>
      <c r="AQ8"/>
      <c r="AR8"/>
      <c r="AS8" s="330">
        <v>1.7562429904937744</v>
      </c>
      <c r="AT8" s="338">
        <v>1.7002120018005371</v>
      </c>
      <c r="AU8" s="271">
        <v>3.6757737398147583E-2</v>
      </c>
      <c r="AV8" s="268">
        <v>9.008871391415596E-3</v>
      </c>
      <c r="AW8" s="268">
        <v>5.7161954464390874E-4</v>
      </c>
      <c r="AX8"/>
      <c r="AY8" s="268">
        <v>6.4943227916955948E-3</v>
      </c>
      <c r="AZ8" s="268">
        <v>4.267561249434948E-3</v>
      </c>
      <c r="BA8" s="268">
        <v>6.2716928368899971E-5</v>
      </c>
      <c r="BB8" s="268">
        <v>1.3081260956823826E-2</v>
      </c>
      <c r="BC8"/>
      <c r="BD8" s="271">
        <v>2.8411960229277611E-2</v>
      </c>
      <c r="BE8" s="268">
        <v>3.8578282692469656E-4</v>
      </c>
      <c r="BF8" s="268">
        <v>1.0501576070964802E-5</v>
      </c>
      <c r="BG8" s="268">
        <v>8.3469338715076447E-3</v>
      </c>
      <c r="BH8"/>
      <c r="BI8"/>
      <c r="BJ8" s="268">
        <v>1.2591816484928131E-3</v>
      </c>
      <c r="BK8" s="268">
        <v>9.9653989309445024E-5</v>
      </c>
      <c r="BL8" s="268">
        <v>7.7573875896632671E-3</v>
      </c>
      <c r="BM8" s="268">
        <v>1.2596533633768559E-2</v>
      </c>
      <c r="BN8"/>
      <c r="BO8" s="280">
        <v>0.10035926103591919</v>
      </c>
      <c r="BP8" s="307">
        <v>0.52502202987670898</v>
      </c>
      <c r="BQ8" s="268">
        <v>9.879416786134243E-3</v>
      </c>
      <c r="BR8"/>
      <c r="BS8" s="276">
        <v>0.25973749160766602</v>
      </c>
      <c r="BT8"/>
      <c r="BU8" s="270">
        <v>0.54633152484893799</v>
      </c>
      <c r="BV8"/>
      <c r="BW8"/>
      <c r="BX8"/>
      <c r="BY8" s="268">
        <v>8.4374900907278061E-3</v>
      </c>
      <c r="BZ8"/>
      <c r="CA8"/>
      <c r="CB8"/>
      <c r="CC8"/>
      <c r="CD8" s="268">
        <v>1.2881045222457033E-5</v>
      </c>
      <c r="CE8"/>
      <c r="CF8"/>
      <c r="CG8"/>
      <c r="CH8" s="268">
        <v>1.2719983715214767E-5</v>
      </c>
      <c r="CI8"/>
      <c r="CJ8" s="268">
        <v>2.4692968509043567E-5</v>
      </c>
      <c r="CK8"/>
      <c r="CL8" s="268">
        <v>1.9468491664156318E-3</v>
      </c>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4">
      <c r="A9" t="s">
        <v>184</v>
      </c>
      <c r="B9">
        <v>14</v>
      </c>
      <c r="C9">
        <v>3.7172236442565918</v>
      </c>
      <c r="D9"/>
      <c r="E9"/>
      <c r="F9"/>
      <c r="G9"/>
      <c r="H9"/>
      <c r="I9"/>
      <c r="J9"/>
      <c r="K9"/>
      <c r="L9"/>
      <c r="M9"/>
      <c r="N9"/>
      <c r="O9"/>
      <c r="P9"/>
      <c r="Q9"/>
      <c r="R9"/>
      <c r="S9"/>
      <c r="T9"/>
      <c r="U9" s="315">
        <v>2.0505895614624023</v>
      </c>
      <c r="V9" s="302">
        <v>1.1134519577026367</v>
      </c>
      <c r="W9"/>
      <c r="X9" s="279">
        <v>0.10612247139215469</v>
      </c>
      <c r="Y9" s="280">
        <v>9.3855693936347961E-2</v>
      </c>
      <c r="Z9"/>
      <c r="AA9"/>
      <c r="AB9"/>
      <c r="AC9" s="286">
        <v>0.31883332133293152</v>
      </c>
      <c r="AD9" s="268">
        <v>5.8575638104230165E-4</v>
      </c>
      <c r="AE9" s="224">
        <v>2.2601423263549805</v>
      </c>
      <c r="AF9" s="268">
        <v>9.2120757326483727E-3</v>
      </c>
      <c r="AG9" s="269">
        <v>4.9707509577274323E-2</v>
      </c>
      <c r="AH9" s="275">
        <v>0.17673031985759735</v>
      </c>
      <c r="AI9" s="269">
        <v>5.3060241043567657E-2</v>
      </c>
      <c r="AJ9" s="268">
        <v>3.3860704861581326E-3</v>
      </c>
      <c r="AK9" s="268">
        <v>2.4151545949280262E-3</v>
      </c>
      <c r="AL9" s="268">
        <v>8.5677104070782661E-3</v>
      </c>
      <c r="AM9" s="268">
        <v>6.9062737748026848E-3</v>
      </c>
      <c r="AN9" s="268">
        <v>7.4013168923556805E-3</v>
      </c>
      <c r="AO9" s="271">
        <v>2.3967616260051727E-2</v>
      </c>
      <c r="AP9" s="268">
        <v>7.6484575401991606E-4</v>
      </c>
      <c r="AQ9" s="271">
        <v>2.1766716614365578E-2</v>
      </c>
      <c r="AR9" s="268">
        <v>3.5924590192735195E-3</v>
      </c>
      <c r="AS9" s="271">
        <v>2.4747716262936592E-2</v>
      </c>
      <c r="AT9" s="271">
        <v>2.3958167061209679E-2</v>
      </c>
      <c r="AU9"/>
      <c r="AV9"/>
      <c r="AW9" s="268">
        <v>1.1371300788596272E-3</v>
      </c>
      <c r="AX9" s="268">
        <v>1.3622408005176112E-5</v>
      </c>
      <c r="AY9" s="198">
        <v>1.6757683753967285</v>
      </c>
      <c r="AZ9" s="268">
        <v>6.5996600314974785E-3</v>
      </c>
      <c r="BA9" s="269">
        <v>4.6768572181463242E-2</v>
      </c>
      <c r="BB9" s="268">
        <v>2.7575262356549501E-4</v>
      </c>
      <c r="BC9" s="273">
        <v>0.21290126442909241</v>
      </c>
      <c r="BD9" s="268">
        <v>1.3178149238228798E-3</v>
      </c>
      <c r="BE9" s="268">
        <v>1.6311007784679532E-3</v>
      </c>
      <c r="BF9" s="268">
        <v>3.527060616761446E-4</v>
      </c>
      <c r="BG9" s="268">
        <v>2.8726411983370781E-4</v>
      </c>
      <c r="BH9"/>
      <c r="BI9"/>
      <c r="BJ9" s="271">
        <v>3.685436025261879E-2</v>
      </c>
      <c r="BK9" s="268">
        <v>6.4907071646302938E-5</v>
      </c>
      <c r="BL9"/>
      <c r="BM9" s="271">
        <v>1.7453633248806E-2</v>
      </c>
      <c r="BN9"/>
      <c r="BO9" s="292">
        <v>0.29411062598228455</v>
      </c>
      <c r="BP9" s="307">
        <v>0.49411702156066895</v>
      </c>
      <c r="BQ9" s="269">
        <v>4.9348156899213791E-2</v>
      </c>
      <c r="BR9"/>
      <c r="BS9" s="289">
        <v>0.54449015855789185</v>
      </c>
      <c r="BT9"/>
      <c r="BU9" s="288">
        <v>0.47996035218238831</v>
      </c>
      <c r="BV9"/>
      <c r="BW9"/>
      <c r="BX9"/>
      <c r="BY9"/>
      <c r="BZ9"/>
      <c r="CA9"/>
      <c r="CB9"/>
      <c r="CC9" s="268">
        <v>9.052022360265255E-3</v>
      </c>
      <c r="CD9" s="268">
        <v>4.8112710937857628E-3</v>
      </c>
      <c r="CE9" s="268">
        <v>1.332430838374421E-4</v>
      </c>
      <c r="CF9" s="268">
        <v>8.5435254732146859E-4</v>
      </c>
      <c r="CG9" s="268">
        <v>3.6360041121952236E-4</v>
      </c>
      <c r="CH9" s="268">
        <v>5.90668641962111E-4</v>
      </c>
      <c r="CI9" s="268">
        <v>1.550958986626938E-4</v>
      </c>
      <c r="CJ9" s="268">
        <v>1.4836149057373405E-4</v>
      </c>
      <c r="CK9" s="271">
        <v>1.5223890542984009E-2</v>
      </c>
      <c r="CL9" s="271">
        <v>2.822597324848175E-2</v>
      </c>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4">
      <c r="A10" t="s">
        <v>185</v>
      </c>
      <c r="B10">
        <v>3</v>
      </c>
      <c r="C10">
        <v>0.3454858660697937</v>
      </c>
      <c r="D10"/>
      <c r="E10"/>
      <c r="F10"/>
      <c r="G10"/>
      <c r="H10"/>
      <c r="I10"/>
      <c r="J10"/>
      <c r="K10"/>
      <c r="L10"/>
      <c r="M10"/>
      <c r="N10"/>
      <c r="O10"/>
      <c r="P10"/>
      <c r="Q10"/>
      <c r="R10"/>
      <c r="S10"/>
      <c r="T10"/>
      <c r="U10" s="327">
        <v>0.54926508665084839</v>
      </c>
      <c r="V10" s="333">
        <v>0.29824608564376831</v>
      </c>
      <c r="W10"/>
      <c r="X10" s="272">
        <v>2.8425661846995354E-2</v>
      </c>
      <c r="Y10" s="279">
        <v>2.513992041349411E-2</v>
      </c>
      <c r="Z10"/>
      <c r="AA10"/>
      <c r="AB10"/>
      <c r="AC10" s="285">
        <v>8.5401788353919983E-2</v>
      </c>
      <c r="AD10" s="268">
        <v>1.5689904103055596E-4</v>
      </c>
      <c r="AE10" s="339">
        <v>0.60539525747299194</v>
      </c>
      <c r="AF10" s="268">
        <v>2.4675203021615744E-3</v>
      </c>
      <c r="AG10" s="269">
        <v>1.3314512558281422E-2</v>
      </c>
      <c r="AH10" s="273">
        <v>4.7338485717773438E-2</v>
      </c>
      <c r="AI10" s="269">
        <v>1.4212564565241337E-2</v>
      </c>
      <c r="AJ10" s="268">
        <v>9.0698321582749486E-4</v>
      </c>
      <c r="AK10"/>
      <c r="AL10"/>
      <c r="AM10"/>
      <c r="AN10"/>
      <c r="AO10"/>
      <c r="AP10"/>
      <c r="AQ10"/>
      <c r="AR10"/>
      <c r="AS10"/>
      <c r="AT10" s="282">
        <v>9.4136960804462433E-2</v>
      </c>
      <c r="AU10" s="271">
        <v>8.8016800582408905E-3</v>
      </c>
      <c r="AV10" s="268">
        <v>2.5836980785243213E-4</v>
      </c>
      <c r="AW10" s="268">
        <v>1.5260730287991464E-4</v>
      </c>
      <c r="AX10" s="268">
        <v>3.6488593195826979E-6</v>
      </c>
      <c r="AY10" s="313">
        <v>0.22281871736049652</v>
      </c>
      <c r="AZ10" s="271">
        <v>3.4875907003879547E-3</v>
      </c>
      <c r="BA10" s="269">
        <v>1.2527295388281345E-2</v>
      </c>
      <c r="BB10" s="268">
        <v>8.5379346273839474E-4</v>
      </c>
      <c r="BC10" s="279">
        <v>2.0719189196825027E-2</v>
      </c>
      <c r="BD10" s="268">
        <v>3.5298612783662975E-4</v>
      </c>
      <c r="BE10" s="268">
        <v>4.3690204620361328E-4</v>
      </c>
      <c r="BF10" s="268">
        <v>9.4474846264347434E-5</v>
      </c>
      <c r="BG10" s="268">
        <v>7.6945747423451394E-5</v>
      </c>
      <c r="BH10"/>
      <c r="BI10"/>
      <c r="BJ10" s="269">
        <v>9.8717035725712776E-3</v>
      </c>
      <c r="BK10" s="268">
        <v>1.7385824321536347E-5</v>
      </c>
      <c r="BL10"/>
      <c r="BM10" s="271">
        <v>4.6750800684094429E-3</v>
      </c>
      <c r="BN10"/>
      <c r="BO10" s="283">
        <v>7.8779637813568115E-2</v>
      </c>
      <c r="BP10" s="277">
        <v>0.1323527991771698</v>
      </c>
      <c r="BQ10" s="269">
        <v>1.3218258507549763E-2</v>
      </c>
      <c r="BR10"/>
      <c r="BS10" s="304">
        <v>0.23618167638778687</v>
      </c>
      <c r="BT10"/>
      <c r="BU10" s="277">
        <v>0.12856081128120422</v>
      </c>
      <c r="BV10"/>
      <c r="BW10"/>
      <c r="BX10"/>
      <c r="BY10"/>
      <c r="BZ10"/>
      <c r="CA10"/>
      <c r="CB10"/>
      <c r="CC10" s="268">
        <v>2.4246491957455873E-3</v>
      </c>
      <c r="CD10" s="268">
        <v>1.0780515149235725E-3</v>
      </c>
      <c r="CE10" s="268">
        <v>3.5690114600583911E-5</v>
      </c>
      <c r="CF10" s="268">
        <v>2.288444375153631E-4</v>
      </c>
      <c r="CG10" s="268">
        <v>2.2003665799275041E-4</v>
      </c>
      <c r="CH10" s="268">
        <v>1.5821482520550489E-4</v>
      </c>
      <c r="CI10" s="268">
        <v>4.1543546103639528E-5</v>
      </c>
      <c r="CJ10" s="268">
        <v>3.9739687053952366E-5</v>
      </c>
      <c r="CK10" s="271">
        <v>4.0778275579214096E-3</v>
      </c>
      <c r="CL10" s="271">
        <v>7.5605292804539204E-3</v>
      </c>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4">
      <c r="A11" t="s">
        <v>186</v>
      </c>
      <c r="B11">
        <v>10</v>
      </c>
      <c r="C11">
        <v>2.7446370124816895</v>
      </c>
      <c r="D11"/>
      <c r="E11"/>
      <c r="F11"/>
      <c r="G11"/>
      <c r="H11"/>
      <c r="I11"/>
      <c r="J11"/>
      <c r="K11"/>
      <c r="L11"/>
      <c r="M11"/>
      <c r="N11"/>
      <c r="O11"/>
      <c r="P11"/>
      <c r="Q11"/>
      <c r="R11"/>
      <c r="S11"/>
      <c r="T11"/>
      <c r="U11" s="315">
        <v>1.4647068977355957</v>
      </c>
      <c r="V11" s="302">
        <v>0.7953229546546936</v>
      </c>
      <c r="W11"/>
      <c r="X11" s="279">
        <v>7.5801767408847809E-2</v>
      </c>
      <c r="Y11" s="280">
        <v>6.7039787769317627E-2</v>
      </c>
      <c r="Z11"/>
      <c r="AA11"/>
      <c r="AB11"/>
      <c r="AC11" s="286">
        <v>0.22773811221122742</v>
      </c>
      <c r="AD11" s="268">
        <v>4.183974233455956E-4</v>
      </c>
      <c r="AE11" s="224">
        <v>1.6143873929977417</v>
      </c>
      <c r="AF11" s="268">
        <v>6.580054759979248E-3</v>
      </c>
      <c r="AG11" s="269">
        <v>3.5505365580320358E-2</v>
      </c>
      <c r="AH11" s="275">
        <v>0.1262359619140625</v>
      </c>
      <c r="AI11" s="269">
        <v>3.7900179624557495E-2</v>
      </c>
      <c r="AJ11" s="268">
        <v>2.4186219088733196E-3</v>
      </c>
      <c r="AK11" s="269">
        <v>3.7994872778654099E-2</v>
      </c>
      <c r="AL11" s="268">
        <v>9.5482420874759555E-5</v>
      </c>
      <c r="AM11" s="268">
        <v>1.0763361206045374E-4</v>
      </c>
      <c r="AN11" s="268">
        <v>2.2938627353141783E-7</v>
      </c>
      <c r="AO11" s="268">
        <v>1.6794116527307779E-4</v>
      </c>
      <c r="AP11" s="268">
        <v>1.0247630998492241E-3</v>
      </c>
      <c r="AQ11" s="268">
        <v>7.631317712366581E-3</v>
      </c>
      <c r="AR11" s="268">
        <v>3.4663183614611626E-3</v>
      </c>
      <c r="AS11" s="272">
        <v>9.5523066818714142E-2</v>
      </c>
      <c r="AT11" s="272">
        <v>9.2475511133670807E-2</v>
      </c>
      <c r="AU11" s="271">
        <v>2.5228004902601242E-2</v>
      </c>
      <c r="AV11" s="268">
        <v>7.7558821067214012E-4</v>
      </c>
      <c r="AW11" s="268">
        <v>4.3891803361475468E-3</v>
      </c>
      <c r="AX11" s="268">
        <v>9.7302918220520951E-6</v>
      </c>
      <c r="AY11" s="313">
        <v>0.75453019142150879</v>
      </c>
      <c r="AZ11" s="271">
        <v>9.8767029121518135E-3</v>
      </c>
      <c r="BA11" s="269">
        <v>3.3406119793653488E-2</v>
      </c>
      <c r="BB11" s="268">
        <v>7.1149715222418308E-4</v>
      </c>
      <c r="BC11" s="282">
        <v>0.32110461592674255</v>
      </c>
      <c r="BD11" s="268">
        <v>9.4129628269001842E-4</v>
      </c>
      <c r="BE11" s="268">
        <v>1.1650719679892063E-3</v>
      </c>
      <c r="BF11" s="268">
        <v>2.5193291367031634E-4</v>
      </c>
      <c r="BG11" s="268">
        <v>2.0518864039331675E-4</v>
      </c>
      <c r="BH11"/>
      <c r="BI11"/>
      <c r="BJ11" s="271">
        <v>2.6324542239308357E-2</v>
      </c>
      <c r="BK11" s="268">
        <v>4.6362194552784786E-5</v>
      </c>
      <c r="BL11"/>
      <c r="BM11" s="271">
        <v>1.2466880492866039E-2</v>
      </c>
      <c r="BN11"/>
      <c r="BO11" s="292">
        <v>0.21007902920246124</v>
      </c>
      <c r="BP11" s="307">
        <v>0.35294076800346375</v>
      </c>
      <c r="BQ11" s="269">
        <v>3.5248681902885437E-2</v>
      </c>
      <c r="BR11"/>
      <c r="BS11" s="289">
        <v>0.38892152905464172</v>
      </c>
      <c r="BT11"/>
      <c r="BU11" s="288">
        <v>0.34282884001731873</v>
      </c>
      <c r="BV11"/>
      <c r="BW11"/>
      <c r="BX11"/>
      <c r="BY11"/>
      <c r="BZ11"/>
      <c r="CA11"/>
      <c r="CB11"/>
      <c r="CC11" s="268">
        <v>6.4657307229936123E-3</v>
      </c>
      <c r="CD11" s="268">
        <v>2.2619031369686127E-3</v>
      </c>
      <c r="CE11" s="268">
        <v>9.5173636509571224E-5</v>
      </c>
      <c r="CF11" s="268">
        <v>6.1025179456919432E-4</v>
      </c>
      <c r="CG11" s="268">
        <v>2.5971460854634643E-4</v>
      </c>
      <c r="CH11" s="268">
        <v>4.2190621024928987E-4</v>
      </c>
      <c r="CI11" s="268">
        <v>1.1078279203502461E-4</v>
      </c>
      <c r="CJ11" s="268">
        <v>1.0597249638522044E-4</v>
      </c>
      <c r="CK11" s="271">
        <v>1.0874207131564617E-2</v>
      </c>
      <c r="CL11" s="271">
        <v>2.0161410793662071E-2</v>
      </c>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4">
      <c r="A12" t="s">
        <v>187</v>
      </c>
      <c r="B12">
        <v>45</v>
      </c>
      <c r="C12">
        <v>44.053050994873047</v>
      </c>
      <c r="D12"/>
      <c r="E12"/>
      <c r="F12"/>
      <c r="G12"/>
      <c r="H12"/>
      <c r="I12"/>
      <c r="J12"/>
      <c r="K12"/>
      <c r="L12"/>
      <c r="M12"/>
      <c r="N12"/>
      <c r="O12"/>
      <c r="P12"/>
      <c r="Q12"/>
      <c r="R12"/>
      <c r="S12"/>
      <c r="T12" s="268">
        <v>3.0041547492146492E-2</v>
      </c>
      <c r="U12" s="271">
        <v>0.12166278809309006</v>
      </c>
      <c r="V12" s="271">
        <v>6.5816126763820648E-2</v>
      </c>
      <c r="W12"/>
      <c r="X12"/>
      <c r="Y12" s="269">
        <v>0.18384900689125061</v>
      </c>
      <c r="Z12"/>
      <c r="AA12"/>
      <c r="AB12"/>
      <c r="AC12"/>
      <c r="AD12" s="268">
        <v>1.3652151210408192E-5</v>
      </c>
      <c r="AE12" s="280">
        <v>0.2428133487701416</v>
      </c>
      <c r="AF12"/>
      <c r="AG12" s="268">
        <v>7.6556457206606865E-3</v>
      </c>
      <c r="AH12" s="268">
        <v>9.4907768070697784E-3</v>
      </c>
      <c r="AI12" s="271">
        <v>5.3374044597148895E-2</v>
      </c>
      <c r="AJ12" s="268">
        <v>8.418020443059504E-4</v>
      </c>
      <c r="AK12"/>
      <c r="AL12"/>
      <c r="AM12"/>
      <c r="AN12"/>
      <c r="AO12"/>
      <c r="AP12" s="268">
        <v>3.3057724522222998E-6</v>
      </c>
      <c r="AQ12"/>
      <c r="AR12" s="268">
        <v>8.9915073476731777E-4</v>
      </c>
      <c r="AS12" s="268">
        <v>3.081272728741169E-2</v>
      </c>
      <c r="AT12" s="268">
        <v>2.1135583519935608E-3</v>
      </c>
      <c r="AU12" s="268">
        <v>1.9531012512743473E-3</v>
      </c>
      <c r="AV12"/>
      <c r="AW12" s="268">
        <v>1.4667282812297344E-3</v>
      </c>
      <c r="AX12" s="268">
        <v>2.7081458142674819E-7</v>
      </c>
      <c r="AY12" s="268">
        <v>6.4241937361657619E-3</v>
      </c>
      <c r="AZ12" s="268">
        <v>1.5663653612136841E-2</v>
      </c>
      <c r="BA12"/>
      <c r="BB12" s="268">
        <v>3.3881198614835739E-2</v>
      </c>
      <c r="BC12" s="268">
        <v>1.7186613753437996E-2</v>
      </c>
      <c r="BD12"/>
      <c r="BE12" s="268">
        <v>9.2120608314871788E-3</v>
      </c>
      <c r="BF12" s="268">
        <v>8.0567762779537588E-5</v>
      </c>
      <c r="BG12"/>
      <c r="BH12"/>
      <c r="BI12"/>
      <c r="BJ12" s="268">
        <v>1.3385459315031767E-3</v>
      </c>
      <c r="BK12" s="268">
        <v>3.0698769842274487E-4</v>
      </c>
      <c r="BL12" s="268">
        <v>4.2457040399312973E-3</v>
      </c>
      <c r="BM12"/>
      <c r="BN12"/>
      <c r="BO12" s="268">
        <v>2.1559560671448708E-2</v>
      </c>
      <c r="BP12" s="271">
        <v>7.0214621722698212E-2</v>
      </c>
      <c r="BQ12"/>
      <c r="BR12"/>
      <c r="BS12"/>
      <c r="BT12"/>
      <c r="BU12"/>
      <c r="BV12"/>
      <c r="BW12"/>
      <c r="BX12"/>
      <c r="BY12"/>
      <c r="BZ12"/>
      <c r="CA12"/>
      <c r="CB12"/>
      <c r="CC12"/>
      <c r="CD12"/>
      <c r="CE12"/>
      <c r="CF12"/>
      <c r="CG12"/>
      <c r="CH12"/>
      <c r="CI12"/>
      <c r="CJ12" s="268">
        <v>1.2013098967145197E-5</v>
      </c>
      <c r="CK12"/>
      <c r="CL12" s="268">
        <v>1.4017650857567787E-2</v>
      </c>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4">
      <c r="A13" t="s">
        <v>188</v>
      </c>
      <c r="B13">
        <v>20</v>
      </c>
      <c r="C13">
        <v>19.547199249267578</v>
      </c>
      <c r="D13"/>
      <c r="E13"/>
      <c r="F13"/>
      <c r="G13"/>
      <c r="H13"/>
      <c r="I13"/>
      <c r="J13"/>
      <c r="K13"/>
      <c r="L13"/>
      <c r="M13"/>
      <c r="N13"/>
      <c r="O13"/>
      <c r="P13"/>
      <c r="Q13"/>
      <c r="R13"/>
      <c r="S13"/>
      <c r="T13" s="268">
        <v>1.3351798988878727E-2</v>
      </c>
      <c r="U13" s="271">
        <v>5.4072346538305283E-2</v>
      </c>
      <c r="V13" s="271">
        <v>2.9251610860228539E-2</v>
      </c>
      <c r="W13"/>
      <c r="X13"/>
      <c r="Y13" s="269">
        <v>8.1710666418075562E-2</v>
      </c>
      <c r="Z13"/>
      <c r="AA13"/>
      <c r="AB13"/>
      <c r="AC13"/>
      <c r="AD13" s="268">
        <v>6.0676225075440016E-6</v>
      </c>
      <c r="AE13" s="280">
        <v>0.10791704803705215</v>
      </c>
      <c r="AF13"/>
      <c r="AG13" s="268">
        <v>3.4025090280920267E-3</v>
      </c>
      <c r="AH13" s="268">
        <v>4.2181229218840599E-3</v>
      </c>
      <c r="AI13" s="271">
        <v>2.3721795529127121E-2</v>
      </c>
      <c r="AJ13" s="268">
        <v>3.741342225112021E-4</v>
      </c>
      <c r="AK13"/>
      <c r="AL13"/>
      <c r="AM13"/>
      <c r="AN13"/>
      <c r="AO13"/>
      <c r="AP13" s="268">
        <v>1.4692323020426556E-6</v>
      </c>
      <c r="AQ13"/>
      <c r="AR13" s="268">
        <v>3.9962257142178714E-4</v>
      </c>
      <c r="AS13" s="268">
        <v>1.3694547116756439E-2</v>
      </c>
      <c r="AT13" s="268">
        <v>9.3935930635780096E-4</v>
      </c>
      <c r="AU13" s="268">
        <v>8.680450264364481E-4</v>
      </c>
      <c r="AV13"/>
      <c r="AW13" s="268">
        <v>6.5187923610210419E-4</v>
      </c>
      <c r="AX13" s="268">
        <v>1.2036204566356901E-7</v>
      </c>
      <c r="AY13" s="268">
        <v>4.6914690174162388E-3</v>
      </c>
      <c r="AZ13" s="268">
        <v>6.9616236723959446E-3</v>
      </c>
      <c r="BA13"/>
      <c r="BB13" s="271">
        <v>4.5156199485063553E-2</v>
      </c>
      <c r="BC13" s="268">
        <v>7.6384944841265678E-3</v>
      </c>
      <c r="BD13"/>
      <c r="BE13" s="268">
        <v>4.094249103218317E-3</v>
      </c>
      <c r="BF13" s="268">
        <v>3.5807894164463505E-5</v>
      </c>
      <c r="BG13"/>
      <c r="BH13"/>
      <c r="BI13"/>
      <c r="BJ13" s="268">
        <v>5.9490930289030075E-4</v>
      </c>
      <c r="BK13" s="268">
        <v>1.3643897545989603E-4</v>
      </c>
      <c r="BL13" s="268">
        <v>1.886979560367763E-3</v>
      </c>
      <c r="BM13"/>
      <c r="BN13"/>
      <c r="BO13" s="268">
        <v>9.5820268616080284E-3</v>
      </c>
      <c r="BP13" s="271">
        <v>3.1206497922539711E-2</v>
      </c>
      <c r="BQ13"/>
      <c r="BR13"/>
      <c r="BS13"/>
      <c r="BT13"/>
      <c r="BU13"/>
      <c r="BV13"/>
      <c r="BW13"/>
      <c r="BX13"/>
      <c r="BY13"/>
      <c r="BZ13"/>
      <c r="CA13"/>
      <c r="CB13"/>
      <c r="CC13"/>
      <c r="CD13"/>
      <c r="CE13"/>
      <c r="CF13"/>
      <c r="CG13"/>
      <c r="CH13"/>
      <c r="CI13"/>
      <c r="CJ13" s="268">
        <v>5.3391554502013605E-6</v>
      </c>
      <c r="CK13"/>
      <c r="CL13" s="268">
        <v>6.2300669960677624E-3</v>
      </c>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4">
      <c r="A14" t="s">
        <v>189</v>
      </c>
      <c r="B14">
        <v>15</v>
      </c>
      <c r="C14">
        <v>13.815703392028809</v>
      </c>
      <c r="D14"/>
      <c r="E14"/>
      <c r="F14"/>
      <c r="G14"/>
      <c r="H14"/>
      <c r="I14"/>
      <c r="J14"/>
      <c r="K14"/>
      <c r="L14"/>
      <c r="M14"/>
      <c r="N14"/>
      <c r="O14"/>
      <c r="P14"/>
      <c r="Q14"/>
      <c r="R14"/>
      <c r="S14"/>
      <c r="T14" s="269">
        <v>6.594037264585495E-2</v>
      </c>
      <c r="U14" s="281">
        <v>0.4004080593585968</v>
      </c>
      <c r="V14" s="274">
        <v>0.21902142465114594</v>
      </c>
      <c r="W14"/>
      <c r="X14"/>
      <c r="Y14"/>
      <c r="Z14"/>
      <c r="AA14"/>
      <c r="AB14"/>
      <c r="AC14"/>
      <c r="AD14" s="268">
        <v>7.067931437632069E-5</v>
      </c>
      <c r="AE14"/>
      <c r="AF14"/>
      <c r="AG14"/>
      <c r="AH14"/>
      <c r="AI14"/>
      <c r="AJ14"/>
      <c r="AK14"/>
      <c r="AL14"/>
      <c r="AM14"/>
      <c r="AN14"/>
      <c r="AO14"/>
      <c r="AP14"/>
      <c r="AQ14"/>
      <c r="AR14"/>
      <c r="AS14"/>
      <c r="AT14"/>
      <c r="AU14"/>
      <c r="AV14" s="268">
        <v>8.3791426732204854E-5</v>
      </c>
      <c r="AW14" s="268">
        <v>4.9331346526741982E-3</v>
      </c>
      <c r="AX14" s="268">
        <v>2.3972439521458E-5</v>
      </c>
      <c r="AY14"/>
      <c r="AZ14"/>
      <c r="BA14"/>
      <c r="BB14" s="271">
        <v>3.8994532078504562E-2</v>
      </c>
      <c r="BC14" s="268">
        <v>6.4641917124390602E-3</v>
      </c>
      <c r="BD14" s="268">
        <v>7.6347863068804145E-4</v>
      </c>
      <c r="BE14" s="271">
        <v>1.9311672076582909E-2</v>
      </c>
      <c r="BF14" s="268">
        <v>6.4837210811674595E-4</v>
      </c>
      <c r="BG14"/>
      <c r="BH14"/>
      <c r="BI14"/>
      <c r="BJ14"/>
      <c r="BK14"/>
      <c r="BL14"/>
      <c r="BM14" s="271">
        <v>2.3772716522216797E-2</v>
      </c>
      <c r="BN14"/>
      <c r="BO14"/>
      <c r="BP14"/>
      <c r="BQ14"/>
      <c r="BR14"/>
      <c r="BS14"/>
      <c r="BT14"/>
      <c r="BU14"/>
      <c r="BV14"/>
      <c r="BW14"/>
      <c r="BX14"/>
      <c r="BY14"/>
      <c r="BZ14"/>
      <c r="CA14"/>
      <c r="CB14"/>
      <c r="CC14"/>
      <c r="CD14"/>
      <c r="CE14"/>
      <c r="CF14" s="268">
        <v>3.6812489270232618E-4</v>
      </c>
      <c r="CG14" s="268">
        <v>6.6375199821777642E-5</v>
      </c>
      <c r="CH14"/>
      <c r="CI14"/>
      <c r="CJ14"/>
      <c r="CK14"/>
      <c r="CL14" s="272">
        <v>0.14514315128326416</v>
      </c>
      <c r="CM14"/>
      <c r="CN14"/>
      <c r="CO14"/>
      <c r="CP14" s="276">
        <v>0.25828266143798828</v>
      </c>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4">
      <c r="A15" t="s">
        <v>273</v>
      </c>
      <c r="B15">
        <v>45</v>
      </c>
      <c r="C15">
        <v>44.960330963134766</v>
      </c>
      <c r="D15"/>
      <c r="E15"/>
      <c r="F15"/>
      <c r="G15"/>
      <c r="H15"/>
      <c r="I15"/>
      <c r="J15"/>
      <c r="K15"/>
      <c r="L15"/>
      <c r="M15"/>
      <c r="N15"/>
      <c r="O15"/>
      <c r="P15"/>
      <c r="Q15"/>
      <c r="R15"/>
      <c r="S15"/>
      <c r="T15"/>
      <c r="U15"/>
      <c r="V15"/>
      <c r="W15"/>
      <c r="X15"/>
      <c r="Y15"/>
      <c r="Z15"/>
      <c r="AA15"/>
      <c r="AB15"/>
      <c r="AC15"/>
      <c r="AD15"/>
      <c r="AE15"/>
      <c r="AF15"/>
      <c r="AG15"/>
      <c r="AH15"/>
      <c r="AI15" s="268">
        <v>6.0358212067512795E-5</v>
      </c>
      <c r="AJ15"/>
      <c r="AK15"/>
      <c r="AL15"/>
      <c r="AM15"/>
      <c r="AN15"/>
      <c r="AO15"/>
      <c r="AP15"/>
      <c r="AQ15"/>
      <c r="AR15"/>
      <c r="AS15"/>
      <c r="AT15"/>
      <c r="AU15"/>
      <c r="AV15"/>
      <c r="AW15"/>
      <c r="AX15"/>
      <c r="AY15"/>
      <c r="AZ15"/>
      <c r="BA15" s="268">
        <v>3.3054219093173742E-3</v>
      </c>
      <c r="BB15" s="268">
        <v>3.4760756534524262E-4</v>
      </c>
      <c r="BC15" s="268">
        <v>4.0991828427650034E-4</v>
      </c>
      <c r="BD15"/>
      <c r="BE15" s="268">
        <v>1.1596940457820892E-2</v>
      </c>
      <c r="BF15"/>
      <c r="BG15"/>
      <c r="BH15"/>
      <c r="BI15"/>
      <c r="BJ15" s="268">
        <v>1.7847174312919378E-3</v>
      </c>
      <c r="BK15"/>
      <c r="BL15"/>
      <c r="BM15" s="268">
        <v>2.1787757053971291E-2</v>
      </c>
      <c r="BN15"/>
      <c r="BO15"/>
      <c r="BP15"/>
      <c r="BQ15"/>
      <c r="BR15"/>
      <c r="BS15"/>
      <c r="BT15"/>
      <c r="BU15"/>
      <c r="BV15"/>
      <c r="BW15"/>
      <c r="BX15"/>
      <c r="BY15"/>
      <c r="BZ15"/>
      <c r="CA15"/>
      <c r="CB15"/>
      <c r="CC15"/>
      <c r="CD15"/>
      <c r="CE15"/>
      <c r="CF15"/>
      <c r="CG15"/>
      <c r="CH15"/>
      <c r="CI15"/>
      <c r="CJ15"/>
      <c r="CK15"/>
      <c r="CL15"/>
      <c r="CM15"/>
      <c r="CN15"/>
      <c r="CO15" s="268">
        <v>3.7557428004220128E-4</v>
      </c>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4">
      <c r="A16" t="s">
        <v>190</v>
      </c>
      <c r="B16">
        <v>6</v>
      </c>
      <c r="C16">
        <v>0.41154778003692627</v>
      </c>
      <c r="D16"/>
      <c r="E16"/>
      <c r="F16"/>
      <c r="G16"/>
      <c r="H16"/>
      <c r="I16"/>
      <c r="J16"/>
      <c r="K16"/>
      <c r="L16"/>
      <c r="M16"/>
      <c r="N16"/>
      <c r="O16"/>
      <c r="P16"/>
      <c r="Q16"/>
      <c r="R16"/>
      <c r="S16"/>
      <c r="T16"/>
      <c r="U16" s="372">
        <v>0.73465120792388916</v>
      </c>
      <c r="V16" s="326">
        <v>0.30149167776107788</v>
      </c>
      <c r="W16"/>
      <c r="X16" s="268">
        <v>2.5204748380929232E-3</v>
      </c>
      <c r="Y16"/>
      <c r="Z16"/>
      <c r="AA16"/>
      <c r="AB16"/>
      <c r="AC16" s="285">
        <v>0.17965871095657349</v>
      </c>
      <c r="AD16" s="268">
        <v>1.1656492279144004E-4</v>
      </c>
      <c r="AE16" s="323">
        <v>0.37933027744293213</v>
      </c>
      <c r="AF16" s="276">
        <v>0.10869771242141724</v>
      </c>
      <c r="AG16" s="276">
        <v>0.10168959200382233</v>
      </c>
      <c r="AH16" s="318">
        <v>0.39816528558731079</v>
      </c>
      <c r="AI16" s="289">
        <v>0.23592574894428253</v>
      </c>
      <c r="AJ16" s="268">
        <v>2.9199952259659767E-3</v>
      </c>
      <c r="AK16" s="268">
        <v>1.4845666009932756E-4</v>
      </c>
      <c r="AL16" s="268">
        <v>6.0070800827816129E-4</v>
      </c>
      <c r="AM16" s="268">
        <v>2.4207649403251708E-4</v>
      </c>
      <c r="AN16" s="268">
        <v>2.3706517822574824E-4</v>
      </c>
      <c r="AO16" s="268">
        <v>4.2597961146384478E-4</v>
      </c>
      <c r="AP16" s="268">
        <v>5.8767682276084088E-6</v>
      </c>
      <c r="AQ16" s="268">
        <v>9.9392363335937262E-4</v>
      </c>
      <c r="AR16" s="268">
        <v>1.1041208636015654E-3</v>
      </c>
      <c r="AS16" s="281">
        <v>0.16363285481929779</v>
      </c>
      <c r="AT16" s="275">
        <v>7.1066014468669891E-2</v>
      </c>
      <c r="AU16" s="271">
        <v>8.8000856339931488E-3</v>
      </c>
      <c r="AV16" s="268">
        <v>2.8108698315918446E-3</v>
      </c>
      <c r="AW16" s="268">
        <v>4.067279223818332E-4</v>
      </c>
      <c r="AX16" s="268">
        <v>7.0882074396649841E-6</v>
      </c>
      <c r="AY16" s="351">
        <v>0.51925325393676758</v>
      </c>
      <c r="AZ16" s="273">
        <v>9.6834197640419006E-2</v>
      </c>
      <c r="BA16" s="279">
        <v>5.0135083496570587E-2</v>
      </c>
      <c r="BB16" s="271">
        <v>8.3512645214796066E-3</v>
      </c>
      <c r="BC16" s="338">
        <v>0.68395256996154785</v>
      </c>
      <c r="BD16" s="268">
        <v>2.7980783488601446E-4</v>
      </c>
      <c r="BE16" s="271">
        <v>8.1685148179531097E-3</v>
      </c>
      <c r="BF16"/>
      <c r="BG16" s="268">
        <v>3.6686379462480545E-3</v>
      </c>
      <c r="BH16"/>
      <c r="BI16"/>
      <c r="BJ16" s="268">
        <v>4.7879887279123068E-4</v>
      </c>
      <c r="BK16" s="268">
        <v>2.7672885917127132E-3</v>
      </c>
      <c r="BL16"/>
      <c r="BM16" s="280">
        <v>3.2680138945579529E-2</v>
      </c>
      <c r="BN16"/>
      <c r="BO16" s="269">
        <v>2.5917576625943184E-2</v>
      </c>
      <c r="BP16" s="272">
        <v>6.3282489776611328E-2</v>
      </c>
      <c r="BQ16" s="271">
        <v>1.3583776541054249E-2</v>
      </c>
      <c r="BR16"/>
      <c r="BS16" s="297">
        <v>0.36205893754959106</v>
      </c>
      <c r="BT16" s="277">
        <v>0.25577327609062195</v>
      </c>
      <c r="BU16" s="312">
        <v>0.69027745723724365</v>
      </c>
      <c r="BV16"/>
      <c r="BW16"/>
      <c r="BX16"/>
      <c r="BY16" s="271">
        <v>1.6649827361106873E-2</v>
      </c>
      <c r="BZ16" s="268">
        <v>4.2591877281665802E-3</v>
      </c>
      <c r="CA16"/>
      <c r="CB16"/>
      <c r="CC16" s="268">
        <v>7.3807296575978398E-4</v>
      </c>
      <c r="CD16" s="268">
        <v>3.6771793384104967E-4</v>
      </c>
      <c r="CE16" s="268">
        <v>2.0855703041888773E-5</v>
      </c>
      <c r="CF16" s="268">
        <v>7.9642521450296044E-4</v>
      </c>
      <c r="CG16" s="268">
        <v>9.4871014880482107E-5</v>
      </c>
      <c r="CH16" s="268">
        <v>5.4384508985094726E-5</v>
      </c>
      <c r="CI16" s="268">
        <v>1.6184125342988409E-5</v>
      </c>
      <c r="CJ16" s="268">
        <v>4.8408957809442654E-5</v>
      </c>
      <c r="CK16" s="268">
        <v>1.5274999896064401E-3</v>
      </c>
      <c r="CL16" s="279">
        <v>5.0533939152956009E-2</v>
      </c>
      <c r="CM16"/>
      <c r="CN16"/>
      <c r="CO16" s="268">
        <v>2.3400464851874858E-4</v>
      </c>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4">
      <c r="A17" t="s">
        <v>191</v>
      </c>
      <c r="B17">
        <v>7</v>
      </c>
      <c r="C17">
        <v>1.4074279069900513</v>
      </c>
      <c r="D17"/>
      <c r="E17"/>
      <c r="F17"/>
      <c r="G17"/>
      <c r="H17"/>
      <c r="I17"/>
      <c r="J17"/>
      <c r="K17"/>
      <c r="L17"/>
      <c r="M17"/>
      <c r="N17"/>
      <c r="O17"/>
      <c r="P17"/>
      <c r="Q17"/>
      <c r="R17"/>
      <c r="S17"/>
      <c r="T17"/>
      <c r="U17" s="320">
        <v>0.73465120792388916</v>
      </c>
      <c r="V17" s="277">
        <v>0.30149161815643311</v>
      </c>
      <c r="W17"/>
      <c r="X17" s="268">
        <v>2.5204748380929232E-3</v>
      </c>
      <c r="Y17"/>
      <c r="Z17"/>
      <c r="AA17"/>
      <c r="AB17"/>
      <c r="AC17" s="283">
        <v>0.17965871095657349</v>
      </c>
      <c r="AD17" s="268">
        <v>1.1656491551548243E-4</v>
      </c>
      <c r="AE17" s="314">
        <v>0.37933030724525452</v>
      </c>
      <c r="AF17" s="273">
        <v>0.10869771242141724</v>
      </c>
      <c r="AG17" s="274">
        <v>0.10168958455324173</v>
      </c>
      <c r="AH17" s="311">
        <v>0.39816528558731079</v>
      </c>
      <c r="AI17" s="288">
        <v>0.23592571914196014</v>
      </c>
      <c r="AJ17" s="268">
        <v>2.9199949931353331E-3</v>
      </c>
      <c r="AK17" s="268">
        <v>1.5614632866345346E-4</v>
      </c>
      <c r="AL17" s="268">
        <v>2.1905743051320314E-3</v>
      </c>
      <c r="AM17" s="268">
        <v>1.0486871469765902E-3</v>
      </c>
      <c r="AN17" s="268">
        <v>4.5490066986531019E-4</v>
      </c>
      <c r="AO17" s="268">
        <v>1.0990656446665525E-3</v>
      </c>
      <c r="AP17"/>
      <c r="AQ17"/>
      <c r="AR17" s="268">
        <v>2.9265049379318953E-3</v>
      </c>
      <c r="AS17" s="286">
        <v>0.16363286972045898</v>
      </c>
      <c r="AT17" s="272">
        <v>7.1066007018089294E-2</v>
      </c>
      <c r="AU17" s="271">
        <v>8.8000856339931488E-3</v>
      </c>
      <c r="AV17" s="268">
        <v>2.8108695987612009E-3</v>
      </c>
      <c r="AW17" s="268">
        <v>4.0672789327800274E-4</v>
      </c>
      <c r="AX17" s="268">
        <v>7.0882069849176332E-6</v>
      </c>
      <c r="AY17" s="313">
        <v>0.51925331354141235</v>
      </c>
      <c r="AZ17" s="274">
        <v>9.6834190189838409E-2</v>
      </c>
      <c r="BA17" s="279">
        <v>5.0135087221860886E-2</v>
      </c>
      <c r="BB17" s="271">
        <v>8.3512645214796066E-3</v>
      </c>
      <c r="BC17" s="291">
        <v>0.68395262956619263</v>
      </c>
      <c r="BD17" s="268">
        <v>2.7980783488601446E-4</v>
      </c>
      <c r="BE17" s="271">
        <v>8.1685148179531097E-3</v>
      </c>
      <c r="BF17"/>
      <c r="BG17" s="268">
        <v>3.6686374805867672E-3</v>
      </c>
      <c r="BH17"/>
      <c r="BI17"/>
      <c r="BJ17" s="268">
        <v>4.7879884368740022E-4</v>
      </c>
      <c r="BK17" s="268">
        <v>2.7672883588820696E-3</v>
      </c>
      <c r="BL17"/>
      <c r="BM17" s="269">
        <v>3.2680142670869827E-2</v>
      </c>
      <c r="BN17"/>
      <c r="BO17" s="269">
        <v>2.5917574763298035E-2</v>
      </c>
      <c r="BP17" s="272">
        <v>6.3282482326030731E-2</v>
      </c>
      <c r="BQ17" s="271">
        <v>1.3583775609731674E-2</v>
      </c>
      <c r="BR17"/>
      <c r="BS17" s="326">
        <v>0.36205890774726868</v>
      </c>
      <c r="BT17" s="270">
        <v>0.25577324628829956</v>
      </c>
      <c r="BU17" s="291">
        <v>0.69027739763259888</v>
      </c>
      <c r="BV17"/>
      <c r="BW17"/>
      <c r="BX17"/>
      <c r="BY17" s="271">
        <v>1.6649827361106873E-2</v>
      </c>
      <c r="BZ17" s="268">
        <v>4.2591877281665802E-3</v>
      </c>
      <c r="CA17"/>
      <c r="CB17"/>
      <c r="CC17" s="268">
        <v>7.3807296575978398E-4</v>
      </c>
      <c r="CD17" s="268">
        <v>3.6771793384104967E-4</v>
      </c>
      <c r="CE17" s="268">
        <v>2.0855703041888773E-5</v>
      </c>
      <c r="CF17" s="268">
        <v>7.9642509808763862E-4</v>
      </c>
      <c r="CG17" s="268">
        <v>9.4871000328566879E-5</v>
      </c>
      <c r="CH17" s="268">
        <v>5.4384501709137112E-5</v>
      </c>
      <c r="CI17" s="268">
        <v>1.6184125342988409E-5</v>
      </c>
      <c r="CJ17" s="268">
        <v>4.8408957809442654E-5</v>
      </c>
      <c r="CK17" s="268">
        <v>1.5274998731911182E-3</v>
      </c>
      <c r="CL17" s="279">
        <v>5.053393542766571E-2</v>
      </c>
      <c r="CM17"/>
      <c r="CN17"/>
      <c r="CO17" s="268">
        <v>2.3400464851874858E-4</v>
      </c>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4">
      <c r="A18" t="s">
        <v>192</v>
      </c>
      <c r="B18">
        <v>3</v>
      </c>
      <c r="C18">
        <v>0.4500001072883606</v>
      </c>
      <c r="D18"/>
      <c r="E18" s="268">
        <v>5.5539896948175738E-7</v>
      </c>
      <c r="F18"/>
      <c r="G18" s="268">
        <v>2.2468646056950092E-3</v>
      </c>
      <c r="H18"/>
      <c r="I18" s="268">
        <v>9.4763038305245573E-7</v>
      </c>
      <c r="J18" s="268">
        <v>5.2239041542634368E-4</v>
      </c>
      <c r="K18" s="268">
        <v>6.341298330880818E-8</v>
      </c>
      <c r="L18"/>
      <c r="M18"/>
      <c r="N18"/>
      <c r="O18"/>
      <c r="P18"/>
      <c r="Q18"/>
      <c r="R18"/>
      <c r="S18"/>
      <c r="T18"/>
      <c r="U18"/>
      <c r="V18"/>
      <c r="W18"/>
      <c r="X18"/>
      <c r="Y18"/>
      <c r="Z18"/>
      <c r="AA18"/>
      <c r="AB18"/>
      <c r="AC18" s="269">
        <v>9.5272986218333244E-3</v>
      </c>
      <c r="AD18" s="268">
        <v>2.5034167338162661E-3</v>
      </c>
      <c r="AE18"/>
      <c r="AF18" s="279">
        <v>2.5012029334902763E-2</v>
      </c>
      <c r="AG18"/>
      <c r="AH18" s="271">
        <v>2.964960178360343E-3</v>
      </c>
      <c r="AI18" s="269">
        <v>9.5440587028861046E-3</v>
      </c>
      <c r="AJ18"/>
      <c r="AK18" s="268">
        <v>6.0526601737365127E-4</v>
      </c>
      <c r="AL18" s="268">
        <v>1.2210424756631255E-3</v>
      </c>
      <c r="AM18" s="268">
        <v>9.451048681512475E-4</v>
      </c>
      <c r="AN18" s="268">
        <v>1.0798072617035359E-4</v>
      </c>
      <c r="AO18" s="268">
        <v>1.2029062054352835E-4</v>
      </c>
      <c r="AP18" s="268">
        <v>1.5358595410361886E-3</v>
      </c>
      <c r="AQ18" s="268">
        <v>9.3514192849397659E-4</v>
      </c>
      <c r="AR18"/>
      <c r="AS18"/>
      <c r="AT18" s="273">
        <v>4.6029288321733475E-2</v>
      </c>
      <c r="AU18" s="307">
        <v>0.10334134846925735</v>
      </c>
      <c r="AV18" s="268">
        <v>9.2744966968894005E-4</v>
      </c>
      <c r="AW18" s="269">
        <v>1.0920532047748566E-2</v>
      </c>
      <c r="AX18" s="268">
        <v>1.5517885331064463E-3</v>
      </c>
      <c r="AY18" s="341">
        <v>0.1791977733373642</v>
      </c>
      <c r="AZ18" s="277">
        <v>0.13016660511493683</v>
      </c>
      <c r="BA18" s="268">
        <v>1.9924922380596399E-3</v>
      </c>
      <c r="BB18" s="269">
        <v>1.1290224269032478E-2</v>
      </c>
      <c r="BC18" s="367">
        <v>0.87185704708099365</v>
      </c>
      <c r="BD18" s="271">
        <v>8.1801833584904671E-3</v>
      </c>
      <c r="BE18" s="292">
        <v>6.2942422926425934E-2</v>
      </c>
      <c r="BF18" s="278">
        <v>6.1706762760877609E-2</v>
      </c>
      <c r="BG18" s="275">
        <v>3.3191084861755371E-2</v>
      </c>
      <c r="BH18" s="279">
        <v>2.1924467757344246E-2</v>
      </c>
      <c r="BI18" s="269">
        <v>1.2256363406777382E-2</v>
      </c>
      <c r="BJ18" s="268">
        <v>1.943399547599256E-3</v>
      </c>
      <c r="BK18" s="271">
        <v>2.9713818803429604E-3</v>
      </c>
      <c r="BL18"/>
      <c r="BM18" s="279">
        <v>2.6312954723834991E-2</v>
      </c>
      <c r="BN18" s="287">
        <v>0.13708463311195374</v>
      </c>
      <c r="BO18"/>
      <c r="BP18"/>
      <c r="BQ18"/>
      <c r="BR18"/>
      <c r="BS18"/>
      <c r="BT18"/>
      <c r="BU18"/>
      <c r="BV18"/>
      <c r="BW18"/>
      <c r="BX18"/>
      <c r="BY18"/>
      <c r="BZ18" s="268">
        <v>8.8782445527613163E-4</v>
      </c>
      <c r="CA18"/>
      <c r="CB18"/>
      <c r="CC18" s="286">
        <v>7.0221319794654846E-2</v>
      </c>
      <c r="CD18" s="281">
        <v>8.1884957849979401E-2</v>
      </c>
      <c r="CE18" s="268">
        <v>1.2920461595058441E-3</v>
      </c>
      <c r="CF18" s="268">
        <v>2.7164068887941539E-4</v>
      </c>
      <c r="CG18" s="280">
        <v>1.6162905842065811E-2</v>
      </c>
      <c r="CH18" s="271">
        <v>4.0430547669529915E-3</v>
      </c>
      <c r="CI18" s="268">
        <v>3.0079018324613571E-4</v>
      </c>
      <c r="CJ18" s="268">
        <v>3.4882999898400158E-5</v>
      </c>
      <c r="CK18"/>
      <c r="CL18" s="278">
        <v>5.9976916760206223E-2</v>
      </c>
      <c r="CM18" s="268">
        <v>6.9052539765834808E-4</v>
      </c>
      <c r="CN18" s="271">
        <v>7.4249757453799248E-3</v>
      </c>
      <c r="CO18" s="322">
        <v>0.3369099497795105</v>
      </c>
      <c r="CP18" s="289">
        <v>0.11896482855081558</v>
      </c>
      <c r="CQ18" s="292">
        <v>6.7190393805503845E-2</v>
      </c>
      <c r="CR18" s="268">
        <v>1.6137183411046863E-4</v>
      </c>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s="262" customFormat="1" ht="15" customHeight="1" x14ac:dyDescent="0.4">
      <c r="A19" t="s">
        <v>193</v>
      </c>
      <c r="B19">
        <v>2.75</v>
      </c>
      <c r="C19">
        <v>8.6485624313354492E-2</v>
      </c>
      <c r="D19"/>
      <c r="E19"/>
      <c r="F19"/>
      <c r="G19"/>
      <c r="H19"/>
      <c r="I19"/>
      <c r="J19"/>
      <c r="K19"/>
      <c r="L19"/>
      <c r="M19"/>
      <c r="N19"/>
      <c r="O19"/>
      <c r="P19"/>
      <c r="Q19"/>
      <c r="R19"/>
      <c r="S19"/>
      <c r="T19"/>
      <c r="U19"/>
      <c r="V19"/>
      <c r="W19"/>
      <c r="X19"/>
      <c r="Y19"/>
      <c r="Z19"/>
      <c r="AA19"/>
      <c r="AB19"/>
      <c r="AC19"/>
      <c r="AD19" s="278">
        <v>5.5081184953451157E-2</v>
      </c>
      <c r="AE19"/>
      <c r="AF19"/>
      <c r="AG19"/>
      <c r="AH19"/>
      <c r="AI19"/>
      <c r="AJ19"/>
      <c r="AK19"/>
      <c r="AL19"/>
      <c r="AM19"/>
      <c r="AN19"/>
      <c r="AO19"/>
      <c r="AP19"/>
      <c r="AQ19"/>
      <c r="AR19"/>
      <c r="AS19"/>
      <c r="AT19"/>
      <c r="AU19"/>
      <c r="AV19"/>
      <c r="AW19"/>
      <c r="AX19" s="336">
        <v>0.96252822875976563</v>
      </c>
      <c r="AY19"/>
      <c r="AZ19"/>
      <c r="BA19"/>
      <c r="BB19"/>
      <c r="BC19"/>
      <c r="BD19"/>
      <c r="BE19"/>
      <c r="BF19"/>
      <c r="BG19" s="300">
        <v>0.20835782587528229</v>
      </c>
      <c r="BH19"/>
      <c r="BI19"/>
      <c r="BJ19"/>
      <c r="BK19"/>
      <c r="BL19"/>
      <c r="BM19"/>
      <c r="BN19"/>
      <c r="BO19"/>
      <c r="BP19"/>
      <c r="BQ19"/>
      <c r="BR19"/>
      <c r="BS19"/>
      <c r="BT19"/>
      <c r="BU19"/>
      <c r="BV19"/>
      <c r="BW19"/>
      <c r="BX19"/>
      <c r="BY19"/>
      <c r="BZ19"/>
      <c r="CA19"/>
      <c r="CB19"/>
      <c r="CC19"/>
      <c r="CD19"/>
      <c r="CE19"/>
      <c r="CF19"/>
      <c r="CG19"/>
      <c r="CH19"/>
      <c r="CI19"/>
      <c r="CJ19"/>
      <c r="CK19"/>
      <c r="CL19"/>
      <c r="CM19" s="279">
        <v>1.891307532787323E-2</v>
      </c>
      <c r="CN19" s="347">
        <v>0.23421354591846466</v>
      </c>
      <c r="CO19" s="348">
        <v>0.66681510210037231</v>
      </c>
      <c r="CP19" s="341">
        <v>0.16102604568004608</v>
      </c>
      <c r="CQ19" s="319">
        <v>0.35480400919914246</v>
      </c>
      <c r="CR19" s="268">
        <v>1.7752840649336576E-3</v>
      </c>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4">
      <c r="A20" t="s">
        <v>194</v>
      </c>
      <c r="B20">
        <v>1.7999999523162842</v>
      </c>
      <c r="C20">
        <v>0.32181218266487122</v>
      </c>
      <c r="D20"/>
      <c r="E20" s="268">
        <v>5.0490081093812478E-7</v>
      </c>
      <c r="F20"/>
      <c r="G20" s="268">
        <v>9.2286478320602328E-5</v>
      </c>
      <c r="H20"/>
      <c r="I20"/>
      <c r="J20" s="266">
        <v>1.1934235717714348E-11</v>
      </c>
      <c r="K20" s="268">
        <v>2.9405053282971494E-5</v>
      </c>
      <c r="L20" s="268">
        <v>9.4060408173390897E-7</v>
      </c>
      <c r="M20"/>
      <c r="N20"/>
      <c r="O20"/>
      <c r="P20"/>
      <c r="Q20"/>
      <c r="R20"/>
      <c r="S20"/>
      <c r="T20"/>
      <c r="U20"/>
      <c r="V20"/>
      <c r="W20"/>
      <c r="X20"/>
      <c r="Y20"/>
      <c r="Z20"/>
      <c r="AA20"/>
      <c r="AB20"/>
      <c r="AC20" s="286">
        <v>4.3588969856500626E-2</v>
      </c>
      <c r="AD20" s="268">
        <v>1.7842560191638768E-4</v>
      </c>
      <c r="AE20"/>
      <c r="AF20"/>
      <c r="AG20"/>
      <c r="AH20" s="269">
        <v>7.8499605879187584E-3</v>
      </c>
      <c r="AI20"/>
      <c r="AJ20" s="268">
        <v>1.2187770335003734E-3</v>
      </c>
      <c r="AK20" s="268">
        <v>1.7345204250887036E-3</v>
      </c>
      <c r="AL20" s="268">
        <v>7.9986255150288343E-4</v>
      </c>
      <c r="AM20" s="268">
        <v>1.3437694869935513E-3</v>
      </c>
      <c r="AN20"/>
      <c r="AO20" s="271">
        <v>2.9937063809484243E-3</v>
      </c>
      <c r="AP20" s="268">
        <v>6.1209917475935072E-5</v>
      </c>
      <c r="AQ20" s="268">
        <v>4.2485437006689608E-4</v>
      </c>
      <c r="AR20" s="268">
        <v>5.0708804337773472E-5</v>
      </c>
      <c r="AS20"/>
      <c r="AT20"/>
      <c r="AU20" s="281">
        <v>4.921790212392807E-2</v>
      </c>
      <c r="AV20" s="280">
        <v>1.0158834047615528E-2</v>
      </c>
      <c r="AW20" s="271">
        <v>2.0587947219610214E-3</v>
      </c>
      <c r="AX20" s="268">
        <v>1.0880832560360432E-3</v>
      </c>
      <c r="AY20" s="342">
        <v>0.37667542695999146</v>
      </c>
      <c r="AZ20" s="272">
        <v>1.9400162622332573E-2</v>
      </c>
      <c r="BA20" s="285">
        <v>5.3678069263696671E-2</v>
      </c>
      <c r="BB20" s="280">
        <v>1.0882116854190826E-2</v>
      </c>
      <c r="BC20" s="355">
        <v>0.6243213415145874</v>
      </c>
      <c r="BD20" s="272">
        <v>1.6540879383683205E-2</v>
      </c>
      <c r="BE20" s="275">
        <v>2.0920626819133759E-2</v>
      </c>
      <c r="BF20" s="271">
        <v>3.8875965401530266E-3</v>
      </c>
      <c r="BG20" s="278">
        <v>3.6844801157712936E-2</v>
      </c>
      <c r="BH20" s="271">
        <v>2.1653871517628431E-3</v>
      </c>
      <c r="BI20" s="272">
        <v>1.7463279888033867E-2</v>
      </c>
      <c r="BJ20" s="268">
        <v>8.6557661416009068E-4</v>
      </c>
      <c r="BK20" s="268">
        <v>8.6737738456577063E-4</v>
      </c>
      <c r="BL20"/>
      <c r="BM20" s="292">
        <v>3.746400773525238E-2</v>
      </c>
      <c r="BN20"/>
      <c r="BO20"/>
      <c r="BP20"/>
      <c r="BQ20"/>
      <c r="BR20"/>
      <c r="BS20"/>
      <c r="BT20"/>
      <c r="BU20"/>
      <c r="BV20"/>
      <c r="BW20"/>
      <c r="BX20"/>
      <c r="BY20"/>
      <c r="BZ20" s="268">
        <v>1.1075376096414402E-4</v>
      </c>
      <c r="CA20"/>
      <c r="CB20"/>
      <c r="CC20" s="278">
        <v>3.4587539732456207E-2</v>
      </c>
      <c r="CD20" s="274">
        <v>2.5507738813757896E-2</v>
      </c>
      <c r="CE20" s="268">
        <v>1.2822401477023959E-3</v>
      </c>
      <c r="CF20" s="269">
        <v>5.8041149750351906E-3</v>
      </c>
      <c r="CG20" s="268">
        <v>4.4991745380684733E-4</v>
      </c>
      <c r="CH20" s="271">
        <v>1.918746973387897E-3</v>
      </c>
      <c r="CI20" s="268">
        <v>1.2599070323631167E-3</v>
      </c>
      <c r="CJ20" s="268">
        <v>2.5008080410771072E-4</v>
      </c>
      <c r="CK20"/>
      <c r="CL20" s="274">
        <v>2.3079270496964455E-2</v>
      </c>
      <c r="CM20" s="268">
        <v>1.3668992323800921E-3</v>
      </c>
      <c r="CN20" s="271">
        <v>4.6456004492938519E-3</v>
      </c>
      <c r="CO20"/>
      <c r="CP20" s="273">
        <v>2.8851386159658432E-2</v>
      </c>
      <c r="CQ20" s="271">
        <v>4.1785230860114098E-3</v>
      </c>
      <c r="CR20" s="268">
        <v>2.7270572900306433E-5</v>
      </c>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4">
      <c r="A21" t="s">
        <v>195</v>
      </c>
      <c r="B21">
        <v>1.1333333253860474</v>
      </c>
      <c r="C21">
        <v>0.11333335936069489</v>
      </c>
      <c r="D21"/>
      <c r="E21"/>
      <c r="F21"/>
      <c r="G21" s="268">
        <v>3.0208509997464716E-5</v>
      </c>
      <c r="H21"/>
      <c r="I21"/>
      <c r="J21" s="271">
        <v>1.2518769362941384E-3</v>
      </c>
      <c r="K21"/>
      <c r="L21"/>
      <c r="M21"/>
      <c r="N21"/>
      <c r="O21"/>
      <c r="P21"/>
      <c r="Q21"/>
      <c r="R21"/>
      <c r="S21"/>
      <c r="T21"/>
      <c r="U21"/>
      <c r="V21"/>
      <c r="W21"/>
      <c r="X21"/>
      <c r="Y21"/>
      <c r="Z21"/>
      <c r="AA21"/>
      <c r="AB21"/>
      <c r="AC21" s="278">
        <v>2.2980066016316414E-2</v>
      </c>
      <c r="AD21" s="268">
        <v>1.784841442713514E-4</v>
      </c>
      <c r="AE21"/>
      <c r="AF21"/>
      <c r="AG21"/>
      <c r="AH21"/>
      <c r="AI21"/>
      <c r="AJ21"/>
      <c r="AK21"/>
      <c r="AL21"/>
      <c r="AM21"/>
      <c r="AN21"/>
      <c r="AO21"/>
      <c r="AP21"/>
      <c r="AQ21"/>
      <c r="AR21"/>
      <c r="AS21"/>
      <c r="AT21"/>
      <c r="AU21" s="284">
        <v>5.3317170590162277E-2</v>
      </c>
      <c r="AV21" s="272">
        <v>1.1004945263266563E-2</v>
      </c>
      <c r="AW21" s="271">
        <v>2.2302675060927868E-3</v>
      </c>
      <c r="AX21" s="268">
        <v>3.5050645237788558E-4</v>
      </c>
      <c r="AY21" s="314">
        <v>6.2035758048295975E-2</v>
      </c>
      <c r="AZ21" s="279">
        <v>8.8410116732120514E-3</v>
      </c>
      <c r="BA21" s="326">
        <v>5.8148819953203201E-2</v>
      </c>
      <c r="BB21" s="312">
        <v>0.13112059235572815</v>
      </c>
      <c r="BC21" s="366">
        <v>0.40275084972381592</v>
      </c>
      <c r="BD21" s="273">
        <v>1.7918538302183151E-2</v>
      </c>
      <c r="BE21" s="285">
        <v>3.4306321293115616E-2</v>
      </c>
      <c r="BF21" s="272">
        <v>1.0674964636564255E-2</v>
      </c>
      <c r="BG21" s="307">
        <v>3.9913538843393326E-2</v>
      </c>
      <c r="BH21" s="271">
        <v>2.3457445204257965E-3</v>
      </c>
      <c r="BI21" s="279">
        <v>9.2066274955868721E-3</v>
      </c>
      <c r="BJ21" s="268">
        <v>9.3766540521755815E-4</v>
      </c>
      <c r="BK21" s="268">
        <v>9.3961745733395219E-4</v>
      </c>
      <c r="BL21"/>
      <c r="BM21" s="276">
        <v>1.9750988110899925E-2</v>
      </c>
      <c r="BN21"/>
      <c r="BO21"/>
      <c r="BP21"/>
      <c r="BQ21"/>
      <c r="BR21"/>
      <c r="BS21"/>
      <c r="BT21"/>
      <c r="BU21"/>
      <c r="BV21"/>
      <c r="BW21"/>
      <c r="BX21"/>
      <c r="BY21"/>
      <c r="BZ21" s="268">
        <v>1.0032494901679456E-4</v>
      </c>
      <c r="CA21"/>
      <c r="CB21"/>
      <c r="CC21" s="285">
        <v>3.24835404753685E-2</v>
      </c>
      <c r="CD21" s="278">
        <v>2.2771971300244331E-2</v>
      </c>
      <c r="CE21" s="268">
        <v>1.031421241350472E-3</v>
      </c>
      <c r="CF21" s="268">
        <v>7.4063905049115419E-4</v>
      </c>
      <c r="CG21" s="268">
        <v>6.6659820731729269E-4</v>
      </c>
      <c r="CH21" s="271">
        <v>1.7861414235085249E-3</v>
      </c>
      <c r="CI21" s="271">
        <v>1.1679638409987092E-3</v>
      </c>
      <c r="CJ21" s="268">
        <v>4.7417277528438717E-5</v>
      </c>
      <c r="CK21"/>
      <c r="CL21" s="292">
        <v>2.5001481175422668E-2</v>
      </c>
      <c r="CM21" s="271">
        <v>1.9855035934597254E-3</v>
      </c>
      <c r="CN21" s="280">
        <v>7.2450931183993816E-3</v>
      </c>
      <c r="CO21"/>
      <c r="CP21" s="281">
        <v>3.1254373490810394E-2</v>
      </c>
      <c r="CQ21" s="269">
        <v>3.4603390377014875E-3</v>
      </c>
      <c r="CR21" s="268">
        <v>2.2583504687645473E-5</v>
      </c>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s="262" customFormat="1" ht="15" customHeight="1" x14ac:dyDescent="0.4">
      <c r="A22" t="s">
        <v>196</v>
      </c>
      <c r="B22">
        <v>1.1333333253860474</v>
      </c>
      <c r="C22">
        <v>3.8598362356424332E-2</v>
      </c>
      <c r="D22"/>
      <c r="E22" s="268">
        <v>1.0794061466867788E-7</v>
      </c>
      <c r="F22"/>
      <c r="G22" s="280">
        <v>7.5031900778412819E-3</v>
      </c>
      <c r="H22"/>
      <c r="I22"/>
      <c r="J22" s="268">
        <v>4.1732991462595237E-7</v>
      </c>
      <c r="K22"/>
      <c r="L22" s="268">
        <v>6.1006460327917011E-7</v>
      </c>
      <c r="M22"/>
      <c r="N22"/>
      <c r="O22"/>
      <c r="P22"/>
      <c r="Q22"/>
      <c r="R22"/>
      <c r="S22"/>
      <c r="T22"/>
      <c r="U22"/>
      <c r="V22"/>
      <c r="W22"/>
      <c r="X22"/>
      <c r="Y22"/>
      <c r="Z22"/>
      <c r="AA22"/>
      <c r="AB22"/>
      <c r="AC22" s="284">
        <v>5.3284481167793274E-2</v>
      </c>
      <c r="AD22" s="268">
        <v>4.1385588701814413E-4</v>
      </c>
      <c r="AE22"/>
      <c r="AF22"/>
      <c r="AG22"/>
      <c r="AH22"/>
      <c r="AI22"/>
      <c r="AJ22"/>
      <c r="AK22"/>
      <c r="AL22"/>
      <c r="AM22"/>
      <c r="AN22"/>
      <c r="AO22"/>
      <c r="AP22"/>
      <c r="AQ22"/>
      <c r="AR22"/>
      <c r="AS22"/>
      <c r="AT22"/>
      <c r="AU22" s="291">
        <v>0.11037725210189819</v>
      </c>
      <c r="AV22" s="292">
        <v>2.5517454370856285E-2</v>
      </c>
      <c r="AW22" s="269">
        <v>5.1713804714381695E-3</v>
      </c>
      <c r="AX22" s="268">
        <v>8.1272854004055262E-4</v>
      </c>
      <c r="AY22" s="273">
        <v>1.6718605533242226E-2</v>
      </c>
      <c r="AZ22" s="276">
        <v>2.0499886944890022E-2</v>
      </c>
      <c r="BA22" s="335">
        <v>0.1161903440952301</v>
      </c>
      <c r="BB22" s="295">
        <v>9.3032695353031158E-2</v>
      </c>
      <c r="BC22" s="287">
        <v>5.0609968602657318E-2</v>
      </c>
      <c r="BD22" s="270">
        <v>4.1548188775777817E-2</v>
      </c>
      <c r="BE22" s="191">
        <v>7.95469731092453E-2</v>
      </c>
      <c r="BF22" s="292">
        <v>2.4752320721745491E-2</v>
      </c>
      <c r="BG22" s="282">
        <v>3.5837925970554352E-2</v>
      </c>
      <c r="BH22" s="269">
        <v>5.439139436930418E-3</v>
      </c>
      <c r="BI22" s="278">
        <v>2.1347649395465851E-2</v>
      </c>
      <c r="BJ22" s="271">
        <v>2.0223816391080618E-3</v>
      </c>
      <c r="BK22" s="271">
        <v>2.1787157747894526E-3</v>
      </c>
      <c r="BL22"/>
      <c r="BM22" s="303">
        <v>4.5797143131494522E-2</v>
      </c>
      <c r="BN22"/>
      <c r="BO22"/>
      <c r="BP22"/>
      <c r="BQ22"/>
      <c r="BR22"/>
      <c r="BS22"/>
      <c r="BT22"/>
      <c r="BU22"/>
      <c r="BV22"/>
      <c r="BW22"/>
      <c r="BX22"/>
      <c r="BY22"/>
      <c r="BZ22" s="268">
        <v>2.326261019334197E-4</v>
      </c>
      <c r="CA22"/>
      <c r="CB22"/>
      <c r="CC22" s="318">
        <v>7.5320452451705933E-2</v>
      </c>
      <c r="CD22" s="284">
        <v>5.280197411775589E-2</v>
      </c>
      <c r="CE22" s="271">
        <v>2.3915832862257957E-3</v>
      </c>
      <c r="CF22" s="271">
        <v>1.7173395026475191E-3</v>
      </c>
      <c r="CG22" s="271">
        <v>2.807058859616518E-3</v>
      </c>
      <c r="CH22" s="279">
        <v>8.0373035743832588E-3</v>
      </c>
      <c r="CI22" s="271">
        <v>2.7081887237727642E-3</v>
      </c>
      <c r="CJ22" s="268">
        <v>1.0994769399985671E-4</v>
      </c>
      <c r="CK22"/>
      <c r="CL22" s="326">
        <v>5.7971596717834473E-2</v>
      </c>
      <c r="CM22" s="280">
        <v>6.2222531996667385E-3</v>
      </c>
      <c r="CN22" s="289">
        <v>4.5265089720487595E-2</v>
      </c>
      <c r="CO22"/>
      <c r="CP22" s="305">
        <v>7.2470337152481079E-2</v>
      </c>
      <c r="CQ22" s="279">
        <v>8.0235796049237251E-3</v>
      </c>
      <c r="CR22" s="268">
        <v>5.2364979637786746E-5</v>
      </c>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s="262" customFormat="1" ht="15" customHeight="1" x14ac:dyDescent="0.4">
      <c r="A23" t="s">
        <v>197</v>
      </c>
      <c r="B23">
        <v>1.7999999523162842</v>
      </c>
      <c r="C23">
        <v>0.10194218158721924</v>
      </c>
      <c r="D23"/>
      <c r="E23"/>
      <c r="F23"/>
      <c r="G23" s="268">
        <v>1.4745032240170985E-4</v>
      </c>
      <c r="H23"/>
      <c r="I23"/>
      <c r="J23" s="268">
        <v>6.1100261518731713E-5</v>
      </c>
      <c r="K23"/>
      <c r="L23" s="268">
        <v>8.142193337334902E-7</v>
      </c>
      <c r="M23"/>
      <c r="N23"/>
      <c r="O23"/>
      <c r="P23"/>
      <c r="Q23"/>
      <c r="R23"/>
      <c r="S23"/>
      <c r="T23"/>
      <c r="U23"/>
      <c r="V23"/>
      <c r="W23"/>
      <c r="X23"/>
      <c r="Y23"/>
      <c r="Z23"/>
      <c r="AA23"/>
      <c r="AB23"/>
      <c r="AC23" s="303">
        <v>7.3166236281394958E-2</v>
      </c>
      <c r="AD23" s="268">
        <v>5.6827568914741278E-4</v>
      </c>
      <c r="AE23"/>
      <c r="AF23"/>
      <c r="AG23"/>
      <c r="AH23" s="288">
        <v>6.0961309820413589E-2</v>
      </c>
      <c r="AI23"/>
      <c r="AJ23"/>
      <c r="AK23" s="280">
        <v>1.0618278756737709E-2</v>
      </c>
      <c r="AL23"/>
      <c r="AM23"/>
      <c r="AN23"/>
      <c r="AO23"/>
      <c r="AP23" s="268">
        <v>3.7471108953468502E-4</v>
      </c>
      <c r="AQ23" s="271">
        <v>2.600847277790308E-3</v>
      </c>
      <c r="AR23" s="268">
        <v>3.1042605405673385E-4</v>
      </c>
      <c r="AS23"/>
      <c r="AT23"/>
      <c r="AU23" s="193">
        <v>0.12213794142007828</v>
      </c>
      <c r="AV23" s="278">
        <v>3.5038646310567856E-2</v>
      </c>
      <c r="AW23" s="269">
        <v>7.1009490638971329E-3</v>
      </c>
      <c r="AX23" s="268">
        <v>1.1159776477143168E-3</v>
      </c>
      <c r="AY23" s="298">
        <v>8.6764223873615265E-2</v>
      </c>
      <c r="AZ23" s="273">
        <v>2.8148896992206573E-2</v>
      </c>
      <c r="BA23" s="285">
        <v>5.1805902272462845E-2</v>
      </c>
      <c r="BB23" s="322">
        <v>0.20285032689571381</v>
      </c>
      <c r="BC23" s="325">
        <v>0.19303975999355316</v>
      </c>
      <c r="BD23" s="282">
        <v>5.7050835341215134E-2</v>
      </c>
      <c r="BE23" s="297">
        <v>0.10922789573669434</v>
      </c>
      <c r="BF23" s="278">
        <v>3.3988021314144135E-2</v>
      </c>
      <c r="BG23" s="323">
        <v>0.11434325575828552</v>
      </c>
      <c r="BH23" s="269">
        <v>7.4686161242425442E-3</v>
      </c>
      <c r="BI23" s="273">
        <v>2.9312979429960251E-2</v>
      </c>
      <c r="BJ23" s="271">
        <v>2.9172396752983332E-3</v>
      </c>
      <c r="BK23" s="271">
        <v>2.9916481580585241E-3</v>
      </c>
      <c r="BL23"/>
      <c r="BM23" s="307">
        <v>6.2885180115699768E-2</v>
      </c>
      <c r="BN23"/>
      <c r="BO23"/>
      <c r="BP23"/>
      <c r="BQ23"/>
      <c r="BR23"/>
      <c r="BS23"/>
      <c r="BT23"/>
      <c r="BU23"/>
      <c r="BV23"/>
      <c r="BW23"/>
      <c r="BX23"/>
      <c r="BY23"/>
      <c r="BZ23" s="268">
        <v>3.1942463829182088E-4</v>
      </c>
      <c r="CA23"/>
      <c r="CB23"/>
      <c r="CC23" s="311">
        <v>0.10342434793710709</v>
      </c>
      <c r="CD23" s="303">
        <v>7.250368595123291E-2</v>
      </c>
      <c r="CE23" s="271">
        <v>3.2839423511177301E-3</v>
      </c>
      <c r="CF23" s="271">
        <v>2.3581208661198616E-3</v>
      </c>
      <c r="CG23" s="268">
        <v>2.3360758495982736E-4</v>
      </c>
      <c r="CH23" s="271">
        <v>3.9368984289467335E-3</v>
      </c>
      <c r="CI23" s="271">
        <v>3.7186804693192244E-3</v>
      </c>
      <c r="CJ23" s="268">
        <v>1.509718713350594E-4</v>
      </c>
      <c r="CK23"/>
      <c r="CL23" s="287">
        <v>7.9602211713790894E-2</v>
      </c>
      <c r="CM23" s="271">
        <v>4.0223496034741402E-3</v>
      </c>
      <c r="CN23" s="272">
        <v>1.6905680298805237E-2</v>
      </c>
      <c r="CO23"/>
      <c r="CP23" s="314">
        <v>9.9510811269283295E-2</v>
      </c>
      <c r="CQ23" s="280">
        <v>1.1017372831702232E-2</v>
      </c>
      <c r="CR23" s="268">
        <v>7.1903639764059335E-5</v>
      </c>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4">
      <c r="A24" t="s">
        <v>198</v>
      </c>
      <c r="B24">
        <v>1.7999999523162842</v>
      </c>
      <c r="C24">
        <v>0.25128167867660522</v>
      </c>
      <c r="D24"/>
      <c r="E24"/>
      <c r="F24"/>
      <c r="G24" s="268">
        <v>9.4891095068305731E-4</v>
      </c>
      <c r="H24"/>
      <c r="I24"/>
      <c r="J24"/>
      <c r="K24"/>
      <c r="L24"/>
      <c r="M24"/>
      <c r="N24"/>
      <c r="O24"/>
      <c r="P24"/>
      <c r="Q24"/>
      <c r="R24"/>
      <c r="S24"/>
      <c r="T24"/>
      <c r="U24"/>
      <c r="V24"/>
      <c r="W24"/>
      <c r="X24"/>
      <c r="Y24"/>
      <c r="Z24"/>
      <c r="AA24"/>
      <c r="AB24"/>
      <c r="AC24" s="280">
        <v>9.6694501116871834E-3</v>
      </c>
      <c r="AD24" s="268">
        <v>3.9580590964760631E-5</v>
      </c>
      <c r="AE24"/>
      <c r="AF24"/>
      <c r="AG24"/>
      <c r="AH24"/>
      <c r="AI24" s="278">
        <v>3.5943116992712021E-2</v>
      </c>
      <c r="AJ24"/>
      <c r="AK24" s="274">
        <v>2.4196945130825043E-2</v>
      </c>
      <c r="AL24" s="268">
        <v>2.0624190801754594E-4</v>
      </c>
      <c r="AM24"/>
      <c r="AN24"/>
      <c r="AO24" s="268">
        <v>1.3080025091767311E-3</v>
      </c>
      <c r="AP24" s="268">
        <v>8.5389200830832124E-4</v>
      </c>
      <c r="AQ24" s="269">
        <v>5.9268134646117687E-3</v>
      </c>
      <c r="AR24" s="268">
        <v>7.0739921648055315E-4</v>
      </c>
      <c r="AS24"/>
      <c r="AT24"/>
      <c r="AU24" s="273">
        <v>2.6982733979821205E-2</v>
      </c>
      <c r="AV24" s="271">
        <v>2.2535596508532763E-3</v>
      </c>
      <c r="AW24" s="268">
        <v>4.5670755207538605E-4</v>
      </c>
      <c r="AX24" s="268">
        <v>2.4137221043929458E-4</v>
      </c>
      <c r="AY24" s="311">
        <v>0.1029069721698761</v>
      </c>
      <c r="AZ24" s="271">
        <v>4.3035866692662239E-3</v>
      </c>
      <c r="BA24" s="280">
        <v>1.1907540261745453E-2</v>
      </c>
      <c r="BB24" s="241">
        <v>0.58144479990005493</v>
      </c>
      <c r="BC24" s="354">
        <v>0.6090235710144043</v>
      </c>
      <c r="BD24" s="271">
        <v>3.6693043075501919E-3</v>
      </c>
      <c r="BE24" s="271">
        <v>4.6408744528889656E-3</v>
      </c>
      <c r="BF24" s="268">
        <v>8.6239521624520421E-4</v>
      </c>
      <c r="BG24" s="288">
        <v>5.9738703072071075E-2</v>
      </c>
      <c r="BH24" s="268">
        <v>4.8035325016826391E-4</v>
      </c>
      <c r="BI24" s="271">
        <v>3.8739233277738094E-3</v>
      </c>
      <c r="BJ24" s="268">
        <v>1.9201300165150315E-4</v>
      </c>
      <c r="BK24" s="268">
        <v>1.924124953802675E-4</v>
      </c>
      <c r="BL24"/>
      <c r="BM24" s="269">
        <v>8.3107342943549156E-3</v>
      </c>
      <c r="BN24"/>
      <c r="BO24"/>
      <c r="BP24"/>
      <c r="BQ24"/>
      <c r="BR24"/>
      <c r="BS24"/>
      <c r="BT24"/>
      <c r="BU24"/>
      <c r="BV24"/>
      <c r="BW24"/>
      <c r="BX24"/>
      <c r="BY24"/>
      <c r="BZ24" s="268">
        <v>2.4568784283474088E-5</v>
      </c>
      <c r="CA24"/>
      <c r="CB24"/>
      <c r="CC24" s="269">
        <v>7.6726404950022697E-3</v>
      </c>
      <c r="CD24" s="269">
        <v>5.6584454141557217E-3</v>
      </c>
      <c r="CE24" s="268">
        <v>2.8444256167858839E-4</v>
      </c>
      <c r="CF24" s="268">
        <v>1.2875412357971072E-3</v>
      </c>
      <c r="CG24" s="268">
        <v>6.5608829027041793E-4</v>
      </c>
      <c r="CH24" s="268">
        <v>4.25640435423702E-4</v>
      </c>
      <c r="CI24" s="268">
        <v>2.7948830393142998E-4</v>
      </c>
      <c r="CJ24" s="268">
        <v>5.5476051784353331E-5</v>
      </c>
      <c r="CK24"/>
      <c r="CL24" s="271">
        <v>5.1197325810790062E-3</v>
      </c>
      <c r="CM24" s="271">
        <v>3.8004606030881405E-3</v>
      </c>
      <c r="CN24" s="279">
        <v>1.4838587492704391E-2</v>
      </c>
      <c r="CO24"/>
      <c r="CP24" s="269">
        <v>6.4001749269664288E-3</v>
      </c>
      <c r="CQ24" s="268">
        <v>9.2693202896043658E-4</v>
      </c>
      <c r="CR24" s="268">
        <v>6.0494990066217724E-6</v>
      </c>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4">
      <c r="A25" t="s">
        <v>199</v>
      </c>
      <c r="B25">
        <v>1.1333333253860474</v>
      </c>
      <c r="C25">
        <v>0.25456655025482178</v>
      </c>
      <c r="D25"/>
      <c r="E25"/>
      <c r="F25"/>
      <c r="G25"/>
      <c r="H25"/>
      <c r="I25"/>
      <c r="J25"/>
      <c r="K25"/>
      <c r="L25"/>
      <c r="M25"/>
      <c r="N25"/>
      <c r="O25"/>
      <c r="P25"/>
      <c r="Q25"/>
      <c r="R25"/>
      <c r="S25"/>
      <c r="T25"/>
      <c r="U25"/>
      <c r="V25"/>
      <c r="W25"/>
      <c r="X25"/>
      <c r="Y25"/>
      <c r="Z25"/>
      <c r="AA25"/>
      <c r="AB25"/>
      <c r="AC25" s="286">
        <v>2.7444908395409584E-2</v>
      </c>
      <c r="AD25" s="268">
        <v>1.1234204430365935E-4</v>
      </c>
      <c r="AE25"/>
      <c r="AF25"/>
      <c r="AG25"/>
      <c r="AH25"/>
      <c r="AI25"/>
      <c r="AJ25"/>
      <c r="AK25"/>
      <c r="AL25"/>
      <c r="AM25"/>
      <c r="AN25"/>
      <c r="AO25"/>
      <c r="AP25"/>
      <c r="AQ25"/>
      <c r="AR25"/>
      <c r="AS25"/>
      <c r="AT25"/>
      <c r="AU25" s="281">
        <v>3.0989049002528191E-2</v>
      </c>
      <c r="AV25" s="280">
        <v>6.3963029533624649E-3</v>
      </c>
      <c r="AW25" s="271">
        <v>1.2962780892848969E-3</v>
      </c>
      <c r="AX25" s="268">
        <v>6.8508944241330028E-4</v>
      </c>
      <c r="AY25" s="361">
        <v>0.19469496607780457</v>
      </c>
      <c r="AZ25" s="272">
        <v>1.2214916758239269E-2</v>
      </c>
      <c r="BA25" s="285">
        <v>3.3797305077314377E-2</v>
      </c>
      <c r="BB25" s="268">
        <v>4.1680398862808943E-4</v>
      </c>
      <c r="BC25" s="350">
        <v>0.40399053692817688</v>
      </c>
      <c r="BD25" s="272">
        <v>1.0414627380669117E-2</v>
      </c>
      <c r="BE25" s="275">
        <v>1.317224744707346E-2</v>
      </c>
      <c r="BF25" s="271">
        <v>2.4477462284266949E-3</v>
      </c>
      <c r="BG25" s="278">
        <v>2.3198576644062996E-2</v>
      </c>
      <c r="BH25" s="271">
        <v>1.3633918715640903E-3</v>
      </c>
      <c r="BI25" s="272">
        <v>1.0995399206876755E-2</v>
      </c>
      <c r="BJ25" s="268">
        <v>5.4499262478202581E-4</v>
      </c>
      <c r="BK25" s="268">
        <v>5.4612645180895925E-4</v>
      </c>
      <c r="BL25"/>
      <c r="BM25" s="292">
        <v>2.3588450625538826E-2</v>
      </c>
      <c r="BN25"/>
      <c r="BO25"/>
      <c r="BP25"/>
      <c r="BQ25"/>
      <c r="BR25"/>
      <c r="BS25"/>
      <c r="BT25"/>
      <c r="BU25"/>
      <c r="BV25"/>
      <c r="BW25"/>
      <c r="BX25"/>
      <c r="BY25"/>
      <c r="BZ25" s="268">
        <v>6.9733854616060853E-5</v>
      </c>
      <c r="CA25"/>
      <c r="CB25"/>
      <c r="CC25" s="278">
        <v>2.1777339279651642E-2</v>
      </c>
      <c r="CD25" s="274">
        <v>1.6060428693890572E-2</v>
      </c>
      <c r="CE25" s="268">
        <v>8.0733647337183356E-4</v>
      </c>
      <c r="CF25" s="269">
        <v>3.654442960396409E-3</v>
      </c>
      <c r="CG25" s="268">
        <v>4.15332819102332E-4</v>
      </c>
      <c r="CH25" s="271">
        <v>1.2080998858436942E-3</v>
      </c>
      <c r="CI25" s="268">
        <v>7.9327478306367993E-4</v>
      </c>
      <c r="CJ25" s="268">
        <v>1.5745830023661256E-4</v>
      </c>
      <c r="CK25"/>
      <c r="CL25" s="274">
        <v>1.4531394466757774E-2</v>
      </c>
      <c r="CM25" s="268">
        <v>2.8017968361382373E-5</v>
      </c>
      <c r="CN25" s="268">
        <v>1.4013808686286211E-4</v>
      </c>
      <c r="CO25"/>
      <c r="CP25" s="273">
        <v>1.8165687099099159E-2</v>
      </c>
      <c r="CQ25" s="271">
        <v>2.6309217792004347E-3</v>
      </c>
      <c r="CR25" s="268">
        <v>1.717035956971813E-5</v>
      </c>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s="1" customFormat="1" ht="15" customHeight="1" x14ac:dyDescent="0.4">
      <c r="A26" t="s">
        <v>265</v>
      </c>
      <c r="B26">
        <v>1.7999999523162842</v>
      </c>
      <c r="C26">
        <v>0.12059436738491058</v>
      </c>
      <c r="D26"/>
      <c r="E26"/>
      <c r="F26"/>
      <c r="G26"/>
      <c r="H26"/>
      <c r="I26"/>
      <c r="J26"/>
      <c r="K26"/>
      <c r="L26"/>
      <c r="M26"/>
      <c r="N26"/>
      <c r="O26"/>
      <c r="P26"/>
      <c r="Q26"/>
      <c r="R26"/>
      <c r="S26"/>
      <c r="T26"/>
      <c r="U26"/>
      <c r="V26"/>
      <c r="W26"/>
      <c r="X26"/>
      <c r="Y26"/>
      <c r="Z26"/>
      <c r="AA26"/>
      <c r="AB26"/>
      <c r="AC26" s="278">
        <v>3.4587129950523376E-2</v>
      </c>
      <c r="AD26" s="268">
        <v>2.2575317416340113E-4</v>
      </c>
      <c r="AE26"/>
      <c r="AF26"/>
      <c r="AG26"/>
      <c r="AH26"/>
      <c r="AI26"/>
      <c r="AJ26"/>
      <c r="AK26" s="271">
        <v>3.6279282066971064E-3</v>
      </c>
      <c r="AL26"/>
      <c r="AM26"/>
      <c r="AN26"/>
      <c r="AO26"/>
      <c r="AP26" s="268">
        <v>1.2802708079107106E-4</v>
      </c>
      <c r="AQ26" s="268">
        <v>8.8862801203504205E-4</v>
      </c>
      <c r="AR26" s="268">
        <v>1.0606316936900839E-4</v>
      </c>
      <c r="AS26"/>
      <c r="AT26"/>
      <c r="AU26" s="270">
        <v>6.7700132727622986E-2</v>
      </c>
      <c r="AV26" s="279">
        <v>1.3973667286336422E-2</v>
      </c>
      <c r="AW26" s="271">
        <v>2.8319100383669138E-3</v>
      </c>
      <c r="AX26" s="268">
        <v>4.0133122820407152E-4</v>
      </c>
      <c r="AY26" s="312">
        <v>0.20731133222579956</v>
      </c>
      <c r="AZ26" s="280">
        <v>1.1225977912545204E-2</v>
      </c>
      <c r="BA26" s="303">
        <v>7.3835194110870361E-2</v>
      </c>
      <c r="BB26" s="271">
        <v>2.8195567429065704E-3</v>
      </c>
      <c r="BC26" s="360">
        <v>0.9553074836730957</v>
      </c>
      <c r="BD26" s="275">
        <v>2.2752286866307259E-2</v>
      </c>
      <c r="BE26" s="274">
        <v>2.6394862681627274E-2</v>
      </c>
      <c r="BF26" s="269">
        <v>5.3168339654803276E-3</v>
      </c>
      <c r="BG26" s="283">
        <v>4.4448062777519226E-2</v>
      </c>
      <c r="BH26" s="271">
        <v>2.9777162708342075E-3</v>
      </c>
      <c r="BI26" s="280">
        <v>1.1103646829724312E-2</v>
      </c>
      <c r="BJ26" s="268">
        <v>1.1901536490768194E-3</v>
      </c>
      <c r="BK26" s="268">
        <v>1.1930910404771566E-3</v>
      </c>
      <c r="BL26"/>
      <c r="BM26" s="274">
        <v>2.3841697722673416E-2</v>
      </c>
      <c r="BN26"/>
      <c r="BO26"/>
      <c r="BP26"/>
      <c r="BQ26"/>
      <c r="BR26"/>
      <c r="BS26"/>
      <c r="BT26"/>
      <c r="BU26"/>
      <c r="BV26"/>
      <c r="BW26"/>
      <c r="BX26"/>
      <c r="BY26"/>
      <c r="BZ26"/>
      <c r="CA26"/>
      <c r="CB26"/>
      <c r="CC26" s="286">
        <v>4.3363057076931E-2</v>
      </c>
      <c r="CD26" s="276">
        <v>3.0339354649186134E-2</v>
      </c>
      <c r="CE26" s="268">
        <v>1.5318989753723145E-3</v>
      </c>
      <c r="CF26" s="268">
        <v>1.2585840886458755E-3</v>
      </c>
      <c r="CG26" s="268">
        <v>9.0735586127266288E-4</v>
      </c>
      <c r="CH26" s="271">
        <v>2.396799623966217E-3</v>
      </c>
      <c r="CI26" s="268">
        <v>1.5528190415352583E-3</v>
      </c>
      <c r="CJ26" s="268">
        <v>5.6568678701296449E-5</v>
      </c>
      <c r="CK26"/>
      <c r="CL26" s="276">
        <v>3.1745929270982742E-2</v>
      </c>
      <c r="CM26" s="268">
        <v>6.5186154097318649E-4</v>
      </c>
      <c r="CN26" s="269">
        <v>8.7266862392425537E-3</v>
      </c>
      <c r="CO26"/>
      <c r="CP26" s="292">
        <v>3.9685629308223724E-2</v>
      </c>
      <c r="CQ26" s="271">
        <v>2.9810010455548763E-3</v>
      </c>
      <c r="CR26" s="268">
        <v>1.9455143046798185E-5</v>
      </c>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s="1" customFormat="1" ht="15" customHeight="1" x14ac:dyDescent="0.4">
      <c r="A27" t="s">
        <v>274</v>
      </c>
      <c r="B27">
        <v>1.1333333253860474</v>
      </c>
      <c r="C27">
        <v>0.13492396473884583</v>
      </c>
      <c r="D27"/>
      <c r="E27"/>
      <c r="F27"/>
      <c r="G27"/>
      <c r="H27"/>
      <c r="I27"/>
      <c r="J27"/>
      <c r="K27"/>
      <c r="L27"/>
      <c r="M27"/>
      <c r="N27"/>
      <c r="O27"/>
      <c r="P27"/>
      <c r="Q27"/>
      <c r="R27"/>
      <c r="S27"/>
      <c r="T27"/>
      <c r="U27"/>
      <c r="V27"/>
      <c r="W27"/>
      <c r="X27"/>
      <c r="Y27"/>
      <c r="Z27"/>
      <c r="AA27"/>
      <c r="AB27"/>
      <c r="AC27" s="278">
        <v>2.1777080371975899E-2</v>
      </c>
      <c r="AD27" s="268">
        <v>1.4214086695574224E-4</v>
      </c>
      <c r="AE27"/>
      <c r="AF27"/>
      <c r="AG27"/>
      <c r="AH27"/>
      <c r="AI27"/>
      <c r="AJ27"/>
      <c r="AK27"/>
      <c r="AL27"/>
      <c r="AM27"/>
      <c r="AN27"/>
      <c r="AO27"/>
      <c r="AP27"/>
      <c r="AQ27"/>
      <c r="AR27"/>
      <c r="AS27"/>
      <c r="AT27"/>
      <c r="AU27" s="270">
        <v>4.262600839138031E-2</v>
      </c>
      <c r="AV27" s="279">
        <v>8.7982341647148132E-3</v>
      </c>
      <c r="AW27" s="271">
        <v>1.7830545548349619E-3</v>
      </c>
      <c r="AX27" s="268">
        <v>2.5269004981964827E-4</v>
      </c>
      <c r="AY27" s="308">
        <v>0.13948142528533936</v>
      </c>
      <c r="AZ27" s="280">
        <v>7.0682074874639511E-3</v>
      </c>
      <c r="BA27" s="303">
        <v>4.6488821506500244E-2</v>
      </c>
      <c r="BB27" s="272">
        <v>1.0152542032301426E-2</v>
      </c>
      <c r="BC27" s="358">
        <v>0.52159088850021362</v>
      </c>
      <c r="BD27" s="275">
        <v>1.4325511641800404E-2</v>
      </c>
      <c r="BE27" s="274">
        <v>1.6618985682725906E-2</v>
      </c>
      <c r="BF27" s="269">
        <v>3.34763596765697E-3</v>
      </c>
      <c r="BG27" s="283">
        <v>2.7985816821455956E-2</v>
      </c>
      <c r="BH27" s="271">
        <v>1.8748582806438208E-3</v>
      </c>
      <c r="BI27" s="280">
        <v>6.9911838509142399E-3</v>
      </c>
      <c r="BJ27" s="268">
        <v>7.4935599695891142E-4</v>
      </c>
      <c r="BK27" s="268">
        <v>7.5120554538443685E-4</v>
      </c>
      <c r="BL27"/>
      <c r="BM27" s="274">
        <v>1.50114381685853E-2</v>
      </c>
      <c r="BN27"/>
      <c r="BO27"/>
      <c r="BP27"/>
      <c r="BQ27"/>
      <c r="BR27"/>
      <c r="BS27"/>
      <c r="BT27"/>
      <c r="BU27"/>
      <c r="BV27"/>
      <c r="BW27"/>
      <c r="BX27"/>
      <c r="BY27"/>
      <c r="BZ27"/>
      <c r="CA27"/>
      <c r="CB27"/>
      <c r="CC27" s="286">
        <v>2.7302665635943413E-2</v>
      </c>
      <c r="CD27" s="276">
        <v>1.9102554768323898E-2</v>
      </c>
      <c r="CE27" s="268">
        <v>9.6452882280573249E-4</v>
      </c>
      <c r="CF27" s="268">
        <v>7.924417732283473E-4</v>
      </c>
      <c r="CG27" s="268">
        <v>5.7129806373268366E-4</v>
      </c>
      <c r="CH27" s="271">
        <v>1.5090960077941418E-3</v>
      </c>
      <c r="CI27" s="268">
        <v>9.7770080901682377E-4</v>
      </c>
      <c r="CJ27" s="268">
        <v>3.5617311368696392E-5</v>
      </c>
      <c r="CK27"/>
      <c r="CL27" s="276">
        <v>1.9988177344202995E-2</v>
      </c>
      <c r="CM27" s="268">
        <v>9.8216184414923191E-4</v>
      </c>
      <c r="CN27" s="272">
        <v>1.1489680036902428E-2</v>
      </c>
      <c r="CO27"/>
      <c r="CP27" s="292">
        <v>2.4987244978547096E-2</v>
      </c>
      <c r="CQ27" s="271">
        <v>1.8769263988360763E-3</v>
      </c>
      <c r="CR27" s="268">
        <v>1.2249533938302193E-5</v>
      </c>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s="1" customFormat="1" ht="15" customHeight="1" x14ac:dyDescent="0.4">
      <c r="A28" t="s">
        <v>275</v>
      </c>
      <c r="B28">
        <v>1.1333333253860474</v>
      </c>
      <c r="C28">
        <v>0.1881592869758606</v>
      </c>
      <c r="D28"/>
      <c r="E28"/>
      <c r="F28"/>
      <c r="G28"/>
      <c r="H28"/>
      <c r="I28"/>
      <c r="J28"/>
      <c r="K28"/>
      <c r="L28"/>
      <c r="M28"/>
      <c r="N28"/>
      <c r="O28"/>
      <c r="P28"/>
      <c r="Q28"/>
      <c r="R28"/>
      <c r="S28"/>
      <c r="T28"/>
      <c r="U28"/>
      <c r="V28"/>
      <c r="W28"/>
      <c r="X28"/>
      <c r="Y28"/>
      <c r="Z28"/>
      <c r="AA28"/>
      <c r="AB28"/>
      <c r="AC28" s="278">
        <v>2.1777082234621048E-2</v>
      </c>
      <c r="AD28" s="268">
        <v>1.4214088150765747E-4</v>
      </c>
      <c r="AE28"/>
      <c r="AF28"/>
      <c r="AG28"/>
      <c r="AH28"/>
      <c r="AI28"/>
      <c r="AJ28"/>
      <c r="AK28"/>
      <c r="AL28"/>
      <c r="AM28"/>
      <c r="AN28"/>
      <c r="AO28"/>
      <c r="AP28"/>
      <c r="AQ28"/>
      <c r="AR28"/>
      <c r="AS28"/>
      <c r="AT28"/>
      <c r="AU28" s="270">
        <v>4.2626012116670609E-2</v>
      </c>
      <c r="AV28" s="279">
        <v>8.7982360273599625E-3</v>
      </c>
      <c r="AW28" s="271">
        <v>1.7830546712502837E-3</v>
      </c>
      <c r="AX28" s="268">
        <v>2.5269004981964827E-4</v>
      </c>
      <c r="AY28" s="310">
        <v>0.1428571343421936</v>
      </c>
      <c r="AZ28" s="280">
        <v>7.0682079531252384E-3</v>
      </c>
      <c r="BA28" s="303">
        <v>4.6488821506500244E-2</v>
      </c>
      <c r="BB28" s="275">
        <v>1.3980929739773273E-2</v>
      </c>
      <c r="BC28" s="353">
        <v>0.45644855499267578</v>
      </c>
      <c r="BD28" s="275">
        <v>1.4325513504445553E-2</v>
      </c>
      <c r="BE28" s="274">
        <v>1.6618987545371056E-2</v>
      </c>
      <c r="BF28" s="269">
        <v>3.3476364333182573E-3</v>
      </c>
      <c r="BG28" s="283">
        <v>2.7985820546746254E-2</v>
      </c>
      <c r="BH28" s="271">
        <v>1.8748583970591426E-3</v>
      </c>
      <c r="BI28" s="280">
        <v>6.9911843165755272E-3</v>
      </c>
      <c r="BJ28" s="268">
        <v>7.4935599695891142E-4</v>
      </c>
      <c r="BK28" s="268">
        <v>7.5120554538443685E-4</v>
      </c>
      <c r="BL28"/>
      <c r="BM28" s="274">
        <v>1.501144003123045E-2</v>
      </c>
      <c r="BN28"/>
      <c r="BO28"/>
      <c r="BP28"/>
      <c r="BQ28"/>
      <c r="BR28"/>
      <c r="BS28"/>
      <c r="BT28"/>
      <c r="BU28"/>
      <c r="BV28"/>
      <c r="BW28"/>
      <c r="BX28"/>
      <c r="BY28"/>
      <c r="BZ28"/>
      <c r="CA28"/>
      <c r="CB28"/>
      <c r="CC28" s="286">
        <v>2.7302667498588562E-2</v>
      </c>
      <c r="CD28" s="276">
        <v>1.9102556630969048E-2</v>
      </c>
      <c r="CE28" s="268">
        <v>9.6452893922105432E-4</v>
      </c>
      <c r="CF28" s="268">
        <v>7.9244183143600821E-4</v>
      </c>
      <c r="CG28" s="268">
        <v>5.7129818014800549E-4</v>
      </c>
      <c r="CH28" s="271">
        <v>1.5090962406247854E-3</v>
      </c>
      <c r="CI28" s="268">
        <v>9.777009254321456E-4</v>
      </c>
      <c r="CJ28" s="268">
        <v>3.5617315006675199E-5</v>
      </c>
      <c r="CK28"/>
      <c r="CL28" s="276">
        <v>1.9988179206848145E-2</v>
      </c>
      <c r="CM28" s="271">
        <v>1.3525219401344657E-3</v>
      </c>
      <c r="CN28" s="274">
        <v>1.5822283923625946E-2</v>
      </c>
      <c r="CO28"/>
      <c r="CP28" s="292">
        <v>2.4987244978547096E-2</v>
      </c>
      <c r="CQ28" s="271">
        <v>1.8769267480820417E-3</v>
      </c>
      <c r="CR28" s="268">
        <v>1.2249534847796895E-5</v>
      </c>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s="262" customFormat="1" ht="15" customHeight="1" x14ac:dyDescent="0.4">
      <c r="A29" t="s">
        <v>276</v>
      </c>
      <c r="B29">
        <v>1.7999999523162842</v>
      </c>
      <c r="C29">
        <v>0.2870732843875885</v>
      </c>
      <c r="D29"/>
      <c r="E29"/>
      <c r="F29"/>
      <c r="G29"/>
      <c r="H29"/>
      <c r="I29"/>
      <c r="J29"/>
      <c r="K29"/>
      <c r="L29"/>
      <c r="M29"/>
      <c r="N29"/>
      <c r="O29"/>
      <c r="P29"/>
      <c r="Q29"/>
      <c r="R29"/>
      <c r="S29"/>
      <c r="T29"/>
      <c r="U29"/>
      <c r="V29"/>
      <c r="W29"/>
      <c r="X29"/>
      <c r="Y29"/>
      <c r="Z29"/>
      <c r="AA29"/>
      <c r="AB29"/>
      <c r="AC29" s="274">
        <v>2.3569056764245033E-2</v>
      </c>
      <c r="AD29" s="268">
        <v>8.6179308709688485E-5</v>
      </c>
      <c r="AE29"/>
      <c r="AF29"/>
      <c r="AG29"/>
      <c r="AH29"/>
      <c r="AI29"/>
      <c r="AJ29"/>
      <c r="AK29" s="275">
        <v>1.9834643229842186E-2</v>
      </c>
      <c r="AL29"/>
      <c r="AM29"/>
      <c r="AN29"/>
      <c r="AO29"/>
      <c r="AP29" s="268">
        <v>6.9994933437556028E-4</v>
      </c>
      <c r="AQ29" s="271">
        <v>4.8583149909973145E-3</v>
      </c>
      <c r="AR29" s="268">
        <v>5.7921063853427768E-4</v>
      </c>
      <c r="AS29"/>
      <c r="AT29"/>
      <c r="AU29" s="274">
        <v>2.3780008777976036E-2</v>
      </c>
      <c r="AV29" s="271">
        <v>4.908321425318718E-3</v>
      </c>
      <c r="AW29" s="268">
        <v>9.9475821480154991E-4</v>
      </c>
      <c r="AX29" s="268">
        <v>1.4096501399762928E-4</v>
      </c>
      <c r="AY29" s="343">
        <v>0.51022720336914063</v>
      </c>
      <c r="AZ29" s="271">
        <v>3.9458894170820713E-3</v>
      </c>
      <c r="BA29" s="274">
        <v>2.5935955345630646E-2</v>
      </c>
      <c r="BB29" s="279">
        <v>1.5415064059197903E-2</v>
      </c>
      <c r="BC29" s="260">
        <v>0.47399342060089111</v>
      </c>
      <c r="BD29" s="269">
        <v>7.9918559640645981E-3</v>
      </c>
      <c r="BE29" s="280">
        <v>9.2710899189114571E-3</v>
      </c>
      <c r="BF29" s="271">
        <v>1.8676307518035173E-3</v>
      </c>
      <c r="BG29" s="279">
        <v>1.5611946582794189E-2</v>
      </c>
      <c r="BH29" s="268">
        <v>1.0489291744306684E-3</v>
      </c>
      <c r="BI29" s="269">
        <v>8.4632942453026772E-3</v>
      </c>
      <c r="BJ29" s="268">
        <v>4.1779596358537674E-4</v>
      </c>
      <c r="BK29" s="268">
        <v>4.1908465209417045E-4</v>
      </c>
      <c r="BL29"/>
      <c r="BM29" s="272">
        <v>1.8114538863301277E-2</v>
      </c>
      <c r="BN29"/>
      <c r="BO29"/>
      <c r="BP29"/>
      <c r="BQ29"/>
      <c r="BR29"/>
      <c r="BS29"/>
      <c r="BT29"/>
      <c r="BU29"/>
      <c r="BV29"/>
      <c r="BW29"/>
      <c r="BX29"/>
      <c r="BY29"/>
      <c r="BZ29"/>
      <c r="CA29"/>
      <c r="CB29"/>
      <c r="CC29" s="279">
        <v>1.5231505036354065E-2</v>
      </c>
      <c r="CD29" s="280">
        <v>1.065684761852026E-2</v>
      </c>
      <c r="CE29" s="268">
        <v>5.3808744996786118E-4</v>
      </c>
      <c r="CF29" s="271">
        <v>2.806567121297121E-3</v>
      </c>
      <c r="CG29" s="268">
        <v>3.1870577367953956E-4</v>
      </c>
      <c r="CH29" s="268">
        <v>8.4188865730538964E-4</v>
      </c>
      <c r="CI29" s="268">
        <v>5.4543587611988187E-4</v>
      </c>
      <c r="CJ29" s="268">
        <v>1.2614473234862089E-4</v>
      </c>
      <c r="CK29"/>
      <c r="CL29" s="280">
        <v>1.1150925420224667E-2</v>
      </c>
      <c r="CM29" s="352">
        <v>0.26003792881965637</v>
      </c>
      <c r="CN29" s="275">
        <v>2.1558329463005066E-2</v>
      </c>
      <c r="CO29"/>
      <c r="CP29" s="279">
        <v>1.3939774595201015E-2</v>
      </c>
      <c r="CQ29" s="271">
        <v>2.9796622693538666E-3</v>
      </c>
      <c r="CR29" s="268">
        <v>1.9446431906544603E-5</v>
      </c>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4">
      <c r="A30" t="s">
        <v>277</v>
      </c>
      <c r="B30">
        <v>1.7999999523162842</v>
      </c>
      <c r="C30">
        <v>0.3248482346534729</v>
      </c>
      <c r="D30"/>
      <c r="E30"/>
      <c r="F30"/>
      <c r="G30"/>
      <c r="H30"/>
      <c r="I30"/>
      <c r="J30"/>
      <c r="K30"/>
      <c r="L30"/>
      <c r="M30"/>
      <c r="N30"/>
      <c r="O30"/>
      <c r="P30"/>
      <c r="Q30"/>
      <c r="R30"/>
      <c r="S30"/>
      <c r="T30"/>
      <c r="U30"/>
      <c r="V30"/>
      <c r="W30"/>
      <c r="X30"/>
      <c r="Y30"/>
      <c r="Z30"/>
      <c r="AA30"/>
      <c r="AB30"/>
      <c r="AC30" s="274">
        <v>2.3569058626890182E-2</v>
      </c>
      <c r="AD30" s="268">
        <v>8.6179308709688485E-5</v>
      </c>
      <c r="AE30"/>
      <c r="AF30"/>
      <c r="AG30"/>
      <c r="AH30"/>
      <c r="AI30"/>
      <c r="AJ30"/>
      <c r="AK30" s="271">
        <v>3.1744742300361395E-3</v>
      </c>
      <c r="AL30"/>
      <c r="AM30"/>
      <c r="AN30"/>
      <c r="AO30"/>
      <c r="AP30" s="268">
        <v>1.1202476161997765E-4</v>
      </c>
      <c r="AQ30" s="268">
        <v>7.7755853999406099E-4</v>
      </c>
      <c r="AR30" s="268">
        <v>9.2700895038433373E-5</v>
      </c>
      <c r="AS30"/>
      <c r="AT30"/>
      <c r="AU30" s="274">
        <v>2.3780010640621185E-2</v>
      </c>
      <c r="AV30" s="271">
        <v>4.9083218909800053E-3</v>
      </c>
      <c r="AW30" s="268">
        <v>9.9475821480154991E-4</v>
      </c>
      <c r="AX30" s="268">
        <v>1.4096501399762928E-4</v>
      </c>
      <c r="AY30" s="305">
        <v>0.11629074066877365</v>
      </c>
      <c r="AZ30" s="271">
        <v>3.9458898827433586E-3</v>
      </c>
      <c r="BA30" s="274">
        <v>2.5935953482985497E-2</v>
      </c>
      <c r="BB30" s="271">
        <v>2.4671340361237526E-3</v>
      </c>
      <c r="BC30" s="359">
        <v>1.101446270942688</v>
      </c>
      <c r="BD30" s="269">
        <v>7.9918559640645981E-3</v>
      </c>
      <c r="BE30" s="280">
        <v>9.2710899189114571E-3</v>
      </c>
      <c r="BF30" s="271">
        <v>1.8676307518035173E-3</v>
      </c>
      <c r="BG30" s="279">
        <v>1.5611947514116764E-2</v>
      </c>
      <c r="BH30" s="268">
        <v>1.0489292908459902E-3</v>
      </c>
      <c r="BI30" s="269">
        <v>8.4632951766252518E-3</v>
      </c>
      <c r="BJ30" s="268">
        <v>4.1779596358537674E-4</v>
      </c>
      <c r="BK30" s="268">
        <v>4.1908468119800091E-4</v>
      </c>
      <c r="BL30"/>
      <c r="BM30" s="272">
        <v>1.8114538863301277E-2</v>
      </c>
      <c r="BN30"/>
      <c r="BO30"/>
      <c r="BP30"/>
      <c r="BQ30"/>
      <c r="BR30"/>
      <c r="BS30"/>
      <c r="BT30"/>
      <c r="BU30"/>
      <c r="BV30"/>
      <c r="BW30"/>
      <c r="BX30"/>
      <c r="BY30"/>
      <c r="BZ30"/>
      <c r="CA30"/>
      <c r="CB30"/>
      <c r="CC30" s="279">
        <v>1.5231505036354065E-2</v>
      </c>
      <c r="CD30" s="280">
        <v>1.0656848549842834E-2</v>
      </c>
      <c r="CE30" s="268">
        <v>5.3808750817552209E-4</v>
      </c>
      <c r="CF30" s="271">
        <v>2.806567121297121E-3</v>
      </c>
      <c r="CG30" s="268">
        <v>3.1870580278337002E-4</v>
      </c>
      <c r="CH30" s="268">
        <v>8.4188859909772873E-4</v>
      </c>
      <c r="CI30" s="268">
        <v>5.4543581791222095E-4</v>
      </c>
      <c r="CJ30" s="268">
        <v>1.2614473234862089E-4</v>
      </c>
      <c r="CK30"/>
      <c r="CL30" s="280">
        <v>1.1150925420224667E-2</v>
      </c>
      <c r="CM30" s="286">
        <v>4.1618280112743378E-2</v>
      </c>
      <c r="CN30" s="271">
        <v>3.4503450151532888E-3</v>
      </c>
      <c r="CO30"/>
      <c r="CP30" s="279">
        <v>1.3939774595201015E-2</v>
      </c>
      <c r="CQ30" s="271">
        <v>2.9796627350151539E-3</v>
      </c>
      <c r="CR30" s="268">
        <v>1.9446433725534007E-5</v>
      </c>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s="1" customFormat="1" ht="15" customHeight="1" x14ac:dyDescent="0.4">
      <c r="A31" t="s">
        <v>278</v>
      </c>
      <c r="B31">
        <v>1.1333333253860474</v>
      </c>
      <c r="C31">
        <v>5.0159268081188202E-2</v>
      </c>
      <c r="D31"/>
      <c r="E31"/>
      <c r="F31"/>
      <c r="G31"/>
      <c r="H31"/>
      <c r="I31"/>
      <c r="J31"/>
      <c r="K31"/>
      <c r="L31"/>
      <c r="M31"/>
      <c r="N31"/>
      <c r="O31"/>
      <c r="P31"/>
      <c r="Q31"/>
      <c r="R31"/>
      <c r="S31"/>
      <c r="T31"/>
      <c r="U31"/>
      <c r="V31"/>
      <c r="W31"/>
      <c r="X31"/>
      <c r="Y31"/>
      <c r="Z31"/>
      <c r="AA31"/>
      <c r="AB31"/>
      <c r="AC31" s="278">
        <v>2.1777082234621048E-2</v>
      </c>
      <c r="AD31" s="268">
        <v>1.4214086695574224E-4</v>
      </c>
      <c r="AE31"/>
      <c r="AF31"/>
      <c r="AG31"/>
      <c r="AH31"/>
      <c r="AI31"/>
      <c r="AJ31"/>
      <c r="AK31"/>
      <c r="AL31"/>
      <c r="AM31"/>
      <c r="AN31"/>
      <c r="AO31"/>
      <c r="AP31"/>
      <c r="AQ31"/>
      <c r="AR31"/>
      <c r="AS31"/>
      <c r="AT31"/>
      <c r="AU31" s="270">
        <v>4.2626012116670609E-2</v>
      </c>
      <c r="AV31" s="279">
        <v>8.7982350960373878E-3</v>
      </c>
      <c r="AW31" s="271">
        <v>1.7830546712502837E-3</v>
      </c>
      <c r="AX31" s="268">
        <v>2.5269004981964827E-4</v>
      </c>
      <c r="AY31" s="312">
        <v>0.13052935898303986</v>
      </c>
      <c r="AZ31" s="280">
        <v>7.0682079531252384E-3</v>
      </c>
      <c r="BA31" s="303">
        <v>4.6488821506500244E-2</v>
      </c>
      <c r="BB31" s="191">
        <v>7.9983271658420563E-2</v>
      </c>
      <c r="BC31" s="258">
        <v>0.4596935510635376</v>
      </c>
      <c r="BD31" s="275">
        <v>1.4325513504445553E-2</v>
      </c>
      <c r="BE31" s="274">
        <v>1.6618985682725906E-2</v>
      </c>
      <c r="BF31" s="269">
        <v>3.3476362004876137E-3</v>
      </c>
      <c r="BG31" s="283">
        <v>2.7985818684101105E-2</v>
      </c>
      <c r="BH31" s="271">
        <v>1.8748585134744644E-3</v>
      </c>
      <c r="BI31" s="280">
        <v>6.9911847822368145E-3</v>
      </c>
      <c r="BJ31" s="268">
        <v>7.4935599695891142E-4</v>
      </c>
      <c r="BK31" s="268">
        <v>7.5120554538443685E-4</v>
      </c>
      <c r="BL31"/>
      <c r="BM31" s="274">
        <v>1.501144003123045E-2</v>
      </c>
      <c r="BN31"/>
      <c r="BO31"/>
      <c r="BP31"/>
      <c r="BQ31"/>
      <c r="BR31"/>
      <c r="BS31"/>
      <c r="BT31"/>
      <c r="BU31"/>
      <c r="BV31"/>
      <c r="BW31"/>
      <c r="BX31"/>
      <c r="BY31"/>
      <c r="BZ31"/>
      <c r="CA31"/>
      <c r="CB31"/>
      <c r="CC31" s="286">
        <v>2.7302663773298264E-2</v>
      </c>
      <c r="CD31" s="276">
        <v>1.9102558493614197E-2</v>
      </c>
      <c r="CE31" s="268">
        <v>9.6452893922105432E-4</v>
      </c>
      <c r="CF31" s="268">
        <v>7.9244183143600821E-4</v>
      </c>
      <c r="CG31" s="268">
        <v>5.7129812194034457E-4</v>
      </c>
      <c r="CH31" s="271">
        <v>1.5090961242094636E-3</v>
      </c>
      <c r="CI31" s="268">
        <v>9.777009254321456E-4</v>
      </c>
      <c r="CJ31" s="268">
        <v>3.5617315006675199E-5</v>
      </c>
      <c r="CK31"/>
      <c r="CL31" s="276">
        <v>1.9988177344202995E-2</v>
      </c>
      <c r="CM31" s="280">
        <v>7.7376207336783409E-3</v>
      </c>
      <c r="CN31" s="302">
        <v>9.0517453849315643E-2</v>
      </c>
      <c r="CO31"/>
      <c r="CP31" s="292">
        <v>2.4987248703837395E-2</v>
      </c>
      <c r="CQ31" s="271">
        <v>1.8769266316667199E-3</v>
      </c>
      <c r="CR31" s="268">
        <v>1.2249533938302193E-5</v>
      </c>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4">
      <c r="A32" t="s">
        <v>279</v>
      </c>
      <c r="B32">
        <v>1.7999999523162842</v>
      </c>
      <c r="C32">
        <v>6.9859743118286133E-2</v>
      </c>
      <c r="D32"/>
      <c r="E32"/>
      <c r="F32"/>
      <c r="G32"/>
      <c r="H32"/>
      <c r="I32"/>
      <c r="J32"/>
      <c r="K32"/>
      <c r="L32"/>
      <c r="M32"/>
      <c r="N32"/>
      <c r="O32"/>
      <c r="P32"/>
      <c r="Q32"/>
      <c r="R32"/>
      <c r="S32"/>
      <c r="T32"/>
      <c r="U32"/>
      <c r="V32"/>
      <c r="W32"/>
      <c r="X32"/>
      <c r="Y32"/>
      <c r="Z32"/>
      <c r="AA32"/>
      <c r="AB32"/>
      <c r="AC32" s="274">
        <v>2.3569058626890182E-2</v>
      </c>
      <c r="AD32" s="268">
        <v>8.6179315985646099E-5</v>
      </c>
      <c r="AE32"/>
      <c r="AF32"/>
      <c r="AG32"/>
      <c r="AH32"/>
      <c r="AI32"/>
      <c r="AJ32"/>
      <c r="AK32" s="271">
        <v>5.2447556518018246E-3</v>
      </c>
      <c r="AL32"/>
      <c r="AM32"/>
      <c r="AN32"/>
      <c r="AO32"/>
      <c r="AP32" s="268">
        <v>1.8508339417167008E-4</v>
      </c>
      <c r="AQ32" s="268">
        <v>1.2846550671383739E-3</v>
      </c>
      <c r="AR32" s="268">
        <v>1.5315717610064894E-4</v>
      </c>
      <c r="AS32"/>
      <c r="AT32"/>
      <c r="AU32" s="274">
        <v>2.3780012503266335E-2</v>
      </c>
      <c r="AV32" s="271">
        <v>4.9083223566412926E-3</v>
      </c>
      <c r="AW32" s="268">
        <v>9.9475821480154991E-4</v>
      </c>
      <c r="AX32" s="268">
        <v>1.4096504310145974E-4</v>
      </c>
      <c r="AY32" s="369">
        <v>0.93711268901824951</v>
      </c>
      <c r="AZ32" s="271">
        <v>3.9458898827433586E-3</v>
      </c>
      <c r="BA32" s="274">
        <v>2.5935955345630646E-2</v>
      </c>
      <c r="BB32" s="271">
        <v>4.0761125274002552E-3</v>
      </c>
      <c r="BC32" s="357">
        <v>0.50190055370330811</v>
      </c>
      <c r="BD32" s="269">
        <v>7.9918559640645981E-3</v>
      </c>
      <c r="BE32" s="280">
        <v>9.2710917815566063E-3</v>
      </c>
      <c r="BF32" s="271">
        <v>1.8676308682188392E-3</v>
      </c>
      <c r="BG32" s="279">
        <v>1.5611948445439339E-2</v>
      </c>
      <c r="BH32" s="268">
        <v>1.0489291744306684E-3</v>
      </c>
      <c r="BI32" s="269">
        <v>8.4632951766252518E-3</v>
      </c>
      <c r="BJ32" s="268">
        <v>4.177959926892072E-4</v>
      </c>
      <c r="BK32" s="268">
        <v>4.1908465209417045E-4</v>
      </c>
      <c r="BL32"/>
      <c r="BM32" s="272">
        <v>1.8114540725946426E-2</v>
      </c>
      <c r="BN32"/>
      <c r="BO32"/>
      <c r="BP32"/>
      <c r="BQ32"/>
      <c r="BR32"/>
      <c r="BS32"/>
      <c r="BT32"/>
      <c r="BU32"/>
      <c r="BV32"/>
      <c r="BW32"/>
      <c r="BX32"/>
      <c r="BY32"/>
      <c r="BZ32"/>
      <c r="CA32"/>
      <c r="CB32"/>
      <c r="CC32" s="279">
        <v>1.5231503173708916E-2</v>
      </c>
      <c r="CD32" s="280">
        <v>1.0656849481165409E-2</v>
      </c>
      <c r="CE32" s="268">
        <v>5.3808750817552209E-4</v>
      </c>
      <c r="CF32" s="271">
        <v>2.806567121297121E-3</v>
      </c>
      <c r="CG32" s="268">
        <v>3.1870583188720047E-4</v>
      </c>
      <c r="CH32" s="268">
        <v>8.4188865730538964E-4</v>
      </c>
      <c r="CI32" s="268">
        <v>5.4543587611988187E-4</v>
      </c>
      <c r="CJ32" s="268">
        <v>1.2614473234862089E-4</v>
      </c>
      <c r="CK32"/>
      <c r="CL32" s="280">
        <v>1.1150925420224667E-2</v>
      </c>
      <c r="CM32" s="270">
        <v>6.876026839017868E-2</v>
      </c>
      <c r="CN32" s="269">
        <v>5.7005393318831921E-3</v>
      </c>
      <c r="CO32"/>
      <c r="CP32" s="279">
        <v>1.393977552652359E-2</v>
      </c>
      <c r="CQ32" s="271">
        <v>2.9796625021845102E-3</v>
      </c>
      <c r="CR32" s="268">
        <v>1.9446431906544603E-5</v>
      </c>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4">
      <c r="A33" t="s">
        <v>200</v>
      </c>
      <c r="B33">
        <v>1.7999999523162842</v>
      </c>
      <c r="C33">
        <v>0.26170581579208374</v>
      </c>
      <c r="D33"/>
      <c r="E33"/>
      <c r="F33"/>
      <c r="G33"/>
      <c r="H33"/>
      <c r="I33"/>
      <c r="J33"/>
      <c r="K33"/>
      <c r="L33"/>
      <c r="M33"/>
      <c r="N33"/>
      <c r="O33"/>
      <c r="P33"/>
      <c r="Q33"/>
      <c r="R33"/>
      <c r="S33"/>
      <c r="T33"/>
      <c r="U33"/>
      <c r="V33"/>
      <c r="W33"/>
      <c r="X33"/>
      <c r="Y33"/>
      <c r="Z33"/>
      <c r="AA33"/>
      <c r="AB33"/>
      <c r="AC33" s="274">
        <v>2.3569054901599884E-2</v>
      </c>
      <c r="AD33" s="268">
        <v>8.6179308709688485E-5</v>
      </c>
      <c r="AE33"/>
      <c r="AF33"/>
      <c r="AG33"/>
      <c r="AH33"/>
      <c r="AI33"/>
      <c r="AJ33"/>
      <c r="AK33" s="271">
        <v>3.5623193252831697E-3</v>
      </c>
      <c r="AL33"/>
      <c r="AM33"/>
      <c r="AN33"/>
      <c r="AO33"/>
      <c r="AP33" s="268">
        <v>1.2566978693939745E-4</v>
      </c>
      <c r="AQ33" s="268">
        <v>8.7245064787566662E-4</v>
      </c>
      <c r="AR33" s="268">
        <v>1.0435403237352148E-4</v>
      </c>
      <c r="AS33"/>
      <c r="AT33"/>
      <c r="AU33" s="274">
        <v>2.3780008777976036E-2</v>
      </c>
      <c r="AV33" s="271">
        <v>4.9083218909800053E-3</v>
      </c>
      <c r="AW33" s="268">
        <v>9.9475821480154991E-4</v>
      </c>
      <c r="AX33" s="268">
        <v>1.4096502854954451E-4</v>
      </c>
      <c r="AY33" s="368">
        <v>0.92830651998519897</v>
      </c>
      <c r="AZ33" s="271">
        <v>3.9458898827433586E-3</v>
      </c>
      <c r="BA33" s="274">
        <v>2.5935953482985497E-2</v>
      </c>
      <c r="BB33" s="271">
        <v>2.7708862908184528E-3</v>
      </c>
      <c r="BC33" s="237">
        <v>0.38735756278038025</v>
      </c>
      <c r="BD33" s="269">
        <v>7.9918568953871727E-3</v>
      </c>
      <c r="BE33" s="280">
        <v>9.2710908502340317E-3</v>
      </c>
      <c r="BF33" s="271">
        <v>1.8676307518035173E-3</v>
      </c>
      <c r="BG33" s="279">
        <v>1.5611948445439339E-2</v>
      </c>
      <c r="BH33" s="268">
        <v>1.0489291744306684E-3</v>
      </c>
      <c r="BI33" s="269">
        <v>8.4632951766252518E-3</v>
      </c>
      <c r="BJ33" s="268">
        <v>4.177959926892072E-4</v>
      </c>
      <c r="BK33" s="268">
        <v>4.1908465209417045E-4</v>
      </c>
      <c r="BL33"/>
      <c r="BM33" s="272">
        <v>1.8114538863301277E-2</v>
      </c>
      <c r="BN33"/>
      <c r="BO33"/>
      <c r="BP33"/>
      <c r="BQ33"/>
      <c r="BR33"/>
      <c r="BS33"/>
      <c r="BT33"/>
      <c r="BU33"/>
      <c r="BV33"/>
      <c r="BW33"/>
      <c r="BX33"/>
      <c r="BY33"/>
      <c r="BZ33"/>
      <c r="CA33"/>
      <c r="CB33"/>
      <c r="CC33" s="279">
        <v>1.5231503173708916E-2</v>
      </c>
      <c r="CD33" s="280">
        <v>1.0656848549842834E-2</v>
      </c>
      <c r="CE33" s="268">
        <v>5.3808750817552209E-4</v>
      </c>
      <c r="CF33" s="271">
        <v>2.806567121297121E-3</v>
      </c>
      <c r="CG33" s="268">
        <v>3.1870577367953956E-4</v>
      </c>
      <c r="CH33" s="268">
        <v>8.4188859909772873E-4</v>
      </c>
      <c r="CI33" s="268">
        <v>5.4543587611988187E-4</v>
      </c>
      <c r="CJ33" s="268">
        <v>1.2614471779670566E-4</v>
      </c>
      <c r="CK33"/>
      <c r="CL33" s="280">
        <v>1.1150925420224667E-2</v>
      </c>
      <c r="CM33" s="268">
        <v>7.6767790596932173E-4</v>
      </c>
      <c r="CN33" s="269">
        <v>8.7044127285480499E-3</v>
      </c>
      <c r="CO33"/>
      <c r="CP33" s="279">
        <v>1.393977552652359E-2</v>
      </c>
      <c r="CQ33" s="271">
        <v>2.9796627350151539E-3</v>
      </c>
      <c r="CR33" s="268">
        <v>1.94464300875552E-5</v>
      </c>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4">
      <c r="A34" t="s">
        <v>201</v>
      </c>
      <c r="B34">
        <v>1.75</v>
      </c>
      <c r="C34">
        <v>0.26249986886978149</v>
      </c>
      <c r="D34"/>
      <c r="E34"/>
      <c r="F34"/>
      <c r="G34"/>
      <c r="H34"/>
      <c r="I34"/>
      <c r="J34"/>
      <c r="K34"/>
      <c r="L34"/>
      <c r="M34"/>
      <c r="N34"/>
      <c r="O34"/>
      <c r="P34"/>
      <c r="Q34"/>
      <c r="R34"/>
      <c r="S34"/>
      <c r="T34"/>
      <c r="U34"/>
      <c r="V34"/>
      <c r="W34"/>
      <c r="X34"/>
      <c r="Y34"/>
      <c r="Z34"/>
      <c r="AA34"/>
      <c r="AB34"/>
      <c r="AC34" s="352">
        <v>0.25433847308158875</v>
      </c>
      <c r="AD34" s="268">
        <v>1.105686416849494E-3</v>
      </c>
      <c r="AE34"/>
      <c r="AF34"/>
      <c r="AG34"/>
      <c r="AH34"/>
      <c r="AI34"/>
      <c r="AJ34"/>
      <c r="AK34"/>
      <c r="AL34"/>
      <c r="AM34"/>
      <c r="AN34"/>
      <c r="AO34"/>
      <c r="AP34" s="268">
        <v>8.1401335773989558E-4</v>
      </c>
      <c r="AQ34" s="268">
        <v>1.3216797960922122E-3</v>
      </c>
      <c r="AR34"/>
      <c r="AS34"/>
      <c r="AT34" s="242">
        <v>0.32527676224708557</v>
      </c>
      <c r="AU34"/>
      <c r="AV34"/>
      <c r="AW34" s="271">
        <v>4.6303495764732361E-3</v>
      </c>
      <c r="AX34" s="271">
        <v>1.9262527348473668E-3</v>
      </c>
      <c r="AY34" s="291">
        <v>0.17213201522827148</v>
      </c>
      <c r="AZ34"/>
      <c r="BA34" s="275">
        <v>2.1120620891451836E-2</v>
      </c>
      <c r="BB34"/>
      <c r="BC34" s="282">
        <v>5.4477963596582413E-2</v>
      </c>
      <c r="BD34" s="272">
        <v>1.7485478892922401E-2</v>
      </c>
      <c r="BE34" s="276">
        <v>3.2239969819784164E-2</v>
      </c>
      <c r="BF34"/>
      <c r="BG34" s="285">
        <v>5.0292626023292542E-2</v>
      </c>
      <c r="BH34"/>
      <c r="BI34"/>
      <c r="BJ34" s="284">
        <v>8.240092545747757E-2</v>
      </c>
      <c r="BK34"/>
      <c r="BL34"/>
      <c r="BM34"/>
      <c r="BN34" s="281">
        <v>4.8437036573886871E-2</v>
      </c>
      <c r="BO34"/>
      <c r="BP34"/>
      <c r="BQ34"/>
      <c r="BR34"/>
      <c r="BS34"/>
      <c r="BT34"/>
      <c r="BU34"/>
      <c r="BV34"/>
      <c r="BW34"/>
      <c r="BX34"/>
      <c r="BY34"/>
      <c r="BZ34"/>
      <c r="CA34"/>
      <c r="CB34"/>
      <c r="CC34"/>
      <c r="CD34"/>
      <c r="CE34"/>
      <c r="CF34"/>
      <c r="CG34"/>
      <c r="CH34"/>
      <c r="CI34"/>
      <c r="CJ34"/>
      <c r="CK34"/>
      <c r="CL34"/>
      <c r="CM34" s="268">
        <v>1.647668395889923E-4</v>
      </c>
      <c r="CN34"/>
      <c r="CO34" s="275">
        <v>2.0079482346773148E-2</v>
      </c>
      <c r="CP34" s="364">
        <v>0.36364477872848511</v>
      </c>
      <c r="CQ34" s="278">
        <v>3.5611249506473541E-2</v>
      </c>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4">
      <c r="A35" t="s">
        <v>202</v>
      </c>
      <c r="B35">
        <v>0.125</v>
      </c>
      <c r="C35">
        <v>6.0565844178199768E-3</v>
      </c>
      <c r="D35"/>
      <c r="E35" s="268">
        <v>4.8446450819028541E-5</v>
      </c>
      <c r="F35" s="268">
        <v>6.7439279519021511E-5</v>
      </c>
      <c r="G35" s="268">
        <v>1.7289841025558417E-6</v>
      </c>
      <c r="H35" s="271">
        <v>1.954996696440503E-4</v>
      </c>
      <c r="I35" s="268">
        <v>1.075655654858565E-5</v>
      </c>
      <c r="J35" s="275">
        <v>1.3842163607478142E-3</v>
      </c>
      <c r="K35" s="268">
        <v>8.2535530964378268E-5</v>
      </c>
      <c r="L35" s="271">
        <v>1.3248945469968021E-4</v>
      </c>
      <c r="M35"/>
      <c r="N35"/>
      <c r="O35"/>
      <c r="P35"/>
      <c r="Q35"/>
      <c r="R35"/>
      <c r="S35"/>
      <c r="T35"/>
      <c r="U35"/>
      <c r="V35"/>
      <c r="W35"/>
      <c r="X35"/>
      <c r="Y35"/>
      <c r="Z35"/>
      <c r="AA35"/>
      <c r="AB35"/>
      <c r="AC35"/>
      <c r="AD35" s="269">
        <v>4.9340148689225316E-4</v>
      </c>
      <c r="AE35"/>
      <c r="AF35"/>
      <c r="AG35"/>
      <c r="AH35"/>
      <c r="AI35"/>
      <c r="AJ35"/>
      <c r="AK35"/>
      <c r="AL35"/>
      <c r="AM35"/>
      <c r="AN35"/>
      <c r="AO35"/>
      <c r="AP35"/>
      <c r="AQ35"/>
      <c r="AR35"/>
      <c r="AS35"/>
      <c r="AT35"/>
      <c r="AU35"/>
      <c r="AV35"/>
      <c r="AW35"/>
      <c r="AX35" s="268">
        <v>8.452549809589982E-5</v>
      </c>
      <c r="AY35"/>
      <c r="AZ35"/>
      <c r="BA35" s="322">
        <v>1.3866782188415527E-2</v>
      </c>
      <c r="BB35" s="193">
        <v>8.4695238620042801E-3</v>
      </c>
      <c r="BC35"/>
      <c r="BD35" s="280">
        <v>6.2702677678316832E-4</v>
      </c>
      <c r="BE35" s="321">
        <v>3.725070133805275E-2</v>
      </c>
      <c r="BF35" s="328">
        <v>2.1093852818012238E-2</v>
      </c>
      <c r="BG35" s="225">
        <v>2.1754719316959381E-2</v>
      </c>
      <c r="BH35"/>
      <c r="BI35"/>
      <c r="BJ35" s="280">
        <v>8.1111595500260592E-4</v>
      </c>
      <c r="BK35"/>
      <c r="BL35"/>
      <c r="BM35"/>
      <c r="BN35"/>
      <c r="BO35"/>
      <c r="BP35"/>
      <c r="BQ35"/>
      <c r="BR35"/>
      <c r="BS35"/>
      <c r="BT35"/>
      <c r="BU35"/>
      <c r="BV35"/>
      <c r="BW35"/>
      <c r="BX35"/>
      <c r="BY35"/>
      <c r="BZ35"/>
      <c r="CA35"/>
      <c r="CB35"/>
      <c r="CC35"/>
      <c r="CD35"/>
      <c r="CE35"/>
      <c r="CF35"/>
      <c r="CG35"/>
      <c r="CH35"/>
      <c r="CI35"/>
      <c r="CJ35"/>
      <c r="CK35"/>
      <c r="CL35"/>
      <c r="CM35" s="280">
        <v>6.5568235004320741E-4</v>
      </c>
      <c r="CN35" s="318">
        <v>8.305056020617485E-3</v>
      </c>
      <c r="CO35" s="275">
        <v>1.5705266268923879E-3</v>
      </c>
      <c r="CP35" s="269">
        <v>5.3030345588922501E-4</v>
      </c>
      <c r="CQ35" s="275">
        <v>1.5012926887720823E-3</v>
      </c>
      <c r="CR35" s="268">
        <v>5.7819579524220899E-6</v>
      </c>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s="1" customFormat="1" ht="15" customHeight="1" x14ac:dyDescent="0.4">
      <c r="A36" t="s">
        <v>203</v>
      </c>
      <c r="B36">
        <v>1.7999999523162842</v>
      </c>
      <c r="C36">
        <v>0.46891579031944275</v>
      </c>
      <c r="D36"/>
      <c r="E36" s="268">
        <v>8.1472910551383393E-7</v>
      </c>
      <c r="F36"/>
      <c r="G36" s="268">
        <v>3.6364179686643183E-4</v>
      </c>
      <c r="H36"/>
      <c r="I36" s="268">
        <v>3.3343792892992496E-5</v>
      </c>
      <c r="J36" s="268">
        <v>3.6971275818586946E-8</v>
      </c>
      <c r="K36"/>
      <c r="L36" s="303">
        <v>7.4563845992088318E-2</v>
      </c>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s="271">
        <v>5.2147945389151573E-3</v>
      </c>
      <c r="AY36"/>
      <c r="AZ36"/>
      <c r="BA36"/>
      <c r="BB36"/>
      <c r="BC36"/>
      <c r="BD36"/>
      <c r="BE36" s="281">
        <v>4.9348454922437668E-2</v>
      </c>
      <c r="BF36"/>
      <c r="BG36" s="238">
        <v>0.51396024227142334</v>
      </c>
      <c r="BH36"/>
      <c r="BI36"/>
      <c r="BJ36"/>
      <c r="BK36"/>
      <c r="BL36"/>
      <c r="BM36"/>
      <c r="BN36"/>
      <c r="BO36"/>
      <c r="BP36"/>
      <c r="BQ36"/>
      <c r="BR36"/>
      <c r="BS36"/>
      <c r="BT36"/>
      <c r="BU36"/>
      <c r="BV36"/>
      <c r="BW36"/>
      <c r="BX36"/>
      <c r="BY36"/>
      <c r="BZ36"/>
      <c r="CA36"/>
      <c r="CB36"/>
      <c r="CC36"/>
      <c r="CD36"/>
      <c r="CE36"/>
      <c r="CF36"/>
      <c r="CG36"/>
      <c r="CH36"/>
      <c r="CI36"/>
      <c r="CJ36"/>
      <c r="CK36"/>
      <c r="CL36"/>
      <c r="CM36" s="276">
        <v>3.3118866384029388E-2</v>
      </c>
      <c r="CN36" s="294">
        <v>0.24647453427314758</v>
      </c>
      <c r="CO36"/>
      <c r="CP36" s="195">
        <v>0.3674737811088562</v>
      </c>
      <c r="CQ36" s="276">
        <v>3.2275166362524033E-2</v>
      </c>
      <c r="CR36" s="271">
        <v>3.5584012512117624E-3</v>
      </c>
      <c r="CS36" s="271">
        <v>4.6982625499367714E-3</v>
      </c>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s="1" customFormat="1" ht="15" customHeight="1" x14ac:dyDescent="0.4">
      <c r="A37" t="s">
        <v>204</v>
      </c>
      <c r="B37">
        <v>0.75</v>
      </c>
      <c r="C37">
        <v>8.1238344311714172E-2</v>
      </c>
      <c r="D37"/>
      <c r="E37" s="268">
        <v>2.5951411225832999E-4</v>
      </c>
      <c r="F37" s="268">
        <v>2.608884187793592E-6</v>
      </c>
      <c r="G37" s="307">
        <v>2.7198720723390579E-2</v>
      </c>
      <c r="H37" s="268">
        <v>2.9631469260493759E-6</v>
      </c>
      <c r="I37" s="286">
        <v>1.7730241641402245E-2</v>
      </c>
      <c r="J37" s="268">
        <v>9.8150529083795846E-5</v>
      </c>
      <c r="K37"/>
      <c r="L37" s="191">
        <v>5.3049929440021515E-2</v>
      </c>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s="271">
        <v>1.2083078036084771E-3</v>
      </c>
      <c r="AY37"/>
      <c r="AZ37"/>
      <c r="BA37"/>
      <c r="BB37"/>
      <c r="BC37"/>
      <c r="BD37"/>
      <c r="BE37" s="276">
        <v>1.3552302494645119E-2</v>
      </c>
      <c r="BF37"/>
      <c r="BG37" s="193">
        <v>5.2062299102544785E-2</v>
      </c>
      <c r="BH37"/>
      <c r="BI37"/>
      <c r="BJ37"/>
      <c r="BK37"/>
      <c r="BL37"/>
      <c r="BM37"/>
      <c r="BN37"/>
      <c r="BO37"/>
      <c r="BP37"/>
      <c r="BQ37"/>
      <c r="BR37"/>
      <c r="BS37"/>
      <c r="BT37"/>
      <c r="BU37"/>
      <c r="BV37"/>
      <c r="BW37"/>
      <c r="BX37"/>
      <c r="BY37"/>
      <c r="BZ37"/>
      <c r="CA37"/>
      <c r="CB37"/>
      <c r="CC37"/>
      <c r="CD37"/>
      <c r="CE37"/>
      <c r="CF37"/>
      <c r="CG37"/>
      <c r="CH37"/>
      <c r="CI37"/>
      <c r="CJ37"/>
      <c r="CK37"/>
      <c r="CL37"/>
      <c r="CM37" s="269">
        <v>3.4066692460328341E-3</v>
      </c>
      <c r="CN37" s="225">
        <v>0.13066458702087402</v>
      </c>
      <c r="CO37"/>
      <c r="CP37" s="322">
        <v>8.352796733379364E-2</v>
      </c>
      <c r="CQ37" s="279">
        <v>5.8730831369757652E-3</v>
      </c>
      <c r="CR37" s="271">
        <v>1.4023693511262536E-3</v>
      </c>
      <c r="CS37" s="236">
        <v>0.27872189879417419</v>
      </c>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s="1" customFormat="1" ht="15" customHeight="1" x14ac:dyDescent="0.4">
      <c r="A38" t="s">
        <v>205</v>
      </c>
      <c r="B38">
        <v>1.8999999761581421</v>
      </c>
      <c r="C38">
        <v>0.46301180124282837</v>
      </c>
      <c r="D38"/>
      <c r="E38"/>
      <c r="F38"/>
      <c r="G38"/>
      <c r="H38"/>
      <c r="I38"/>
      <c r="J38"/>
      <c r="K38"/>
      <c r="L38" s="268">
        <v>4.6465444029308856E-5</v>
      </c>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s="271">
        <v>3.458614693954587E-3</v>
      </c>
      <c r="AY38"/>
      <c r="AZ38"/>
      <c r="BA38"/>
      <c r="BB38"/>
      <c r="BC38"/>
      <c r="BD38"/>
      <c r="BE38" s="278">
        <v>3.722178190946579E-2</v>
      </c>
      <c r="BF38"/>
      <c r="BG38" s="324">
        <v>0.32258859276771545</v>
      </c>
      <c r="BH38"/>
      <c r="BI38"/>
      <c r="BJ38"/>
      <c r="BK38"/>
      <c r="BL38"/>
      <c r="BM38"/>
      <c r="BN38"/>
      <c r="BO38"/>
      <c r="BP38"/>
      <c r="BQ38"/>
      <c r="BR38"/>
      <c r="BS38"/>
      <c r="BT38"/>
      <c r="BU38"/>
      <c r="BV38"/>
      <c r="BW38"/>
      <c r="BX38"/>
      <c r="BY38"/>
      <c r="BZ38"/>
      <c r="CA38"/>
      <c r="CB38"/>
      <c r="CC38"/>
      <c r="CD38"/>
      <c r="CE38"/>
      <c r="CF38"/>
      <c r="CG38"/>
      <c r="CH38"/>
      <c r="CI38"/>
      <c r="CJ38"/>
      <c r="CK38"/>
      <c r="CL38"/>
      <c r="CM38" s="311">
        <v>0.10725224018096924</v>
      </c>
      <c r="CN38" s="316">
        <v>0.16862328350543976</v>
      </c>
      <c r="CO38"/>
      <c r="CP38" s="293">
        <v>0.35827705264091492</v>
      </c>
      <c r="CQ38" s="272">
        <v>1.8000787124037743E-2</v>
      </c>
      <c r="CR38" s="271">
        <v>3.58576700091362E-3</v>
      </c>
      <c r="CS38" s="228">
        <v>0.41793340444564819</v>
      </c>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4">
      <c r="A39" t="s">
        <v>206</v>
      </c>
      <c r="B39">
        <v>0.20000000298023224</v>
      </c>
      <c r="C39">
        <v>4.247206449508667E-2</v>
      </c>
      <c r="D39"/>
      <c r="E39" s="268">
        <v>1.1341206845827401E-4</v>
      </c>
      <c r="F39" s="278">
        <v>4.1001122444868088E-3</v>
      </c>
      <c r="G39" s="274">
        <v>2.7024396695196629E-3</v>
      </c>
      <c r="H39" s="269">
        <v>7.0475746178999543E-4</v>
      </c>
      <c r="I39" s="268">
        <v>1.4192776689014863E-5</v>
      </c>
      <c r="J39" s="271">
        <v>5.4437457583844662E-4</v>
      </c>
      <c r="K39" s="268">
        <v>1.7169260900118388E-5</v>
      </c>
      <c r="L39" s="349">
        <v>7.416050136089325E-2</v>
      </c>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s="334">
        <v>2.1987330168485641E-2</v>
      </c>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s="306">
        <v>1.8551060929894447E-2</v>
      </c>
      <c r="CO39"/>
      <c r="CP39"/>
      <c r="CQ39" s="337">
        <v>2.6133231818675995E-2</v>
      </c>
      <c r="CR39" s="277">
        <v>8.49935133010149E-3</v>
      </c>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4">
      <c r="A40" t="s">
        <v>207</v>
      </c>
      <c r="B40">
        <v>0.23000000417232513</v>
      </c>
      <c r="C40">
        <v>0.20635026693344116</v>
      </c>
      <c r="D40"/>
      <c r="E40" s="268">
        <v>3.9323168721239199E-8</v>
      </c>
      <c r="F40"/>
      <c r="G40" s="268">
        <v>8.724306826479733E-5</v>
      </c>
      <c r="H40"/>
      <c r="I40" s="268">
        <v>4.3831924756432272E-8</v>
      </c>
      <c r="J40" s="268">
        <v>5.5182063078973442E-5</v>
      </c>
      <c r="K40"/>
      <c r="L40" s="268">
        <v>1.1224170037849035E-7</v>
      </c>
      <c r="M40"/>
      <c r="N40"/>
      <c r="O40"/>
      <c r="P40"/>
      <c r="Q40"/>
      <c r="R40"/>
      <c r="S40"/>
      <c r="T40"/>
      <c r="U40"/>
      <c r="V40"/>
      <c r="W40"/>
      <c r="X40"/>
      <c r="Y40"/>
      <c r="Z40"/>
      <c r="AA40"/>
      <c r="AB40"/>
      <c r="AC40"/>
      <c r="AD40" s="268">
        <v>9.6980566013371572E-6</v>
      </c>
      <c r="AE40"/>
      <c r="AF40"/>
      <c r="AG40"/>
      <c r="AH40"/>
      <c r="AI40"/>
      <c r="AJ40"/>
      <c r="AK40"/>
      <c r="AL40"/>
      <c r="AM40"/>
      <c r="AN40"/>
      <c r="AO40"/>
      <c r="AP40"/>
      <c r="AQ40"/>
      <c r="AR40"/>
      <c r="AS40"/>
      <c r="AT40"/>
      <c r="AU40"/>
      <c r="AV40"/>
      <c r="AW40"/>
      <c r="AX40" s="268">
        <v>1.6908209363464266E-4</v>
      </c>
      <c r="AY40"/>
      <c r="AZ40"/>
      <c r="BA40"/>
      <c r="BB40" s="276">
        <v>4.0603834204375744E-3</v>
      </c>
      <c r="BC40" s="318">
        <v>1.5304850414395332E-2</v>
      </c>
      <c r="BD40" s="268">
        <v>1.0475851922819857E-5</v>
      </c>
      <c r="BE40"/>
      <c r="BF40"/>
      <c r="BG40"/>
      <c r="BH40"/>
      <c r="BI40"/>
      <c r="BJ40"/>
      <c r="BK40"/>
      <c r="BL40"/>
      <c r="BM40"/>
      <c r="BN40"/>
      <c r="BO40"/>
      <c r="BP40"/>
      <c r="BQ40"/>
      <c r="BR40"/>
      <c r="BS40"/>
      <c r="BT40"/>
      <c r="BU40"/>
      <c r="BV40"/>
      <c r="BW40"/>
      <c r="BX40"/>
      <c r="BY40"/>
      <c r="BZ40"/>
      <c r="CA40"/>
      <c r="CB40"/>
      <c r="CC40"/>
      <c r="CD40"/>
      <c r="CE40"/>
      <c r="CF40"/>
      <c r="CG40"/>
      <c r="CH40"/>
      <c r="CI40" s="268">
        <v>4.9665679398458451E-5</v>
      </c>
      <c r="CJ40"/>
      <c r="CK40"/>
      <c r="CL40" s="269">
        <v>7.9661566996946931E-4</v>
      </c>
      <c r="CM40"/>
      <c r="CN40" s="272">
        <v>2.4354308843612671E-3</v>
      </c>
      <c r="CO40"/>
      <c r="CP40" s="271">
        <v>3.5439507337287068E-4</v>
      </c>
      <c r="CQ40" s="271">
        <v>3.0537063139490783E-4</v>
      </c>
      <c r="CR40" s="268">
        <v>1.1153971172461752E-5</v>
      </c>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4">
      <c r="A41" t="s">
        <v>208</v>
      </c>
      <c r="B41">
        <v>0.75999999046325684</v>
      </c>
      <c r="C41">
        <v>0.11572244763374329</v>
      </c>
      <c r="D41"/>
      <c r="E41" s="268">
        <v>1.1105705652880715E-6</v>
      </c>
      <c r="F41"/>
      <c r="G41" s="280">
        <v>4.2867334559559822E-3</v>
      </c>
      <c r="H41" s="268">
        <v>1.7805170671181259E-9</v>
      </c>
      <c r="I41" s="268">
        <v>2.005585599818005E-7</v>
      </c>
      <c r="J41" s="268">
        <v>3.5556746297515929E-5</v>
      </c>
      <c r="K41"/>
      <c r="L41" s="268">
        <v>8.0536347013548948E-6</v>
      </c>
      <c r="M41"/>
      <c r="N41"/>
      <c r="O41"/>
      <c r="P41"/>
      <c r="Q41"/>
      <c r="R41"/>
      <c r="S41"/>
      <c r="T41"/>
      <c r="U41"/>
      <c r="V41"/>
      <c r="W41"/>
      <c r="X41"/>
      <c r="Y41"/>
      <c r="Z41"/>
      <c r="AA41"/>
      <c r="AB41"/>
      <c r="AC41"/>
      <c r="AD41" s="268">
        <v>4.0054318378679454E-4</v>
      </c>
      <c r="AE41"/>
      <c r="AF41"/>
      <c r="AG41"/>
      <c r="AH41"/>
      <c r="AI41"/>
      <c r="AJ41"/>
      <c r="AK41"/>
      <c r="AL41"/>
      <c r="AM41"/>
      <c r="AN41"/>
      <c r="AO41"/>
      <c r="AP41"/>
      <c r="AQ41"/>
      <c r="AR41"/>
      <c r="AS41"/>
      <c r="AT41"/>
      <c r="AU41"/>
      <c r="AV41"/>
      <c r="AW41"/>
      <c r="AX41" s="271">
        <v>1.5127769438549876E-3</v>
      </c>
      <c r="AY41"/>
      <c r="AZ41"/>
      <c r="BA41"/>
      <c r="BB41" s="240">
        <v>0.10134972631931305</v>
      </c>
      <c r="BC41" s="363">
        <v>0.38201868534088135</v>
      </c>
      <c r="BD41" s="268">
        <v>4.3266700231470168E-4</v>
      </c>
      <c r="BE41"/>
      <c r="BF41"/>
      <c r="BG41"/>
      <c r="BH41"/>
      <c r="BI41"/>
      <c r="BJ41"/>
      <c r="BK41"/>
      <c r="BL41"/>
      <c r="BM41"/>
      <c r="BN41"/>
      <c r="BO41"/>
      <c r="BP41"/>
      <c r="BQ41"/>
      <c r="BR41"/>
      <c r="BS41"/>
      <c r="BT41"/>
      <c r="BU41"/>
      <c r="BV41"/>
      <c r="BW41"/>
      <c r="BX41"/>
      <c r="BY41"/>
      <c r="BZ41"/>
      <c r="CA41"/>
      <c r="CB41"/>
      <c r="CC41"/>
      <c r="CD41"/>
      <c r="CE41"/>
      <c r="CF41"/>
      <c r="CG41"/>
      <c r="CH41"/>
      <c r="CI41"/>
      <c r="CJ41"/>
      <c r="CK41"/>
      <c r="CL41" s="277">
        <v>3.2901331782341003E-2</v>
      </c>
      <c r="CM41" s="268">
        <v>2.1534893312491477E-4</v>
      </c>
      <c r="CN41" s="319">
        <v>9.8288767039775848E-2</v>
      </c>
      <c r="CO41"/>
      <c r="CP41" s="278">
        <v>1.4637005515396595E-2</v>
      </c>
      <c r="CQ41" s="272">
        <v>7.900407537817955E-3</v>
      </c>
      <c r="CR41" s="268">
        <v>2.8857035795226693E-4</v>
      </c>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4">
      <c r="A42" t="s">
        <v>209</v>
      </c>
      <c r="B42">
        <v>0.17190000414848328</v>
      </c>
      <c r="C42">
        <v>3.5022599622607231E-3</v>
      </c>
      <c r="D42"/>
      <c r="E42" s="271">
        <v>3.7780529237352312E-4</v>
      </c>
      <c r="F42" s="271">
        <v>4.6120295883156359E-4</v>
      </c>
      <c r="G42" s="268">
        <v>1.7611226212466136E-5</v>
      </c>
      <c r="H42" s="271">
        <v>4.3399023707024753E-4</v>
      </c>
      <c r="I42" s="268">
        <v>3.2451702281832695E-5</v>
      </c>
      <c r="J42" s="307">
        <v>5.9007387608289719E-3</v>
      </c>
      <c r="K42" s="268">
        <v>4.5305187086341903E-5</v>
      </c>
      <c r="L42" s="307">
        <v>6.1422809958457947E-3</v>
      </c>
      <c r="M42"/>
      <c r="N42"/>
      <c r="O42"/>
      <c r="P42"/>
      <c r="Q42"/>
      <c r="R42"/>
      <c r="S42"/>
      <c r="T42"/>
      <c r="U42"/>
      <c r="V42"/>
      <c r="W42"/>
      <c r="X42"/>
      <c r="Y42"/>
      <c r="Z42"/>
      <c r="AA42"/>
      <c r="AB42"/>
      <c r="AC42"/>
      <c r="AD42" s="279">
        <v>1.5044343890622258E-3</v>
      </c>
      <c r="AE42"/>
      <c r="AF42"/>
      <c r="AG42"/>
      <c r="AH42"/>
      <c r="AI42"/>
      <c r="AJ42"/>
      <c r="AK42"/>
      <c r="AL42"/>
      <c r="AM42"/>
      <c r="AN42"/>
      <c r="AO42"/>
      <c r="AP42"/>
      <c r="AQ42"/>
      <c r="AR42"/>
      <c r="AS42"/>
      <c r="AT42"/>
      <c r="AU42"/>
      <c r="AV42"/>
      <c r="AW42"/>
      <c r="AX42" s="269">
        <v>6.0718168970197439E-4</v>
      </c>
      <c r="AY42"/>
      <c r="AZ42"/>
      <c r="BA42" s="345">
        <v>4.2281314730644226E-2</v>
      </c>
      <c r="BB42" s="322">
        <v>1.9335037097334862E-2</v>
      </c>
      <c r="BC42"/>
      <c r="BD42" s="275">
        <v>1.9118720665574074E-3</v>
      </c>
      <c r="BE42" s="306">
        <v>1.5957590192556381E-2</v>
      </c>
      <c r="BF42" s="346">
        <v>3.3215273171663284E-2</v>
      </c>
      <c r="BG42" s="291">
        <v>1.6737896949052811E-2</v>
      </c>
      <c r="BH42"/>
      <c r="BI42"/>
      <c r="BJ42" s="274">
        <v>2.4731801822781563E-3</v>
      </c>
      <c r="BK42"/>
      <c r="BL42"/>
      <c r="BM42"/>
      <c r="BN42"/>
      <c r="BO42"/>
      <c r="BP42"/>
      <c r="BQ42"/>
      <c r="BR42"/>
      <c r="BS42"/>
      <c r="BT42"/>
      <c r="BU42"/>
      <c r="BV42"/>
      <c r="BW42"/>
      <c r="BX42"/>
      <c r="BY42"/>
      <c r="BZ42"/>
      <c r="CA42"/>
      <c r="CB42"/>
      <c r="CC42"/>
      <c r="CD42"/>
      <c r="CE42"/>
      <c r="CF42"/>
      <c r="CG42"/>
      <c r="CH42"/>
      <c r="CI42"/>
      <c r="CJ42"/>
      <c r="CK42"/>
      <c r="CL42"/>
      <c r="CM42" s="280">
        <v>1.022402779199183E-3</v>
      </c>
      <c r="CN42" s="304">
        <v>1.3582129962742329E-2</v>
      </c>
      <c r="CO42" s="272">
        <v>1.5705267433077097E-3</v>
      </c>
      <c r="CP42" s="272">
        <v>1.616952009499073E-3</v>
      </c>
      <c r="CQ42" s="276">
        <v>3.1526233069598675E-3</v>
      </c>
      <c r="CR42" s="268">
        <v>1.7925396605278365E-5</v>
      </c>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4">
      <c r="A43" t="s">
        <v>210</v>
      </c>
      <c r="B43">
        <v>0.20000000298023224</v>
      </c>
      <c r="C43">
        <v>0.14550410211086273</v>
      </c>
      <c r="D43"/>
      <c r="E43" s="268">
        <v>1.3526440307032317E-4</v>
      </c>
      <c r="F43" s="276">
        <v>3.4416317939758301E-3</v>
      </c>
      <c r="G43" s="268">
        <v>6.6829343268182129E-5</v>
      </c>
      <c r="H43" s="269">
        <v>8.9708651648834348E-4</v>
      </c>
      <c r="I43" s="269">
        <v>9.2868466163054109E-4</v>
      </c>
      <c r="J43" s="281">
        <v>5.4414230398833752E-3</v>
      </c>
      <c r="K43" s="268">
        <v>3.3206157240783796E-5</v>
      </c>
      <c r="L43" s="268">
        <v>3.9038789623191406E-7</v>
      </c>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s="268">
        <v>7.1876122092362493E-5</v>
      </c>
      <c r="AY43"/>
      <c r="AZ43"/>
      <c r="BA43"/>
      <c r="BB43" s="275">
        <v>2.5000001769512892E-3</v>
      </c>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s="280">
        <v>1.2986117508262396E-3</v>
      </c>
      <c r="CN43" s="327">
        <v>3.6386299878358841E-2</v>
      </c>
      <c r="CO43" s="274">
        <v>2.6436492335051298E-3</v>
      </c>
      <c r="CP43"/>
      <c r="CQ43" s="269">
        <v>6.3816370675340295E-4</v>
      </c>
      <c r="CR43" s="268">
        <v>1.2772368791047484E-5</v>
      </c>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s="1" customFormat="1" ht="15" customHeight="1" x14ac:dyDescent="0.4">
      <c r="A44" t="s">
        <v>211</v>
      </c>
      <c r="B44">
        <v>0.35400000214576721</v>
      </c>
      <c r="C44">
        <v>4.5126453042030334E-3</v>
      </c>
      <c r="D44"/>
      <c r="E44" s="268">
        <v>3.2373415592701349E-7</v>
      </c>
      <c r="F44" s="268">
        <v>2.4927819595177425E-6</v>
      </c>
      <c r="G44"/>
      <c r="H44" s="268">
        <v>7.8807795489410637E-7</v>
      </c>
      <c r="I44" s="268">
        <v>8.0730075069368468E-7</v>
      </c>
      <c r="J44" s="259">
        <v>0.17647576332092285</v>
      </c>
      <c r="K44" s="269">
        <v>1.717787585221231E-3</v>
      </c>
      <c r="L44" s="268">
        <v>2.3587369923916413E-7</v>
      </c>
      <c r="M44"/>
      <c r="N44"/>
      <c r="O44"/>
      <c r="P44"/>
      <c r="Q44"/>
      <c r="R44"/>
      <c r="S44"/>
      <c r="T44"/>
      <c r="U44"/>
      <c r="V44"/>
      <c r="W44"/>
      <c r="X44"/>
      <c r="Y44"/>
      <c r="Z44"/>
      <c r="AA44"/>
      <c r="AB44"/>
      <c r="AC44"/>
      <c r="AD44" s="271">
        <v>8.3367369370535016E-4</v>
      </c>
      <c r="AE44"/>
      <c r="AF44"/>
      <c r="AG44"/>
      <c r="AH44"/>
      <c r="AI44"/>
      <c r="AJ44"/>
      <c r="AK44"/>
      <c r="AL44"/>
      <c r="AM44"/>
      <c r="AN44"/>
      <c r="AO44"/>
      <c r="AP44"/>
      <c r="AQ44"/>
      <c r="AR44"/>
      <c r="AS44"/>
      <c r="AT44"/>
      <c r="AU44"/>
      <c r="AV44" s="268">
        <v>2.647320507094264E-4</v>
      </c>
      <c r="AW44"/>
      <c r="AX44" s="271">
        <v>3.9871942135505378E-4</v>
      </c>
      <c r="AY44" s="268">
        <v>2.6599413831718266E-4</v>
      </c>
      <c r="AZ44" s="275">
        <v>4.1647790931165218E-3</v>
      </c>
      <c r="BA44"/>
      <c r="BB44" s="240">
        <v>4.7218836843967438E-2</v>
      </c>
      <c r="BC44"/>
      <c r="BD44" s="268">
        <v>6.4323932747356594E-5</v>
      </c>
      <c r="BE44" s="323">
        <v>2.223438024520874E-2</v>
      </c>
      <c r="BF44" s="303">
        <v>1.4669217169284821E-2</v>
      </c>
      <c r="BG44" s="331">
        <v>4.4990822672843933E-2</v>
      </c>
      <c r="BH44" s="307">
        <v>1.2515895999968052E-2</v>
      </c>
      <c r="BI44"/>
      <c r="BJ44"/>
      <c r="BK44"/>
      <c r="BL44"/>
      <c r="BM44"/>
      <c r="BN44" s="268">
        <v>3.260796656832099E-4</v>
      </c>
      <c r="BO44"/>
      <c r="BP44"/>
      <c r="BQ44"/>
      <c r="BR44"/>
      <c r="BS44"/>
      <c r="BT44"/>
      <c r="BU44"/>
      <c r="BV44"/>
      <c r="BW44"/>
      <c r="BX44"/>
      <c r="BY44"/>
      <c r="BZ44"/>
      <c r="CA44"/>
      <c r="CB44"/>
      <c r="CC44"/>
      <c r="CD44" s="271">
        <v>5.843328544870019E-4</v>
      </c>
      <c r="CE44"/>
      <c r="CF44" s="268">
        <v>1.5507467878705938E-6</v>
      </c>
      <c r="CG44"/>
      <c r="CH44"/>
      <c r="CI44" s="268">
        <v>5.7238548833993264E-6</v>
      </c>
      <c r="CJ44"/>
      <c r="CK44"/>
      <c r="CL44"/>
      <c r="CM44" s="271">
        <v>8.7230245117098093E-4</v>
      </c>
      <c r="CN44" s="282">
        <v>1.1375533416867256E-2</v>
      </c>
      <c r="CO44" s="273">
        <v>5.3656483069062233E-3</v>
      </c>
      <c r="CP44" s="279">
        <v>2.7200758922845125E-3</v>
      </c>
      <c r="CQ44" s="280">
        <v>2.3973605129867792E-3</v>
      </c>
      <c r="CR44" s="268">
        <v>1.9192550098523498E-5</v>
      </c>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4">
      <c r="A45" t="s">
        <v>212</v>
      </c>
      <c r="B45">
        <v>0.30000001192092896</v>
      </c>
      <c r="C45">
        <v>3.21492999792099E-2</v>
      </c>
      <c r="D45"/>
      <c r="E45" s="282">
        <v>9.4415908679366112E-3</v>
      </c>
      <c r="F45" s="271">
        <v>6.7645229864865541E-4</v>
      </c>
      <c r="G45" s="277">
        <v>1.3022636994719505E-2</v>
      </c>
      <c r="H45" s="268">
        <v>2.7535139815881848E-4</v>
      </c>
      <c r="I45" s="290">
        <v>0.15020103752613068</v>
      </c>
      <c r="J45" s="278">
        <v>5.7136500254273415E-3</v>
      </c>
      <c r="K45" s="268">
        <v>1.3754375686403364E-5</v>
      </c>
      <c r="L45" s="293">
        <v>5.6634768843650818E-2</v>
      </c>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s="305">
        <v>1.936790905892849E-2</v>
      </c>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s="288">
        <v>1.006412785500288E-2</v>
      </c>
      <c r="CQ45" s="279">
        <v>2.2175249177962542E-3</v>
      </c>
      <c r="CR45" s="268">
        <v>2.2191050811670721E-4</v>
      </c>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s="262" customFormat="1" ht="15" customHeight="1" x14ac:dyDescent="0.4">
      <c r="A46" t="s">
        <v>213</v>
      </c>
      <c r="B46">
        <v>0.23000000417232513</v>
      </c>
      <c r="C46">
        <v>1.1003158986568451E-2</v>
      </c>
      <c r="D46"/>
      <c r="E46" s="309">
        <v>1.6774840652942657E-2</v>
      </c>
      <c r="F46" s="272">
        <v>2.1759597584605217E-3</v>
      </c>
      <c r="G46"/>
      <c r="H46" s="301">
        <v>1.2069961987435818E-2</v>
      </c>
      <c r="I46" s="269">
        <v>7.3564384365454316E-4</v>
      </c>
      <c r="J46" s="318">
        <v>1.510965172201395E-2</v>
      </c>
      <c r="K46" s="268">
        <v>9.1697702373494394E-6</v>
      </c>
      <c r="L46" s="268">
        <v>5.9225858421996236E-5</v>
      </c>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s="331">
        <v>2.918233722448349E-2</v>
      </c>
      <c r="BF46" s="329">
        <v>6.4628243446350098E-2</v>
      </c>
      <c r="BG46" s="239">
        <v>7.3265552520751953E-2</v>
      </c>
      <c r="BH46"/>
      <c r="BI46"/>
      <c r="BJ46"/>
      <c r="BK46"/>
      <c r="BL46"/>
      <c r="BM46"/>
      <c r="BN46"/>
      <c r="BO46"/>
      <c r="BP46"/>
      <c r="BQ46"/>
      <c r="BR46"/>
      <c r="BS46"/>
      <c r="BT46"/>
      <c r="BU46"/>
      <c r="BV46"/>
      <c r="BW46"/>
      <c r="BX46"/>
      <c r="BY46"/>
      <c r="BZ46"/>
      <c r="CA46"/>
      <c r="CB46"/>
      <c r="CC46"/>
      <c r="CD46"/>
      <c r="CE46"/>
      <c r="CF46"/>
      <c r="CG46"/>
      <c r="CH46"/>
      <c r="CI46"/>
      <c r="CJ46"/>
      <c r="CK46"/>
      <c r="CL46"/>
      <c r="CM46" s="268">
        <v>6.4541845858911984E-6</v>
      </c>
      <c r="CN46"/>
      <c r="CO46"/>
      <c r="CP46"/>
      <c r="CQ46" s="292">
        <v>4.9624312669038773E-3</v>
      </c>
      <c r="CR46" s="268">
        <v>1.738088576530572E-5</v>
      </c>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s="1" customFormat="1" ht="15" customHeight="1" x14ac:dyDescent="0.4">
      <c r="A47" t="s">
        <v>214</v>
      </c>
      <c r="B47">
        <v>0.30000001192092896</v>
      </c>
      <c r="C47">
        <v>2.8590453788638115E-2</v>
      </c>
      <c r="D47"/>
      <c r="E47" s="274">
        <v>4.2411414906382561E-3</v>
      </c>
      <c r="F47" s="271">
        <v>4.6362582361325622E-4</v>
      </c>
      <c r="G47" s="268">
        <v>8.8765932559908833E-7</v>
      </c>
      <c r="H47" s="269">
        <v>9.5558050088584423E-4</v>
      </c>
      <c r="I47" s="271">
        <v>2.95621546683833E-4</v>
      </c>
      <c r="J47" s="288">
        <v>9.8181953653693199E-3</v>
      </c>
      <c r="K47" s="268">
        <v>1.1845407243527006E-5</v>
      </c>
      <c r="L47" s="286">
        <v>6.8512866273522377E-3</v>
      </c>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s="271">
        <v>7.7652267646044493E-4</v>
      </c>
      <c r="AY47" s="293">
        <v>5.6584473699331284E-2</v>
      </c>
      <c r="AZ47"/>
      <c r="BA47"/>
      <c r="BB47" s="325">
        <v>3.2414276152849197E-2</v>
      </c>
      <c r="BC47"/>
      <c r="BD47"/>
      <c r="BE47" s="323">
        <v>1.8766487017273903E-2</v>
      </c>
      <c r="BF47" s="326">
        <v>1.5000000596046448E-2</v>
      </c>
      <c r="BG47" s="198">
        <v>3.6098022013902664E-2</v>
      </c>
      <c r="BH47"/>
      <c r="BI47"/>
      <c r="BJ47"/>
      <c r="BK47"/>
      <c r="BL47"/>
      <c r="BM47"/>
      <c r="BN47"/>
      <c r="BO47"/>
      <c r="BP47"/>
      <c r="BQ47"/>
      <c r="BR47"/>
      <c r="BS47"/>
      <c r="BT47"/>
      <c r="BU47"/>
      <c r="BV47"/>
      <c r="BW47"/>
      <c r="BX47"/>
      <c r="BY47"/>
      <c r="BZ47" s="325">
        <v>3.2477915287017822E-2</v>
      </c>
      <c r="CA47"/>
      <c r="CB47"/>
      <c r="CC47"/>
      <c r="CD47" s="272">
        <v>2.9954712372273207E-3</v>
      </c>
      <c r="CE47"/>
      <c r="CF47" s="268">
        <v>3.9748043491272256E-5</v>
      </c>
      <c r="CG47"/>
      <c r="CH47"/>
      <c r="CI47"/>
      <c r="CJ47"/>
      <c r="CK47"/>
      <c r="CL47"/>
      <c r="CM47" s="289">
        <v>1.1726980097591877E-2</v>
      </c>
      <c r="CN47" s="344">
        <v>3.1297288835048676E-2</v>
      </c>
      <c r="CO47"/>
      <c r="CP47"/>
      <c r="CQ47"/>
      <c r="CR47" s="268">
        <v>1.2298370165808592E-5</v>
      </c>
      <c r="CS47" s="307">
        <v>1.0581895709037781E-2</v>
      </c>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4">
      <c r="A48" t="s">
        <v>215</v>
      </c>
      <c r="B48">
        <v>0.27500000596046448</v>
      </c>
      <c r="C48">
        <v>5.0303108990192413E-2</v>
      </c>
      <c r="D48"/>
      <c r="E48" s="271">
        <v>3.3244478981941938E-4</v>
      </c>
      <c r="F48" s="276">
        <v>4.855466540902853E-3</v>
      </c>
      <c r="G48" s="269">
        <v>8.9290650794282556E-4</v>
      </c>
      <c r="H48" s="279">
        <v>2.2542336955666542E-3</v>
      </c>
      <c r="I48" s="269">
        <v>1.0087961563840508E-3</v>
      </c>
      <c r="J48" s="313">
        <v>2.0422313362360001E-2</v>
      </c>
      <c r="K48" s="268">
        <v>2.2337483824230731E-4</v>
      </c>
      <c r="L48" s="272">
        <v>2.6968196034431458E-3</v>
      </c>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s="271">
        <v>3.6885397275909781E-4</v>
      </c>
      <c r="AY48"/>
      <c r="AZ48"/>
      <c r="BA48" s="191">
        <v>1.9521055743098259E-2</v>
      </c>
      <c r="BB48" s="317">
        <v>0.11988665908575058</v>
      </c>
      <c r="BC48"/>
      <c r="BD48" s="271">
        <v>3.1337194377556443E-4</v>
      </c>
      <c r="BE48"/>
      <c r="BF48" s="309">
        <v>1.9700702279806137E-2</v>
      </c>
      <c r="BG48" s="280">
        <v>1.371741178445518E-3</v>
      </c>
      <c r="BH48" s="295">
        <v>2.2866202518343925E-2</v>
      </c>
      <c r="BI48"/>
      <c r="BJ48" s="280">
        <v>1.5733876498416066E-3</v>
      </c>
      <c r="BK48" s="271">
        <v>7.2614714736118913E-4</v>
      </c>
      <c r="BL48"/>
      <c r="BM48"/>
      <c r="BN48"/>
      <c r="BO48"/>
      <c r="BP48"/>
      <c r="BQ48"/>
      <c r="BR48"/>
      <c r="BS48"/>
      <c r="BT48"/>
      <c r="BU48"/>
      <c r="BV48"/>
      <c r="BW48"/>
      <c r="BX48"/>
      <c r="BY48"/>
      <c r="BZ48"/>
      <c r="CA48"/>
      <c r="CB48"/>
      <c r="CC48"/>
      <c r="CD48"/>
      <c r="CE48"/>
      <c r="CF48"/>
      <c r="CG48"/>
      <c r="CH48"/>
      <c r="CI48"/>
      <c r="CJ48"/>
      <c r="CK48"/>
      <c r="CL48"/>
      <c r="CM48" s="280">
        <v>1.7598166596144438E-3</v>
      </c>
      <c r="CN48" s="280">
        <v>1.6024005599319935E-3</v>
      </c>
      <c r="CO48" s="268">
        <v>1.2979765597265214E-4</v>
      </c>
      <c r="CP48"/>
      <c r="CQ48" s="269">
        <v>1.1679409071803093E-3</v>
      </c>
      <c r="CR48" s="268">
        <v>3.0388102459255606E-5</v>
      </c>
      <c r="CS48" s="269">
        <v>9.9205854348838329E-4</v>
      </c>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4">
      <c r="A49" t="s">
        <v>216</v>
      </c>
      <c r="B49">
        <v>0.23000000417232513</v>
      </c>
      <c r="C49">
        <v>0.16878005862236023</v>
      </c>
      <c r="D49"/>
      <c r="E49" s="268">
        <v>9.0258741693105549E-5</v>
      </c>
      <c r="F49" s="275">
        <v>2.7589979581534863E-3</v>
      </c>
      <c r="G49" s="268">
        <v>1.0512622975511476E-4</v>
      </c>
      <c r="H49" s="271">
        <v>5.5655994219705462E-4</v>
      </c>
      <c r="I49" s="271">
        <v>5.7961279526352882E-4</v>
      </c>
      <c r="J49" s="282">
        <v>7.1813217364251614E-3</v>
      </c>
      <c r="K49" s="268">
        <v>2.3082293409970589E-5</v>
      </c>
      <c r="L49" s="268">
        <v>6.1912868432045798E-7</v>
      </c>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s="268">
        <v>3.15535617119167E-5</v>
      </c>
      <c r="AY49"/>
      <c r="AZ49"/>
      <c r="BA49"/>
      <c r="BB49" s="274">
        <v>3.1374590471386909E-3</v>
      </c>
      <c r="BC49"/>
      <c r="BD49"/>
      <c r="BE49" s="287">
        <v>1.0342545807361603E-2</v>
      </c>
      <c r="BF49" s="271">
        <v>6.1249599093571305E-4</v>
      </c>
      <c r="BG49"/>
      <c r="BH49"/>
      <c r="BI49"/>
      <c r="BJ49"/>
      <c r="BK49"/>
      <c r="BL49"/>
      <c r="BM49"/>
      <c r="BN49"/>
      <c r="BO49"/>
      <c r="BP49"/>
      <c r="BQ49"/>
      <c r="BR49"/>
      <c r="BS49"/>
      <c r="BT49"/>
      <c r="BU49"/>
      <c r="BV49"/>
      <c r="BW49"/>
      <c r="BX49"/>
      <c r="BY49"/>
      <c r="BZ49"/>
      <c r="CA49"/>
      <c r="CB49"/>
      <c r="CC49"/>
      <c r="CD49"/>
      <c r="CE49"/>
      <c r="CF49"/>
      <c r="CG49"/>
      <c r="CH49"/>
      <c r="CI49"/>
      <c r="CJ49"/>
      <c r="CK49"/>
      <c r="CL49"/>
      <c r="CM49" s="269">
        <v>8.8561349548399448E-4</v>
      </c>
      <c r="CN49" s="294">
        <v>3.1581610441207886E-2</v>
      </c>
      <c r="CO49" s="272">
        <v>2.3961430415511131E-3</v>
      </c>
      <c r="CP49"/>
      <c r="CQ49" s="269">
        <v>8.0088491085916758E-4</v>
      </c>
      <c r="CR49" s="268">
        <v>8.0145553511101753E-5</v>
      </c>
      <c r="CS49" s="268">
        <v>5.5913271353347227E-5</v>
      </c>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s="1" customFormat="1" ht="15" customHeight="1" x14ac:dyDescent="0.4">
      <c r="A50" t="s">
        <v>217</v>
      </c>
      <c r="B50">
        <v>0.40000000596046448</v>
      </c>
      <c r="C50">
        <v>4.0000010281801224E-2</v>
      </c>
      <c r="D50"/>
      <c r="E50" s="268">
        <v>3.0188029995770194E-5</v>
      </c>
      <c r="F50" s="268">
        <v>1.9877543672919273E-4</v>
      </c>
      <c r="G50" s="268">
        <v>7.9905890743248165E-5</v>
      </c>
      <c r="H50" s="268">
        <v>3.8590613985434175E-4</v>
      </c>
      <c r="I50" s="268">
        <v>1.0726826076279394E-5</v>
      </c>
      <c r="J50" s="268">
        <v>3.3549743238836527E-4</v>
      </c>
      <c r="K50" s="268">
        <v>7.7595932452823035E-6</v>
      </c>
      <c r="L50" s="268">
        <v>4.9723229267328861E-7</v>
      </c>
      <c r="M50"/>
      <c r="N50"/>
      <c r="O50"/>
      <c r="P50"/>
      <c r="Q50"/>
      <c r="R50"/>
      <c r="S50"/>
      <c r="T50"/>
      <c r="U50"/>
      <c r="V50"/>
      <c r="W50"/>
      <c r="X50"/>
      <c r="Y50"/>
      <c r="Z50"/>
      <c r="AA50"/>
      <c r="AB50"/>
      <c r="AC50"/>
      <c r="AD50"/>
      <c r="AE50"/>
      <c r="AF50"/>
      <c r="AG50"/>
      <c r="AH50" s="318">
        <v>2.6464907452464104E-2</v>
      </c>
      <c r="AI50"/>
      <c r="AJ50" s="285">
        <v>1.2124944478273392E-2</v>
      </c>
      <c r="AK50"/>
      <c r="AL50"/>
      <c r="AM50"/>
      <c r="AN50"/>
      <c r="AO50"/>
      <c r="AP50"/>
      <c r="AQ50"/>
      <c r="AR50"/>
      <c r="AS50"/>
      <c r="AT50" s="286">
        <v>9.1035831719636917E-3</v>
      </c>
      <c r="AU50"/>
      <c r="AV50" s="268">
        <v>2.751438005361706E-4</v>
      </c>
      <c r="AW50"/>
      <c r="AX50" s="268">
        <v>2.7324571050257873E-8</v>
      </c>
      <c r="AY50" s="272">
        <v>3.7341844290494919E-3</v>
      </c>
      <c r="AZ50" s="272">
        <v>4.2467731982469559E-3</v>
      </c>
      <c r="BA50" s="273">
        <v>5.9110689908266068E-3</v>
      </c>
      <c r="BB50" s="340">
        <v>3.6318343132734299E-2</v>
      </c>
      <c r="BC50" s="314">
        <v>2.2119579836726189E-2</v>
      </c>
      <c r="BD50"/>
      <c r="BE50" s="306">
        <v>3.7045087665319443E-2</v>
      </c>
      <c r="BF50" s="351">
        <v>3.445453941822052E-2</v>
      </c>
      <c r="BG50" s="170">
        <v>7.6149597764015198E-2</v>
      </c>
      <c r="BH50" s="305">
        <v>2.6016276329755783E-2</v>
      </c>
      <c r="BI50"/>
      <c r="BJ50" s="277">
        <v>1.7296278849244118E-2</v>
      </c>
      <c r="BK50" s="271">
        <v>1.1018890654668212E-3</v>
      </c>
      <c r="BL50"/>
      <c r="BM50" s="311">
        <v>2.2719359025359154E-2</v>
      </c>
      <c r="BN50" s="276">
        <v>6.7780837416648865E-3</v>
      </c>
      <c r="BO50"/>
      <c r="BP50"/>
      <c r="BQ50"/>
      <c r="BR50"/>
      <c r="BS50"/>
      <c r="BT50"/>
      <c r="BU50"/>
      <c r="BV50"/>
      <c r="BW50"/>
      <c r="BX50"/>
      <c r="BY50"/>
      <c r="BZ50" s="280">
        <v>2.6338829193264246E-3</v>
      </c>
      <c r="CA50"/>
      <c r="CB50"/>
      <c r="CC50"/>
      <c r="CD50" s="268">
        <v>1.8219430785393342E-5</v>
      </c>
      <c r="CE50" s="268">
        <v>3.8330758798110764E-6</v>
      </c>
      <c r="CF50" s="268">
        <v>8.0586851254338399E-6</v>
      </c>
      <c r="CG50"/>
      <c r="CH50"/>
      <c r="CI50" s="268">
        <v>5.9489706472959369E-5</v>
      </c>
      <c r="CJ50"/>
      <c r="CK50"/>
      <c r="CL50"/>
      <c r="CM50" s="279">
        <v>2.9072563629597425E-3</v>
      </c>
      <c r="CN50" s="278">
        <v>7.9801427200436592E-3</v>
      </c>
      <c r="CO50" s="279">
        <v>2.9818732291460037E-3</v>
      </c>
      <c r="CP50"/>
      <c r="CQ50" s="271">
        <v>4.9832946388050914E-4</v>
      </c>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s="1" customFormat="1" ht="15" customHeight="1" x14ac:dyDescent="0.4">
      <c r="A51" t="s">
        <v>218</v>
      </c>
      <c r="B51">
        <v>7.0000000298023224E-2</v>
      </c>
      <c r="C51">
        <v>1.3260554522275925E-2</v>
      </c>
      <c r="D51"/>
      <c r="E51" s="271">
        <v>9.4806091510690749E-5</v>
      </c>
      <c r="F51" s="269">
        <v>3.0997698195278645E-4</v>
      </c>
      <c r="G51" s="268">
        <v>2.5124049898295198E-6</v>
      </c>
      <c r="H51" s="280">
        <v>3.786376619245857E-4</v>
      </c>
      <c r="I51" s="271">
        <v>7.9715216998010874E-5</v>
      </c>
      <c r="J51" s="283">
        <v>1.7886008135974407E-3</v>
      </c>
      <c r="K51" s="268">
        <v>3.6700057535199448E-5</v>
      </c>
      <c r="L51" s="271">
        <v>1.827119558583945E-4</v>
      </c>
      <c r="M51"/>
      <c r="N51"/>
      <c r="O51"/>
      <c r="P51"/>
      <c r="Q51"/>
      <c r="R51"/>
      <c r="S51"/>
      <c r="T51"/>
      <c r="U51"/>
      <c r="V51"/>
      <c r="W51"/>
      <c r="X51"/>
      <c r="Y51"/>
      <c r="Z51"/>
      <c r="AA51"/>
      <c r="AB51"/>
      <c r="AC51"/>
      <c r="AD51" s="271">
        <v>1.2826532474718988E-4</v>
      </c>
      <c r="AE51"/>
      <c r="AF51"/>
      <c r="AG51"/>
      <c r="AH51"/>
      <c r="AI51"/>
      <c r="AJ51"/>
      <c r="AK51"/>
      <c r="AL51"/>
      <c r="AM51"/>
      <c r="AN51"/>
      <c r="AO51"/>
      <c r="AP51"/>
      <c r="AQ51"/>
      <c r="AR51"/>
      <c r="AS51"/>
      <c r="AT51"/>
      <c r="AU51"/>
      <c r="AV51"/>
      <c r="AW51"/>
      <c r="AX51" s="268">
        <v>2.9497337891370989E-5</v>
      </c>
      <c r="AY51"/>
      <c r="AZ51"/>
      <c r="BA51" s="304">
        <v>5.5402037687599659E-3</v>
      </c>
      <c r="BB51" s="302">
        <v>5.6856372393667698E-3</v>
      </c>
      <c r="BC51"/>
      <c r="BD51" s="269">
        <v>2.5051640113815665E-4</v>
      </c>
      <c r="BE51" s="243">
        <v>3.3054661005735397E-2</v>
      </c>
      <c r="BF51" s="297">
        <v>4.1911345906555653E-3</v>
      </c>
      <c r="BG51" s="282">
        <v>2.1931997034698725E-3</v>
      </c>
      <c r="BH51"/>
      <c r="BI51"/>
      <c r="BJ51" s="269">
        <v>3.2406576792709529E-4</v>
      </c>
      <c r="BK51"/>
      <c r="BL51"/>
      <c r="BM51"/>
      <c r="BN51"/>
      <c r="BO51"/>
      <c r="BP51"/>
      <c r="BQ51"/>
      <c r="BR51"/>
      <c r="BS51"/>
      <c r="BT51"/>
      <c r="BU51"/>
      <c r="BV51"/>
      <c r="BW51"/>
      <c r="BX51"/>
      <c r="BY51"/>
      <c r="BZ51"/>
      <c r="CA51"/>
      <c r="CB51"/>
      <c r="CC51"/>
      <c r="CD51"/>
      <c r="CE51"/>
      <c r="CF51"/>
      <c r="CG51"/>
      <c r="CH51"/>
      <c r="CI51"/>
      <c r="CJ51"/>
      <c r="CK51"/>
      <c r="CL51"/>
      <c r="CM51" s="268">
        <v>2.5904244466801174E-5</v>
      </c>
      <c r="CN51" s="278">
        <v>1.4193269889801741E-3</v>
      </c>
      <c r="CO51" s="275">
        <v>7.8526337165385485E-4</v>
      </c>
      <c r="CP51" s="269">
        <v>2.1187233505770564E-4</v>
      </c>
      <c r="CQ51" s="268">
        <v>2.3880844310042448E-5</v>
      </c>
      <c r="CR51" s="268">
        <v>2.3497480015066685E-6</v>
      </c>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s="1" customFormat="1" ht="15" customHeight="1" x14ac:dyDescent="0.4">
      <c r="A52" t="s">
        <v>219</v>
      </c>
      <c r="B52">
        <v>0.34999999403953552</v>
      </c>
      <c r="C52">
        <v>5.6722383946180344E-2</v>
      </c>
      <c r="D52"/>
      <c r="E52" s="271">
        <v>8.8775536278262734E-4</v>
      </c>
      <c r="F52" s="268">
        <v>2.6072950277011842E-5</v>
      </c>
      <c r="G52"/>
      <c r="H52" s="268">
        <v>8.0550471466267481E-6</v>
      </c>
      <c r="I52" s="268">
        <v>1.3288856280269101E-5</v>
      </c>
      <c r="J52" s="330">
        <v>4.1088301688432693E-2</v>
      </c>
      <c r="K52" s="268">
        <v>3.2971511245705187E-6</v>
      </c>
      <c r="L52" s="269">
        <v>1.5645362436771393E-3</v>
      </c>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s="310">
        <v>4.3896719813346863E-2</v>
      </c>
      <c r="BB52" s="273">
        <v>5.7713575661182404E-3</v>
      </c>
      <c r="BC52"/>
      <c r="BD52"/>
      <c r="BE52" s="197">
        <v>9.4183787703514099E-2</v>
      </c>
      <c r="BF52" s="304">
        <v>2.7620388194918633E-2</v>
      </c>
      <c r="BG52"/>
      <c r="BH52"/>
      <c r="BI52"/>
      <c r="BJ52"/>
      <c r="BK52" s="269">
        <v>1.5231362776830792E-3</v>
      </c>
      <c r="BL52"/>
      <c r="BM52"/>
      <c r="BN52"/>
      <c r="BO52"/>
      <c r="BP52"/>
      <c r="BQ52"/>
      <c r="BR52"/>
      <c r="BS52"/>
      <c r="BT52"/>
      <c r="BU52"/>
      <c r="BV52"/>
      <c r="BW52"/>
      <c r="BX52"/>
      <c r="BY52"/>
      <c r="BZ52"/>
      <c r="CA52"/>
      <c r="CB52"/>
      <c r="CC52"/>
      <c r="CD52" s="283">
        <v>8.7792249396443367E-3</v>
      </c>
      <c r="CE52"/>
      <c r="CF52"/>
      <c r="CG52"/>
      <c r="CH52"/>
      <c r="CI52" s="283">
        <v>8.8356370106339455E-3</v>
      </c>
      <c r="CJ52"/>
      <c r="CK52"/>
      <c r="CL52"/>
      <c r="CM52" s="299">
        <v>3.3850215375423431E-2</v>
      </c>
      <c r="CN52" s="309">
        <v>2.5151772424578667E-2</v>
      </c>
      <c r="CO52"/>
      <c r="CP52"/>
      <c r="CQ52"/>
      <c r="CR52" s="268">
        <v>7.4066527304239571E-5</v>
      </c>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4">
      <c r="A53" t="s">
        <v>220</v>
      </c>
      <c r="B53">
        <v>0.30000001192092896</v>
      </c>
      <c r="C53">
        <v>9.4655588269233704E-2</v>
      </c>
      <c r="D53"/>
      <c r="E53" s="268">
        <v>2.5062320219149115E-6</v>
      </c>
      <c r="F53" s="268">
        <v>3.308012310299091E-5</v>
      </c>
      <c r="G53" s="268">
        <v>5.4646221769871772E-7</v>
      </c>
      <c r="H53" s="268">
        <v>1.024443372443784E-5</v>
      </c>
      <c r="I53" s="268">
        <v>1.0663528883014806E-5</v>
      </c>
      <c r="J53" s="278">
        <v>5.9694764204323292E-3</v>
      </c>
      <c r="K53" s="268">
        <v>3.9226219087140635E-5</v>
      </c>
      <c r="L53" s="268">
        <v>3.4850550889586884E-8</v>
      </c>
      <c r="M53"/>
      <c r="N53"/>
      <c r="O53"/>
      <c r="P53"/>
      <c r="Q53"/>
      <c r="R53"/>
      <c r="S53"/>
      <c r="T53"/>
      <c r="U53"/>
      <c r="V53"/>
      <c r="W53"/>
      <c r="X53"/>
      <c r="Y53"/>
      <c r="Z53"/>
      <c r="AA53"/>
      <c r="AB53"/>
      <c r="AC53"/>
      <c r="AD53" s="268">
        <v>4.6303812268888578E-5</v>
      </c>
      <c r="AE53"/>
      <c r="AF53"/>
      <c r="AG53"/>
      <c r="AH53"/>
      <c r="AI53"/>
      <c r="AJ53"/>
      <c r="AK53"/>
      <c r="AL53"/>
      <c r="AM53"/>
      <c r="AN53"/>
      <c r="AO53"/>
      <c r="AP53"/>
      <c r="AQ53"/>
      <c r="AR53"/>
      <c r="AS53"/>
      <c r="AT53"/>
      <c r="AU53"/>
      <c r="AV53"/>
      <c r="AW53"/>
      <c r="AX53" s="268">
        <v>1.1791964061558247E-4</v>
      </c>
      <c r="AY53" s="309">
        <v>2.1940719336271286E-2</v>
      </c>
      <c r="AZ53"/>
      <c r="BA53" s="307">
        <v>1.0381579399108887E-2</v>
      </c>
      <c r="BB53" s="141">
        <v>7.18732550740242E-2</v>
      </c>
      <c r="BC53"/>
      <c r="BD53"/>
      <c r="BE53" s="341">
        <v>1.7479497939348221E-2</v>
      </c>
      <c r="BF53" s="301">
        <v>1.585971936583519E-2</v>
      </c>
      <c r="BG53" s="302">
        <v>2.4266902357339859E-2</v>
      </c>
      <c r="BH53" s="322">
        <v>3.3627241849899292E-2</v>
      </c>
      <c r="BI53"/>
      <c r="BJ53" s="271">
        <v>8.3675014320760965E-4</v>
      </c>
      <c r="BK53"/>
      <c r="BL53"/>
      <c r="BM53"/>
      <c r="BN53"/>
      <c r="BO53"/>
      <c r="BP53"/>
      <c r="BQ53"/>
      <c r="BR53"/>
      <c r="BS53"/>
      <c r="BT53"/>
      <c r="BU53"/>
      <c r="BV53"/>
      <c r="BW53"/>
      <c r="BX53"/>
      <c r="BY53"/>
      <c r="BZ53"/>
      <c r="CA53"/>
      <c r="CB53"/>
      <c r="CC53"/>
      <c r="CD53"/>
      <c r="CE53"/>
      <c r="CF53"/>
      <c r="CG53"/>
      <c r="CH53"/>
      <c r="CI53" s="268">
        <v>1.3372082321438938E-4</v>
      </c>
      <c r="CJ53"/>
      <c r="CK53"/>
      <c r="CL53"/>
      <c r="CM53" s="280">
        <v>1.4834984904155135E-3</v>
      </c>
      <c r="CN53" s="271">
        <v>8.7263749446719885E-4</v>
      </c>
      <c r="CO53" s="268">
        <v>1.2979767052456737E-4</v>
      </c>
      <c r="CP53"/>
      <c r="CQ53" s="268">
        <v>2.2402877220883965E-4</v>
      </c>
      <c r="CR53" s="268">
        <v>7.4729467769429903E-7</v>
      </c>
      <c r="CS53" s="268">
        <v>4.3445625124149956E-6</v>
      </c>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4">
      <c r="A54" t="s">
        <v>221</v>
      </c>
      <c r="B54">
        <v>0.37999999523162842</v>
      </c>
      <c r="C54">
        <v>3.0704088509082794E-2</v>
      </c>
      <c r="D54"/>
      <c r="E54" s="268">
        <v>1.9406400042498717E-7</v>
      </c>
      <c r="F54" s="268">
        <v>5.8122179780184524E-7</v>
      </c>
      <c r="G54" s="268">
        <v>8.3062701605740585E-8</v>
      </c>
      <c r="H54" s="268">
        <v>1.4072918474994367E-7</v>
      </c>
      <c r="I54" s="268">
        <v>1.7812085673085676E-7</v>
      </c>
      <c r="J54" s="269">
        <v>1.2662746012210846E-3</v>
      </c>
      <c r="K54" s="268">
        <v>3.3869934850372374E-4</v>
      </c>
      <c r="L54" s="268">
        <v>8.1004482126445509E-6</v>
      </c>
      <c r="M54"/>
      <c r="N54"/>
      <c r="O54"/>
      <c r="P54"/>
      <c r="Q54"/>
      <c r="R54"/>
      <c r="S54"/>
      <c r="T54"/>
      <c r="U54"/>
      <c r="V54"/>
      <c r="W54"/>
      <c r="X54"/>
      <c r="Y54"/>
      <c r="Z54"/>
      <c r="AA54"/>
      <c r="AB54"/>
      <c r="AC54"/>
      <c r="AD54" s="268">
        <v>6.9127439928706735E-5</v>
      </c>
      <c r="AE54"/>
      <c r="AF54"/>
      <c r="AG54"/>
      <c r="AH54"/>
      <c r="AI54" s="142">
        <v>6.2750764191150665E-2</v>
      </c>
      <c r="AJ54"/>
      <c r="AK54"/>
      <c r="AL54"/>
      <c r="AM54"/>
      <c r="AN54"/>
      <c r="AO54"/>
      <c r="AP54"/>
      <c r="AQ54"/>
      <c r="AR54"/>
      <c r="AS54"/>
      <c r="AT54"/>
      <c r="AU54"/>
      <c r="AV54"/>
      <c r="AW54"/>
      <c r="AX54" s="268">
        <v>7.0419526309706271E-5</v>
      </c>
      <c r="AY54" s="271">
        <v>5.2928412333130836E-4</v>
      </c>
      <c r="AZ54"/>
      <c r="BA54" s="289">
        <v>1.4853863045573235E-2</v>
      </c>
      <c r="BB54" s="240">
        <v>5.0655581057071686E-2</v>
      </c>
      <c r="BC54" s="292">
        <v>8.200494572520256E-3</v>
      </c>
      <c r="BD54"/>
      <c r="BE54" s="270">
        <v>1.4153327792882919E-2</v>
      </c>
      <c r="BF54" s="285">
        <v>1.0868996381759644E-2</v>
      </c>
      <c r="BG54" s="344">
        <v>3.9239205420017242E-2</v>
      </c>
      <c r="BH54" s="342">
        <v>7.9914413392543793E-2</v>
      </c>
      <c r="BI54" s="325">
        <v>4.0612544864416122E-2</v>
      </c>
      <c r="BJ54" s="269">
        <v>1.1972141219303012E-3</v>
      </c>
      <c r="BK54" s="268">
        <v>1.4899739471729845E-4</v>
      </c>
      <c r="BL54" s="292">
        <v>8.1380298361182213E-3</v>
      </c>
      <c r="BM54"/>
      <c r="BN54"/>
      <c r="BO54"/>
      <c r="BP54"/>
      <c r="BQ54"/>
      <c r="BR54"/>
      <c r="BS54"/>
      <c r="BT54"/>
      <c r="BU54"/>
      <c r="BV54"/>
      <c r="BW54"/>
      <c r="BX54"/>
      <c r="BY54"/>
      <c r="BZ54" s="279">
        <v>2.9418845660984516E-3</v>
      </c>
      <c r="CA54"/>
      <c r="CB54"/>
      <c r="CC54"/>
      <c r="CD54" s="276">
        <v>6.7833256907761097E-3</v>
      </c>
      <c r="CE54" s="268">
        <v>4.2813087929971516E-5</v>
      </c>
      <c r="CF54" s="268">
        <v>9.0617213572841138E-5</v>
      </c>
      <c r="CG54"/>
      <c r="CH54"/>
      <c r="CI54" s="268">
        <v>3.3223160426132381E-4</v>
      </c>
      <c r="CJ54"/>
      <c r="CK54"/>
      <c r="CL54"/>
      <c r="CM54" s="280">
        <v>2.5537377223372459E-3</v>
      </c>
      <c r="CN54" s="279">
        <v>2.9133139178156853E-3</v>
      </c>
      <c r="CO54" s="268">
        <v>6.4898835262283683E-5</v>
      </c>
      <c r="CP54"/>
      <c r="CQ54" s="271">
        <v>5.5660324869677424E-4</v>
      </c>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4">
      <c r="A55" t="s">
        <v>222</v>
      </c>
      <c r="B55">
        <v>0.20000000298023224</v>
      </c>
      <c r="C55">
        <v>0.18672782182693481</v>
      </c>
      <c r="D55"/>
      <c r="E55" s="268">
        <v>3.36605662596412E-5</v>
      </c>
      <c r="F55" s="269">
        <v>8.0992968287318945E-4</v>
      </c>
      <c r="G55" s="268">
        <v>9.6941175797837786E-6</v>
      </c>
      <c r="H55" s="271">
        <v>2.3046735441312194E-4</v>
      </c>
      <c r="I55" s="271">
        <v>2.3864622926339507E-4</v>
      </c>
      <c r="J55" s="275">
        <v>2.5412184186279774E-3</v>
      </c>
      <c r="K55" s="268">
        <v>1.5130430028875708E-6</v>
      </c>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s="268">
        <v>2.5672969059087336E-5</v>
      </c>
      <c r="AY55"/>
      <c r="AZ55"/>
      <c r="BA55"/>
      <c r="BB55"/>
      <c r="BC55"/>
      <c r="BD55"/>
      <c r="BE55" s="284">
        <v>9.355633519589901E-3</v>
      </c>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s="268">
        <v>2.5750583517947234E-5</v>
      </c>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s="1" customFormat="1" ht="15" customHeight="1" x14ac:dyDescent="0.4">
      <c r="A56" t="s">
        <v>223</v>
      </c>
      <c r="B56">
        <v>2.7000000476837158</v>
      </c>
      <c r="C56">
        <v>0.14934217929840088</v>
      </c>
      <c r="D56"/>
      <c r="E56"/>
      <c r="F56"/>
      <c r="G56"/>
      <c r="H56"/>
      <c r="I56"/>
      <c r="J56"/>
      <c r="K56"/>
      <c r="L56"/>
      <c r="M56"/>
      <c r="N56"/>
      <c r="O56"/>
      <c r="P56"/>
      <c r="Q56"/>
      <c r="R56"/>
      <c r="S56"/>
      <c r="T56"/>
      <c r="U56"/>
      <c r="V56"/>
      <c r="W56"/>
      <c r="X56"/>
      <c r="Y56"/>
      <c r="Z56"/>
      <c r="AA56"/>
      <c r="AB56"/>
      <c r="AC56" s="283">
        <v>6.6495329141616821E-2</v>
      </c>
      <c r="AD56" s="268">
        <v>2.2903984063304961E-4</v>
      </c>
      <c r="AE56"/>
      <c r="AF56"/>
      <c r="AG56"/>
      <c r="AH56"/>
      <c r="AI56"/>
      <c r="AJ56" s="275">
        <v>2.9520280659198761E-2</v>
      </c>
      <c r="AK56" s="484">
        <v>0.48110955953598022</v>
      </c>
      <c r="AL56" s="303">
        <v>0.11108699440956116</v>
      </c>
      <c r="AM56" s="282">
        <v>8.7198987603187561E-2</v>
      </c>
      <c r="AN56" s="271">
        <v>4.6722348779439926E-3</v>
      </c>
      <c r="AO56" s="269">
        <v>1.0793155990540981E-2</v>
      </c>
      <c r="AP56" s="279">
        <v>2.0603327080607414E-2</v>
      </c>
      <c r="AQ56" s="280">
        <v>1.4715798199176788E-2</v>
      </c>
      <c r="AR56" s="268">
        <v>5.9306668117642403E-4</v>
      </c>
      <c r="AS56" s="272">
        <v>2.4557719007134438E-2</v>
      </c>
      <c r="AT56" s="326">
        <v>0.13603748381137848</v>
      </c>
      <c r="AU56" s="278">
        <v>5.1887337118387222E-2</v>
      </c>
      <c r="AV56" s="279">
        <v>2.036476694047451E-2</v>
      </c>
      <c r="AW56" s="271">
        <v>4.7958199866116047E-3</v>
      </c>
      <c r="AX56" s="268">
        <v>6.0593429952859879E-4</v>
      </c>
      <c r="AY56" s="323">
        <v>0.16951616108417511</v>
      </c>
      <c r="AZ56" s="286">
        <v>6.5559260547161102E-2</v>
      </c>
      <c r="BA56" s="273">
        <v>4.375077411532402E-2</v>
      </c>
      <c r="BB56" s="272">
        <v>2.6845481246709824E-2</v>
      </c>
      <c r="BC56" s="335">
        <v>0.27493613958358765</v>
      </c>
      <c r="BD56" s="268">
        <v>1.484454027377069E-3</v>
      </c>
      <c r="BE56" s="286">
        <v>6.1954624950885773E-2</v>
      </c>
      <c r="BF56" s="280">
        <v>1.5310991555452347E-2</v>
      </c>
      <c r="BG56" s="272">
        <v>2.6001162827014923E-2</v>
      </c>
      <c r="BH56" s="292">
        <v>5.7763122022151947E-2</v>
      </c>
      <c r="BI56" s="302">
        <v>0.2152983546257019</v>
      </c>
      <c r="BJ56" s="275">
        <v>2.9870958998799324E-2</v>
      </c>
      <c r="BK56" s="268">
        <v>9.7867590375244617E-4</v>
      </c>
      <c r="BL56"/>
      <c r="BM56" s="274">
        <v>3.4666497260332108E-2</v>
      </c>
      <c r="BN56"/>
      <c r="BO56" s="283">
        <v>6.8731807172298431E-2</v>
      </c>
      <c r="BP56" s="308">
        <v>0.33576592803001404</v>
      </c>
      <c r="BQ56"/>
      <c r="BR56"/>
      <c r="BS56"/>
      <c r="BT56"/>
      <c r="BU56"/>
      <c r="BV56"/>
      <c r="BW56"/>
      <c r="BX56"/>
      <c r="BY56"/>
      <c r="BZ56" s="268">
        <v>1.922420779010281E-4</v>
      </c>
      <c r="CA56"/>
      <c r="CB56"/>
      <c r="CC56"/>
      <c r="CD56"/>
      <c r="CE56"/>
      <c r="CF56"/>
      <c r="CG56"/>
      <c r="CH56"/>
      <c r="CI56"/>
      <c r="CJ56"/>
      <c r="CK56"/>
      <c r="CL56" s="278">
        <v>5.2678477019071579E-2</v>
      </c>
      <c r="CM56"/>
      <c r="CN56"/>
      <c r="CO56"/>
      <c r="CP56" s="271">
        <v>3.3479111734777689E-3</v>
      </c>
      <c r="CQ56" s="268">
        <v>7.3767709545791149E-4</v>
      </c>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4">
      <c r="A57" t="s">
        <v>224</v>
      </c>
      <c r="B57">
        <v>2.7000000476837158</v>
      </c>
      <c r="C57">
        <v>0.72313863039016724</v>
      </c>
      <c r="D57"/>
      <c r="E57"/>
      <c r="F57"/>
      <c r="G57"/>
      <c r="H57"/>
      <c r="I57"/>
      <c r="J57"/>
      <c r="K57"/>
      <c r="L57"/>
      <c r="M57"/>
      <c r="N57"/>
      <c r="O57"/>
      <c r="P57"/>
      <c r="Q57"/>
      <c r="R57"/>
      <c r="S57"/>
      <c r="T57"/>
      <c r="U57"/>
      <c r="V57"/>
      <c r="W57"/>
      <c r="X57"/>
      <c r="Y57"/>
      <c r="Z57"/>
      <c r="AA57"/>
      <c r="AB57"/>
      <c r="AC57" s="323">
        <v>0.17108003795146942</v>
      </c>
      <c r="AD57" s="268">
        <v>3.6776564229512587E-5</v>
      </c>
      <c r="AE57" s="289">
        <v>0.10357841849327087</v>
      </c>
      <c r="AF57"/>
      <c r="AG57" s="268">
        <v>7.0523243630304933E-4</v>
      </c>
      <c r="AH57" s="272">
        <v>2.4682944640517235E-2</v>
      </c>
      <c r="AI57" s="268">
        <v>2.103111008182168E-3</v>
      </c>
      <c r="AJ57" s="269">
        <v>1.1850062757730484E-2</v>
      </c>
      <c r="AK57" s="289">
        <v>0.10509978234767914</v>
      </c>
      <c r="AL57" s="276">
        <v>4.6797394752502441E-2</v>
      </c>
      <c r="AM57" s="275">
        <v>3.2728079706430435E-2</v>
      </c>
      <c r="AN57" s="269">
        <v>9.8833898082375526E-3</v>
      </c>
      <c r="AO57" s="307">
        <v>9.3633711338043213E-2</v>
      </c>
      <c r="AP57" s="271">
        <v>3.0776823405176401E-3</v>
      </c>
      <c r="AQ57" s="274">
        <v>3.7160608917474747E-2</v>
      </c>
      <c r="AR57" s="271">
        <v>3.6107206251472235E-3</v>
      </c>
      <c r="AS57" s="271">
        <v>4.9289930611848831E-3</v>
      </c>
      <c r="AT57" s="273">
        <v>4.044356569647789E-2</v>
      </c>
      <c r="AU57" s="280">
        <v>1.6477042809128761E-2</v>
      </c>
      <c r="AV57" s="271">
        <v>4.0874234400689602E-3</v>
      </c>
      <c r="AW57" s="268">
        <v>9.6257159020751715E-4</v>
      </c>
      <c r="AX57" s="268">
        <v>1.4541075506713241E-4</v>
      </c>
      <c r="AY57" s="288">
        <v>8.7878406047821045E-2</v>
      </c>
      <c r="AZ57" s="272">
        <v>2.6888974010944366E-2</v>
      </c>
      <c r="BA57" s="286">
        <v>6.4338341355323792E-2</v>
      </c>
      <c r="BB57" s="288">
        <v>8.9282810688018799E-2</v>
      </c>
      <c r="BC57" s="332">
        <v>0.43701136112213135</v>
      </c>
      <c r="BD57" s="268">
        <v>9.9315191619098186E-5</v>
      </c>
      <c r="BE57" s="280">
        <v>1.4035438187420368E-2</v>
      </c>
      <c r="BF57" s="271">
        <v>7.2279362939298153E-3</v>
      </c>
      <c r="BG57" s="280">
        <v>1.741018146276474E-2</v>
      </c>
      <c r="BH57" s="279">
        <v>1.9324947148561478E-2</v>
      </c>
      <c r="BI57" s="282">
        <v>8.64252969622612E-2</v>
      </c>
      <c r="BJ57" s="268">
        <v>2.5694640353322029E-3</v>
      </c>
      <c r="BK57" s="268">
        <v>4.933454911224544E-4</v>
      </c>
      <c r="BL57"/>
      <c r="BM57" s="280">
        <v>1.6235174611210823E-2</v>
      </c>
      <c r="BN57"/>
      <c r="BO57" s="275">
        <v>3.2188795506954193E-2</v>
      </c>
      <c r="BP57" s="341">
        <v>0.15724742412567139</v>
      </c>
      <c r="BQ57"/>
      <c r="BR57"/>
      <c r="BS57"/>
      <c r="BT57" s="318">
        <v>0.1815686970949173</v>
      </c>
      <c r="BU57"/>
      <c r="BV57"/>
      <c r="BW57"/>
      <c r="BX57"/>
      <c r="BY57"/>
      <c r="BZ57" s="268">
        <v>5.7877514336723834E-5</v>
      </c>
      <c r="CA57"/>
      <c r="CB57"/>
      <c r="CC57"/>
      <c r="CD57" s="280">
        <v>1.4530257321894169E-2</v>
      </c>
      <c r="CE57"/>
      <c r="CF57"/>
      <c r="CG57"/>
      <c r="CH57"/>
      <c r="CI57" s="268">
        <v>6.0033670160919428E-4</v>
      </c>
      <c r="CJ57"/>
      <c r="CK57"/>
      <c r="CL57" s="271">
        <v>7.5522321276366711E-3</v>
      </c>
      <c r="CM57" s="268">
        <v>1.9256765426689526E-6</v>
      </c>
      <c r="CN57"/>
      <c r="CO57"/>
      <c r="CP57" s="268">
        <v>6.7196105374023318E-4</v>
      </c>
      <c r="CQ57" s="268">
        <v>1.4805956743657589E-4</v>
      </c>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4">
      <c r="A58" t="s">
        <v>225</v>
      </c>
      <c r="B58">
        <v>2.7000000476837158</v>
      </c>
      <c r="C58">
        <v>0.40499994158744812</v>
      </c>
      <c r="D58"/>
      <c r="E58"/>
      <c r="F58"/>
      <c r="G58"/>
      <c r="H58"/>
      <c r="I58"/>
      <c r="J58"/>
      <c r="K58"/>
      <c r="L58"/>
      <c r="M58"/>
      <c r="N58"/>
      <c r="O58"/>
      <c r="P58"/>
      <c r="Q58"/>
      <c r="R58"/>
      <c r="S58"/>
      <c r="T58"/>
      <c r="U58"/>
      <c r="V58"/>
      <c r="W58"/>
      <c r="X58"/>
      <c r="Y58"/>
      <c r="Z58"/>
      <c r="AA58"/>
      <c r="AB58"/>
      <c r="AC58"/>
      <c r="AD58" s="268">
        <v>1.0297424887539819E-4</v>
      </c>
      <c r="AE58"/>
      <c r="AF58"/>
      <c r="AG58"/>
      <c r="AH58"/>
      <c r="AI58"/>
      <c r="AJ58"/>
      <c r="AK58"/>
      <c r="AL58"/>
      <c r="AM58"/>
      <c r="AN58"/>
      <c r="AO58"/>
      <c r="AP58"/>
      <c r="AQ58"/>
      <c r="AR58"/>
      <c r="AS58"/>
      <c r="AT58"/>
      <c r="AU58"/>
      <c r="AV58"/>
      <c r="AW58"/>
      <c r="AX58" s="268">
        <v>1.0432389099150896E-3</v>
      </c>
      <c r="AY58" s="362">
        <v>0.41236600279808044</v>
      </c>
      <c r="AZ58" s="275">
        <v>3.0899658799171448E-2</v>
      </c>
      <c r="BA58" s="279">
        <v>1.9679442048072815E-2</v>
      </c>
      <c r="BB58" s="326">
        <v>0.13990110158920288</v>
      </c>
      <c r="BC58" s="365">
        <v>1.112177848815918</v>
      </c>
      <c r="BD58"/>
      <c r="BE58" s="277">
        <v>0.11712540686130524</v>
      </c>
      <c r="BF58" s="271">
        <v>6.071294192224741E-3</v>
      </c>
      <c r="BG58" s="269">
        <v>9.7381221130490303E-3</v>
      </c>
      <c r="BH58" s="325">
        <v>0.29219281673431396</v>
      </c>
      <c r="BI58" s="292">
        <v>6.0497630387544632E-2</v>
      </c>
      <c r="BJ58"/>
      <c r="BK58"/>
      <c r="BL58"/>
      <c r="BM58"/>
      <c r="BN58"/>
      <c r="BO58"/>
      <c r="BP58"/>
      <c r="BQ58"/>
      <c r="BR58"/>
      <c r="BS58"/>
      <c r="BT58"/>
      <c r="BU58"/>
      <c r="BV58"/>
      <c r="BW58"/>
      <c r="BX58"/>
      <c r="BY58"/>
      <c r="BZ58" s="268">
        <v>5.4018944501876831E-4</v>
      </c>
      <c r="CA58"/>
      <c r="CB58"/>
      <c r="CC58"/>
      <c r="CD58"/>
      <c r="CE58"/>
      <c r="CF58"/>
      <c r="CG58"/>
      <c r="CH58"/>
      <c r="CI58"/>
      <c r="CJ58"/>
      <c r="CK58"/>
      <c r="CL58" s="269">
        <v>8.4584886208176613E-3</v>
      </c>
      <c r="CM58"/>
      <c r="CN58"/>
      <c r="CO58" s="281">
        <v>7.5850822031497955E-2</v>
      </c>
      <c r="CP58" s="271">
        <v>7.5259539298713207E-3</v>
      </c>
      <c r="CQ58" s="268">
        <v>8.2913250662386417E-4</v>
      </c>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4">
      <c r="A59" t="s">
        <v>226</v>
      </c>
      <c r="B59">
        <v>4.5</v>
      </c>
      <c r="C59">
        <v>0.12095528841018677</v>
      </c>
      <c r="D59"/>
      <c r="E59"/>
      <c r="F59"/>
      <c r="G59"/>
      <c r="H59"/>
      <c r="I59"/>
      <c r="J59"/>
      <c r="K59"/>
      <c r="L59"/>
      <c r="M59"/>
      <c r="N59"/>
      <c r="O59"/>
      <c r="P59"/>
      <c r="Q59"/>
      <c r="R59"/>
      <c r="S59"/>
      <c r="T59"/>
      <c r="U59"/>
      <c r="V59"/>
      <c r="W59"/>
      <c r="X59"/>
      <c r="Y59"/>
      <c r="Z59"/>
      <c r="AA59"/>
      <c r="AB59"/>
      <c r="AC59"/>
      <c r="AD59"/>
      <c r="AE59"/>
      <c r="AF59"/>
      <c r="AG59" s="268">
        <v>4.4095116891185171E-7</v>
      </c>
      <c r="AH59" s="268">
        <v>1.3047247193753719E-4</v>
      </c>
      <c r="AI59"/>
      <c r="AJ59" s="268">
        <v>7.1040250304577057E-7</v>
      </c>
      <c r="AK59"/>
      <c r="AL59"/>
      <c r="AM59"/>
      <c r="AN59"/>
      <c r="AO59"/>
      <c r="AP59"/>
      <c r="AQ59"/>
      <c r="AR59"/>
      <c r="AS59"/>
      <c r="AT59"/>
      <c r="AU59"/>
      <c r="AV59"/>
      <c r="AW59"/>
      <c r="AX59"/>
      <c r="AY59" s="268">
        <v>2.7654756195261143E-5</v>
      </c>
      <c r="AZ59" s="268">
        <v>3.3079851391448756E-7</v>
      </c>
      <c r="BA59"/>
      <c r="BB59" s="268">
        <v>1.0110659059137106E-3</v>
      </c>
      <c r="BC59"/>
      <c r="BD59"/>
      <c r="BE59" s="268">
        <v>8.8961311848834157E-4</v>
      </c>
      <c r="BF59" s="268">
        <v>1.1775592611229513E-5</v>
      </c>
      <c r="BG59" s="268">
        <v>3.2567448215559125E-4</v>
      </c>
      <c r="BH59" s="268">
        <v>1.4471727190539241E-3</v>
      </c>
      <c r="BI59" s="282">
        <v>0.14157645404338837</v>
      </c>
      <c r="BJ59"/>
      <c r="BK59" s="268">
        <v>2.4516574922017753E-4</v>
      </c>
      <c r="BL59" s="314">
        <v>0.24412998557090759</v>
      </c>
      <c r="BM59" s="280">
        <v>2.2647829726338387E-2</v>
      </c>
      <c r="BN59" s="268">
        <v>2.1867384202778339E-3</v>
      </c>
      <c r="BO59"/>
      <c r="BP59" s="271">
        <v>8.4111932665109634E-3</v>
      </c>
      <c r="BQ59" s="268">
        <v>3.6105918698012829E-3</v>
      </c>
      <c r="BR59"/>
      <c r="BS59" s="296">
        <v>0.42771515250205994</v>
      </c>
      <c r="BT59" s="381">
        <v>0.79406470060348511</v>
      </c>
      <c r="BU59" s="339">
        <v>0.90626984834671021</v>
      </c>
      <c r="BV59"/>
      <c r="BW59" s="325">
        <v>0.48093786835670471</v>
      </c>
      <c r="BX59"/>
      <c r="BY59"/>
      <c r="BZ59" s="280">
        <v>2.4079056456685066E-2</v>
      </c>
      <c r="CA59" s="269">
        <v>1.7384713515639305E-2</v>
      </c>
      <c r="CB59" s="383">
        <v>1.3014533519744873</v>
      </c>
      <c r="CC59"/>
      <c r="CD59"/>
      <c r="CE59"/>
      <c r="CF59"/>
      <c r="CG59"/>
      <c r="CH59"/>
      <c r="CI59"/>
      <c r="CJ59"/>
      <c r="CK59" s="268">
        <v>4.8721465282142162E-4</v>
      </c>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4">
      <c r="A60" t="s">
        <v>227</v>
      </c>
      <c r="B60">
        <v>3</v>
      </c>
      <c r="C60">
        <v>0.29192054271697998</v>
      </c>
      <c r="D60"/>
      <c r="E60" s="268">
        <v>2.2559943602118437E-7</v>
      </c>
      <c r="F60" s="268">
        <v>1.746343623381108E-4</v>
      </c>
      <c r="G60" s="268">
        <v>9.4593846006318927E-4</v>
      </c>
      <c r="H60" s="268">
        <v>5.4837542120367289E-4</v>
      </c>
      <c r="I60"/>
      <c r="J60" s="268">
        <v>7.9562159953638911E-5</v>
      </c>
      <c r="K60" s="272">
        <v>2.7200523763895035E-2</v>
      </c>
      <c r="L60"/>
      <c r="M60"/>
      <c r="N60"/>
      <c r="O60"/>
      <c r="P60"/>
      <c r="Q60"/>
      <c r="R60"/>
      <c r="S60"/>
      <c r="T60"/>
      <c r="U60"/>
      <c r="V60"/>
      <c r="W60"/>
      <c r="X60"/>
      <c r="Y60"/>
      <c r="Z60"/>
      <c r="AA60"/>
      <c r="AB60"/>
      <c r="AC60" s="271">
        <v>7.9986229538917542E-3</v>
      </c>
      <c r="AD60" s="268">
        <v>9.6585055871400982E-5</v>
      </c>
      <c r="AE60"/>
      <c r="AF60"/>
      <c r="AG60" s="268">
        <v>2.7664615117828362E-5</v>
      </c>
      <c r="AH60" s="271">
        <v>3.4904857166111469E-3</v>
      </c>
      <c r="AI60" s="272">
        <v>2.9319858178496361E-2</v>
      </c>
      <c r="AJ60"/>
      <c r="AK60"/>
      <c r="AL60" s="268">
        <v>3.1425667111761868E-4</v>
      </c>
      <c r="AM60" s="268">
        <v>1.1276420264039189E-4</v>
      </c>
      <c r="AN60" s="268">
        <v>9.1458226961549371E-5</v>
      </c>
      <c r="AO60" s="268">
        <v>4.0140312194125727E-5</v>
      </c>
      <c r="AP60" s="268">
        <v>1.3311420843820088E-5</v>
      </c>
      <c r="AQ60" s="268">
        <v>2.8863183615612797E-5</v>
      </c>
      <c r="AR60"/>
      <c r="AS60"/>
      <c r="AT60" s="280">
        <v>1.7017515376210213E-2</v>
      </c>
      <c r="AU60"/>
      <c r="AV60"/>
      <c r="AW60"/>
      <c r="AX60"/>
      <c r="AY60" s="319">
        <v>0.39101019501686096</v>
      </c>
      <c r="AZ60" s="269">
        <v>9.8205506801605225E-3</v>
      </c>
      <c r="BA60" s="272">
        <v>2.9570236802101135E-2</v>
      </c>
      <c r="BB60"/>
      <c r="BC60" s="356">
        <v>0.63374513387680054</v>
      </c>
      <c r="BD60" s="268">
        <v>1.8397330131847411E-4</v>
      </c>
      <c r="BE60" s="271">
        <v>6.2238262034952641E-3</v>
      </c>
      <c r="BF60" s="271">
        <v>3.8661791477352381E-3</v>
      </c>
      <c r="BG60" s="280">
        <v>1.9015882164239883E-2</v>
      </c>
      <c r="BH60" s="271">
        <v>8.1203924492001534E-3</v>
      </c>
      <c r="BI60" s="286">
        <v>6.8092748522758484E-2</v>
      </c>
      <c r="BJ60" s="288">
        <v>9.715522825717926E-2</v>
      </c>
      <c r="BK60" s="268">
        <v>2.7506565675139427E-3</v>
      </c>
      <c r="BL60" s="273">
        <v>4.5709323137998581E-2</v>
      </c>
      <c r="BM60" s="273">
        <v>4.8693146556615829E-2</v>
      </c>
      <c r="BN60" s="268">
        <v>1.6924486262723804E-3</v>
      </c>
      <c r="BO60"/>
      <c r="BP60"/>
      <c r="BQ60" s="280">
        <v>2.025979571044445E-2</v>
      </c>
      <c r="BR60"/>
      <c r="BS60"/>
      <c r="BT60"/>
      <c r="BU60"/>
      <c r="BV60"/>
      <c r="BW60"/>
      <c r="BX60"/>
      <c r="BY60" s="273">
        <v>4.9665436148643494E-2</v>
      </c>
      <c r="BZ60"/>
      <c r="CA60"/>
      <c r="CB60" s="382">
        <v>1.1617978811264038</v>
      </c>
      <c r="CC60"/>
      <c r="CD60"/>
      <c r="CE60"/>
      <c r="CF60"/>
      <c r="CG60"/>
      <c r="CH60"/>
      <c r="CI60"/>
      <c r="CJ60"/>
      <c r="CK60" s="271">
        <v>7.2903051041066647E-3</v>
      </c>
      <c r="CL60" s="280">
        <v>1.5867337584495544E-2</v>
      </c>
      <c r="CM60" s="268">
        <v>4.7952260501915589E-5</v>
      </c>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4">
      <c r="A61" t="s">
        <v>228</v>
      </c>
      <c r="B61">
        <v>4.1999998092651367</v>
      </c>
      <c r="C61">
        <v>0.62999987602233887</v>
      </c>
      <c r="D61" s="268">
        <v>1.5444584278156981E-6</v>
      </c>
      <c r="E61" s="268">
        <v>5.0087938241460961E-9</v>
      </c>
      <c r="F61" s="268">
        <v>4.3074524000985548E-6</v>
      </c>
      <c r="G61" s="268">
        <v>2.1061132429167628E-5</v>
      </c>
      <c r="H61" s="268">
        <v>1.3367312021728139E-5</v>
      </c>
      <c r="I61"/>
      <c r="J61" s="268">
        <v>1.7312787576884148E-6</v>
      </c>
      <c r="K61" s="268">
        <v>6.089927046559751E-4</v>
      </c>
      <c r="L61"/>
      <c r="M61"/>
      <c r="N61"/>
      <c r="O61"/>
      <c r="P61"/>
      <c r="Q61"/>
      <c r="R61"/>
      <c r="S61"/>
      <c r="T61"/>
      <c r="U61"/>
      <c r="V61"/>
      <c r="W61"/>
      <c r="X61"/>
      <c r="Y61"/>
      <c r="Z61"/>
      <c r="AA61"/>
      <c r="AB61"/>
      <c r="AC61" s="272">
        <v>3.9434418082237244E-2</v>
      </c>
      <c r="AD61"/>
      <c r="AE61"/>
      <c r="AF61"/>
      <c r="AG61"/>
      <c r="AH61"/>
      <c r="AI61"/>
      <c r="AJ61"/>
      <c r="AK61"/>
      <c r="AL61" s="268">
        <v>4.363741390989162E-5</v>
      </c>
      <c r="AM61" s="268">
        <v>2.1882478904444724E-5</v>
      </c>
      <c r="AN61" s="268">
        <v>2.3022090317681432E-5</v>
      </c>
      <c r="AO61" s="268">
        <v>7.6644500950351357E-5</v>
      </c>
      <c r="AP61"/>
      <c r="AQ61" s="268">
        <v>6.3555598899256438E-5</v>
      </c>
      <c r="AR61" s="268">
        <v>1.6255125956377015E-5</v>
      </c>
      <c r="AS61"/>
      <c r="AT61" s="269">
        <v>1.2538615614175797E-2</v>
      </c>
      <c r="AU61"/>
      <c r="AV61"/>
      <c r="AW61"/>
      <c r="AX61"/>
      <c r="AY61" s="269">
        <v>1.5133494511246681E-2</v>
      </c>
      <c r="AZ61" s="271">
        <v>7.9389829188585281E-3</v>
      </c>
      <c r="BA61" s="268">
        <v>4.0644663386046886E-3</v>
      </c>
      <c r="BB61"/>
      <c r="BC61" s="285">
        <v>0.12637458741664886</v>
      </c>
      <c r="BD61" s="268">
        <v>9.0701610315591097E-4</v>
      </c>
      <c r="BE61" s="268">
        <v>3.5479158395901322E-4</v>
      </c>
      <c r="BF61" s="268">
        <v>8.545492310076952E-4</v>
      </c>
      <c r="BG61" s="269">
        <v>2.0112499594688416E-2</v>
      </c>
      <c r="BH61" s="272">
        <v>4.4701963663101196E-2</v>
      </c>
      <c r="BI61" s="301">
        <v>0.22490635514259338</v>
      </c>
      <c r="BJ61" s="275">
        <v>5.3109541535377502E-2</v>
      </c>
      <c r="BK61" s="268">
        <v>3.0284191016107798E-3</v>
      </c>
      <c r="BL61" s="297">
        <v>0.2513749897480011</v>
      </c>
      <c r="BM61" s="307">
        <v>0.144875168800354</v>
      </c>
      <c r="BN61" s="271">
        <v>4.6583819203078747E-3</v>
      </c>
      <c r="BO61"/>
      <c r="BP61" s="280">
        <v>2.616741880774498E-2</v>
      </c>
      <c r="BQ61" s="280">
        <v>2.230563759803772E-2</v>
      </c>
      <c r="BR61"/>
      <c r="BS61" s="293">
        <v>0.79270589351654053</v>
      </c>
      <c r="BT61" s="269">
        <v>1.6800001263618469E-2</v>
      </c>
      <c r="BU61" s="320">
        <v>0.44801986217498779</v>
      </c>
      <c r="BV61"/>
      <c r="BW61"/>
      <c r="BX61"/>
      <c r="BY61" s="283">
        <v>0.10936133563518524</v>
      </c>
      <c r="BZ61" s="292">
        <v>8.8419854640960693E-2</v>
      </c>
      <c r="CA61" s="268">
        <v>2.6849966961890459E-3</v>
      </c>
      <c r="CB61" s="374">
        <v>1.0963858366012573</v>
      </c>
      <c r="CC61"/>
      <c r="CD61"/>
      <c r="CE61"/>
      <c r="CF61" s="268">
        <v>2.1866007955395617E-5</v>
      </c>
      <c r="CG61"/>
      <c r="CH61"/>
      <c r="CI61"/>
      <c r="CJ61"/>
      <c r="CK61" s="271">
        <v>8.0264825373888016E-3</v>
      </c>
      <c r="CL61" s="268">
        <v>1.7469625454396009E-3</v>
      </c>
      <c r="CM61" s="268">
        <v>9.1066067398060113E-7</v>
      </c>
      <c r="CN61"/>
      <c r="CO61" s="268">
        <v>2.0887663122266531E-3</v>
      </c>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4">
      <c r="A62" t="s">
        <v>229</v>
      </c>
      <c r="B62">
        <v>22</v>
      </c>
      <c r="C62">
        <v>3.299999475479126</v>
      </c>
      <c r="D62"/>
      <c r="E62"/>
      <c r="F62"/>
      <c r="G62"/>
      <c r="H62"/>
      <c r="I62"/>
      <c r="J62"/>
      <c r="K62"/>
      <c r="L62"/>
      <c r="M62"/>
      <c r="N62"/>
      <c r="O62"/>
      <c r="P62"/>
      <c r="Q62"/>
      <c r="R62"/>
      <c r="S62"/>
      <c r="T62"/>
      <c r="U62" s="302">
        <v>1.7748169898986816</v>
      </c>
      <c r="V62" s="287">
        <v>0.970816969871521</v>
      </c>
      <c r="W62"/>
      <c r="X62"/>
      <c r="Y62"/>
      <c r="Z62"/>
      <c r="AA62"/>
      <c r="AB62"/>
      <c r="AC62"/>
      <c r="AD62"/>
      <c r="AE62"/>
      <c r="AF62"/>
      <c r="AG62"/>
      <c r="AH62" s="268">
        <v>7.6543688774108887E-3</v>
      </c>
      <c r="AI62"/>
      <c r="AJ62"/>
      <c r="AK62"/>
      <c r="AL62" s="268">
        <v>2.7354806661605835E-4</v>
      </c>
      <c r="AM62" s="268">
        <v>5.2317138761281967E-4</v>
      </c>
      <c r="AN62" s="268">
        <v>4.3077417649328709E-4</v>
      </c>
      <c r="AO62" s="268">
        <v>3.2271229429170489E-4</v>
      </c>
      <c r="AP62" s="268">
        <v>9.3699252465739846E-4</v>
      </c>
      <c r="AQ62" s="268">
        <v>2.1845113951712847E-3</v>
      </c>
      <c r="AR62" s="268">
        <v>1.3520243810489774E-3</v>
      </c>
      <c r="AS62"/>
      <c r="AT62" s="268">
        <v>3.0721549410372972E-3</v>
      </c>
      <c r="AU62"/>
      <c r="AV62"/>
      <c r="AW62"/>
      <c r="AX62"/>
      <c r="AY62" s="268">
        <v>1.3609825145977084E-5</v>
      </c>
      <c r="AZ62"/>
      <c r="BA62"/>
      <c r="BB62" s="268">
        <v>7.5883176577917766E-6</v>
      </c>
      <c r="BC62" s="280">
        <v>0.12416157126426697</v>
      </c>
      <c r="BD62"/>
      <c r="BE62" s="268">
        <v>7.5735415521194227E-6</v>
      </c>
      <c r="BF62" s="268">
        <v>1.5881932995398529E-5</v>
      </c>
      <c r="BG62" s="271">
        <v>3.9502859115600586E-2</v>
      </c>
      <c r="BH62" s="280">
        <v>0.10974862426519394</v>
      </c>
      <c r="BI62" s="281">
        <v>0.61352419853210449</v>
      </c>
      <c r="BJ62"/>
      <c r="BK62" s="268">
        <v>2.9748049564659595E-3</v>
      </c>
      <c r="BL62" s="292">
        <v>0.49370619654655457</v>
      </c>
      <c r="BM62" s="286">
        <v>0.52686536312103271</v>
      </c>
      <c r="BN62" s="271">
        <v>2.2873761132359505E-2</v>
      </c>
      <c r="BO62"/>
      <c r="BP62" s="280">
        <v>0.12757520377635956</v>
      </c>
      <c r="BQ62" s="280">
        <v>0.10952597111463547</v>
      </c>
      <c r="BR62"/>
      <c r="BS62" s="373">
        <v>4.5411033630371094</v>
      </c>
      <c r="BT62" s="293">
        <v>4.1245989799499512</v>
      </c>
      <c r="BU62" s="280">
        <v>0.10997121036052704</v>
      </c>
      <c r="BV62"/>
      <c r="BW62"/>
      <c r="BX62"/>
      <c r="BY62" s="286">
        <v>0.53699010610580444</v>
      </c>
      <c r="BZ62" s="278">
        <v>0.43416246771812439</v>
      </c>
      <c r="CA62" s="268">
        <v>1.3183970935642719E-2</v>
      </c>
      <c r="CB62" s="332">
        <v>3.5890097618103027</v>
      </c>
      <c r="CC62"/>
      <c r="CD62"/>
      <c r="CE62"/>
      <c r="CF62" s="268">
        <v>1.0878141620196402E-4</v>
      </c>
      <c r="CG62"/>
      <c r="CH62"/>
      <c r="CI62" s="268">
        <v>1.0037891479441896E-4</v>
      </c>
      <c r="CJ62"/>
      <c r="CK62" s="275">
        <v>0.24632459878921509</v>
      </c>
      <c r="CL62" s="279">
        <v>0.17156001925468445</v>
      </c>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4">
      <c r="A63" t="s">
        <v>230</v>
      </c>
      <c r="B63">
        <v>1.2100000381469727</v>
      </c>
      <c r="C63">
        <v>0.18149983882904053</v>
      </c>
      <c r="D63" s="268">
        <v>9.362670994050859E-7</v>
      </c>
      <c r="E63" s="268">
        <v>2.3965230866451748E-7</v>
      </c>
      <c r="F63" s="268">
        <v>6.5341248409822583E-4</v>
      </c>
      <c r="G63" s="268">
        <v>5.61295855732169E-5</v>
      </c>
      <c r="H63" s="268">
        <v>2.0232545239196043E-7</v>
      </c>
      <c r="I63" s="268">
        <v>3.0389659855245554E-7</v>
      </c>
      <c r="J63" s="268">
        <v>6.5764675127866212E-6</v>
      </c>
      <c r="K63" s="268">
        <v>2.5319925498479279E-6</v>
      </c>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s="268">
        <v>3.7850200897082686E-4</v>
      </c>
      <c r="BC63"/>
      <c r="BD63"/>
      <c r="BE63" s="268">
        <v>2.5248489691875875E-4</v>
      </c>
      <c r="BF63" s="268">
        <v>8.6267600636347197E-6</v>
      </c>
      <c r="BG63"/>
      <c r="BH63"/>
      <c r="BI63" s="271">
        <v>1.514895586296916E-3</v>
      </c>
      <c r="BJ63"/>
      <c r="BK63" s="268">
        <v>9.1816247731912881E-5</v>
      </c>
      <c r="BL63"/>
      <c r="BM63" s="271">
        <v>1.3009203830733895E-3</v>
      </c>
      <c r="BN63"/>
      <c r="BO63"/>
      <c r="BP63"/>
      <c r="BQ63" s="292">
        <v>2.7043828740715981E-2</v>
      </c>
      <c r="BR63"/>
      <c r="BS63" s="288">
        <v>4.0045563131570816E-2</v>
      </c>
      <c r="BT63"/>
      <c r="BU63" s="275">
        <v>1.3576882891356945E-2</v>
      </c>
      <c r="BV63"/>
      <c r="BW63"/>
      <c r="BX63"/>
      <c r="BY63"/>
      <c r="BZ63" s="287">
        <v>5.360596626996994E-2</v>
      </c>
      <c r="CA63" s="271">
        <v>3.2553470227867365E-3</v>
      </c>
      <c r="CB63" s="377">
        <v>0.88618761301040649</v>
      </c>
      <c r="CC63"/>
      <c r="CD63"/>
      <c r="CE63"/>
      <c r="CF63"/>
      <c r="CG63"/>
      <c r="CH63"/>
      <c r="CI63"/>
      <c r="CJ63"/>
      <c r="CK63" s="268">
        <v>2.4328696599695832E-4</v>
      </c>
      <c r="CL63"/>
      <c r="CM63"/>
      <c r="CN63" s="268">
        <v>2.7410802431404591E-4</v>
      </c>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4">
      <c r="A64" t="s">
        <v>231</v>
      </c>
      <c r="B64">
        <v>21.5</v>
      </c>
      <c r="C64">
        <v>3.2249970436096191</v>
      </c>
      <c r="D64"/>
      <c r="E64"/>
      <c r="F64"/>
      <c r="G64"/>
      <c r="H64"/>
      <c r="I64"/>
      <c r="J64"/>
      <c r="K64"/>
      <c r="L64"/>
      <c r="M64"/>
      <c r="N64"/>
      <c r="O64"/>
      <c r="P64"/>
      <c r="Q64"/>
      <c r="R64"/>
      <c r="S64"/>
      <c r="T64"/>
      <c r="U64"/>
      <c r="V64"/>
      <c r="W64"/>
      <c r="X64"/>
      <c r="Y64"/>
      <c r="Z64"/>
      <c r="AA64"/>
      <c r="AB64"/>
      <c r="AC64"/>
      <c r="AD64"/>
      <c r="AE64"/>
      <c r="AF64"/>
      <c r="AG64"/>
      <c r="AH64"/>
      <c r="AI64"/>
      <c r="AJ64"/>
      <c r="AK64"/>
      <c r="AL64" s="268">
        <v>1.8350188838667236E-5</v>
      </c>
      <c r="AM64" s="268">
        <v>7.4913041316904128E-6</v>
      </c>
      <c r="AN64" s="268">
        <v>2.044005123025272E-5</v>
      </c>
      <c r="AO64" s="268">
        <v>2.6954272470902652E-5</v>
      </c>
      <c r="AP64"/>
      <c r="AQ64"/>
      <c r="AR64" s="268">
        <v>3.3208110835403204E-5</v>
      </c>
      <c r="AS64"/>
      <c r="AT64"/>
      <c r="AU64"/>
      <c r="AV64"/>
      <c r="AW64"/>
      <c r="AX64"/>
      <c r="AY64" s="268">
        <v>6.8744306918233633E-4</v>
      </c>
      <c r="AZ64" s="268">
        <v>1.6365897317882627E-4</v>
      </c>
      <c r="BA64"/>
      <c r="BB64"/>
      <c r="BC64"/>
      <c r="BD64"/>
      <c r="BE64" s="268">
        <v>1.3128100363246631E-5</v>
      </c>
      <c r="BF64" s="268">
        <v>4.3884931073989719E-5</v>
      </c>
      <c r="BG64"/>
      <c r="BH64"/>
      <c r="BI64" s="271">
        <v>2.2603856399655342E-2</v>
      </c>
      <c r="BJ64"/>
      <c r="BK64" s="268">
        <v>2.7399920509196818E-4</v>
      </c>
      <c r="BL64"/>
      <c r="BM64" s="268">
        <v>9.7055574879050255E-3</v>
      </c>
      <c r="BN64"/>
      <c r="BO64"/>
      <c r="BP64"/>
      <c r="BQ64" s="269">
        <v>9.2003174126148224E-2</v>
      </c>
      <c r="BR64"/>
      <c r="BS64" s="280">
        <v>0.11950447410345078</v>
      </c>
      <c r="BT64" s="378">
        <v>6.0784459114074707</v>
      </c>
      <c r="BU64" s="293">
        <v>4.0516300201416016</v>
      </c>
      <c r="BV64" s="303">
        <v>0.90272444486618042</v>
      </c>
      <c r="BW64"/>
      <c r="BX64"/>
      <c r="BY64" s="272">
        <v>0.19784137606620789</v>
      </c>
      <c r="BZ64" s="279">
        <v>0.15995694696903229</v>
      </c>
      <c r="CA64" s="268">
        <v>9.7146481275558472E-3</v>
      </c>
      <c r="CB64" s="380">
        <v>6.6114306449890137</v>
      </c>
      <c r="CC64"/>
      <c r="CD64"/>
      <c r="CE64"/>
      <c r="CF64"/>
      <c r="CG64"/>
      <c r="CH64"/>
      <c r="CI64"/>
      <c r="CJ64"/>
      <c r="CK64" s="268">
        <v>1.8150500953197479E-2</v>
      </c>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4">
      <c r="A65" t="s">
        <v>232</v>
      </c>
      <c r="B65">
        <v>1.2999999523162842</v>
      </c>
      <c r="C65">
        <v>0.19499972462654114</v>
      </c>
      <c r="D65" s="268">
        <v>6.3083542045205832E-4</v>
      </c>
      <c r="E65"/>
      <c r="F65" s="268">
        <v>2.1427242245408706E-5</v>
      </c>
      <c r="G65"/>
      <c r="H65"/>
      <c r="I65"/>
      <c r="J65"/>
      <c r="K65"/>
      <c r="L65" s="268">
        <v>1.5515980749114533E-6</v>
      </c>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s="268">
        <v>2.5090414055739529E-5</v>
      </c>
      <c r="BC65"/>
      <c r="BD65"/>
      <c r="BE65" s="268">
        <v>3.6644009924202692E-6</v>
      </c>
      <c r="BF65" s="268">
        <v>3.4102233712474117E-6</v>
      </c>
      <c r="BG65"/>
      <c r="BH65" s="272">
        <v>1.3472585007548332E-2</v>
      </c>
      <c r="BI65" s="268">
        <v>5.0210230983793736E-4</v>
      </c>
      <c r="BJ65"/>
      <c r="BK65" s="268">
        <v>3.043189826712478E-5</v>
      </c>
      <c r="BL65"/>
      <c r="BM65" s="268">
        <v>4.311816010158509E-4</v>
      </c>
      <c r="BN65"/>
      <c r="BO65"/>
      <c r="BP65"/>
      <c r="BQ65" s="269">
        <v>4.4817500747740269E-3</v>
      </c>
      <c r="BR65"/>
      <c r="BS65" s="282">
        <v>3.9818521589040756E-2</v>
      </c>
      <c r="BT65" s="319">
        <v>0.16877661645412445</v>
      </c>
      <c r="BU65" s="307">
        <v>4.4999685138463974E-2</v>
      </c>
      <c r="BV65"/>
      <c r="BW65"/>
      <c r="BX65"/>
      <c r="BY65"/>
      <c r="BZ65" s="318">
        <v>8.6635567247867584E-2</v>
      </c>
      <c r="CA65" s="279">
        <v>1.0789636522531509E-2</v>
      </c>
      <c r="CB65" s="379">
        <v>0.73430275917053223</v>
      </c>
      <c r="CC65"/>
      <c r="CD65"/>
      <c r="CE65" s="268">
        <v>5.3100415243534371E-5</v>
      </c>
      <c r="CF65"/>
      <c r="CG65"/>
      <c r="CH65"/>
      <c r="CI65"/>
      <c r="CJ65"/>
      <c r="CK65" s="268">
        <v>2.0158970073680393E-5</v>
      </c>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4">
      <c r="A66" t="s">
        <v>233</v>
      </c>
      <c r="B66">
        <v>7.4000000953674316</v>
      </c>
      <c r="C66">
        <v>1.109999418258667</v>
      </c>
      <c r="D66" s="268">
        <v>5.225334462011233E-6</v>
      </c>
      <c r="E66"/>
      <c r="F66"/>
      <c r="G66"/>
      <c r="H66"/>
      <c r="I66"/>
      <c r="J66"/>
      <c r="K66"/>
      <c r="L66"/>
      <c r="M66"/>
      <c r="N66"/>
      <c r="O66"/>
      <c r="P66"/>
      <c r="Q66"/>
      <c r="R66"/>
      <c r="S66"/>
      <c r="T66"/>
      <c r="U66"/>
      <c r="V66"/>
      <c r="W66"/>
      <c r="X66"/>
      <c r="Y66"/>
      <c r="Z66"/>
      <c r="AA66"/>
      <c r="AB66"/>
      <c r="AC66"/>
      <c r="AD66"/>
      <c r="AE66"/>
      <c r="AF66"/>
      <c r="AG66" s="268">
        <v>2.6297662770957686E-5</v>
      </c>
      <c r="AH66" s="268">
        <v>3.6319345235824585E-4</v>
      </c>
      <c r="AI66" s="268">
        <v>2.3084068670868874E-3</v>
      </c>
      <c r="AJ66" s="268">
        <v>9.9236558526172303E-6</v>
      </c>
      <c r="AK66"/>
      <c r="AL66"/>
      <c r="AM66"/>
      <c r="AN66"/>
      <c r="AO66"/>
      <c r="AP66"/>
      <c r="AQ66"/>
      <c r="AR66"/>
      <c r="AS66"/>
      <c r="AT66"/>
      <c r="AU66"/>
      <c r="AV66"/>
      <c r="AW66"/>
      <c r="AX66"/>
      <c r="AY66"/>
      <c r="AZ66"/>
      <c r="BA66"/>
      <c r="BB66"/>
      <c r="BC66"/>
      <c r="BD66"/>
      <c r="BE66"/>
      <c r="BF66" s="268">
        <v>3.3911468926817179E-4</v>
      </c>
      <c r="BG66"/>
      <c r="BH66"/>
      <c r="BI66"/>
      <c r="BJ66"/>
      <c r="BK66" s="268">
        <v>1.0248589387629181E-4</v>
      </c>
      <c r="BL66"/>
      <c r="BM66" s="268">
        <v>3.6302360240370035E-3</v>
      </c>
      <c r="BN66"/>
      <c r="BO66"/>
      <c r="BP66"/>
      <c r="BQ66" s="272">
        <v>7.5466208159923553E-2</v>
      </c>
      <c r="BR66"/>
      <c r="BS66" s="285">
        <v>0.2234954833984375</v>
      </c>
      <c r="BT66" s="273">
        <v>0.11367819458246231</v>
      </c>
      <c r="BU66" s="278">
        <v>0.15154597163200378</v>
      </c>
      <c r="BV66"/>
      <c r="BW66" s="281">
        <v>0.20104488730430603</v>
      </c>
      <c r="BX66"/>
      <c r="BY66"/>
      <c r="BZ66" s="324">
        <v>1.2655454874038696</v>
      </c>
      <c r="CA66" s="280">
        <v>4.542047530412674E-2</v>
      </c>
      <c r="CB66" s="376">
        <v>4.2039637565612793</v>
      </c>
      <c r="CC66"/>
      <c r="CD66"/>
      <c r="CE66"/>
      <c r="CF66"/>
      <c r="CG66"/>
      <c r="CH66"/>
      <c r="CI66"/>
      <c r="CJ66"/>
      <c r="CK66" s="268">
        <v>3.0550311785191298E-3</v>
      </c>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4">
      <c r="A67" t="s">
        <v>234</v>
      </c>
      <c r="B67">
        <v>1.5</v>
      </c>
      <c r="C67">
        <v>7.1651458740234375E-2</v>
      </c>
      <c r="D67" s="268">
        <v>3.9143196772783995E-5</v>
      </c>
      <c r="E67" s="268">
        <v>2.6293021164747188E-6</v>
      </c>
      <c r="F67" s="268">
        <v>1.5718598660896532E-5</v>
      </c>
      <c r="G67" s="268">
        <v>4.6024542825762182E-6</v>
      </c>
      <c r="H67" s="272">
        <v>1.4287939295172691E-2</v>
      </c>
      <c r="I67" s="268">
        <v>4.6533896238543093E-6</v>
      </c>
      <c r="J67" s="268">
        <v>6.0347368707880378E-4</v>
      </c>
      <c r="K67" s="268">
        <v>2.00102317648998E-6</v>
      </c>
      <c r="L67" s="268">
        <v>9.7857986111193895E-4</v>
      </c>
      <c r="M67"/>
      <c r="N67"/>
      <c r="O67"/>
      <c r="P67"/>
      <c r="Q67"/>
      <c r="R67"/>
      <c r="S67"/>
      <c r="T67"/>
      <c r="U67"/>
      <c r="V67"/>
      <c r="W67"/>
      <c r="X67"/>
      <c r="Y67"/>
      <c r="Z67"/>
      <c r="AA67"/>
      <c r="AB67"/>
      <c r="AC67"/>
      <c r="AD67"/>
      <c r="AE67"/>
      <c r="AF67"/>
      <c r="AG67"/>
      <c r="AH67" s="268">
        <v>1.5091105888132006E-4</v>
      </c>
      <c r="AI67"/>
      <c r="AJ67" s="269">
        <v>6.0663619078695774E-3</v>
      </c>
      <c r="AK67"/>
      <c r="AL67"/>
      <c r="AM67"/>
      <c r="AN67"/>
      <c r="AO67"/>
      <c r="AP67"/>
      <c r="AQ67"/>
      <c r="AR67"/>
      <c r="AS67"/>
      <c r="AT67"/>
      <c r="AU67"/>
      <c r="AV67"/>
      <c r="AW67"/>
      <c r="AX67"/>
      <c r="AY67" s="323">
        <v>9.2762544751167297E-2</v>
      </c>
      <c r="AZ67" s="292">
        <v>3.2228764146566391E-2</v>
      </c>
      <c r="BA67"/>
      <c r="BB67" s="304">
        <v>0.1165822297334671</v>
      </c>
      <c r="BC67"/>
      <c r="BD67"/>
      <c r="BE67" s="269">
        <v>5.351923406124115E-3</v>
      </c>
      <c r="BF67" s="272">
        <v>1.3243543915450573E-2</v>
      </c>
      <c r="BG67" s="279">
        <v>1.0304912924766541E-2</v>
      </c>
      <c r="BH67" s="298">
        <v>7.2170943021774292E-2</v>
      </c>
      <c r="BI67" s="283">
        <v>3.7655789405107498E-2</v>
      </c>
      <c r="BJ67"/>
      <c r="BK67" s="271">
        <v>3.259571036323905E-3</v>
      </c>
      <c r="BL67" s="283">
        <v>3.7727747112512589E-2</v>
      </c>
      <c r="BM67" s="273">
        <v>2.3126648738980293E-2</v>
      </c>
      <c r="BN67"/>
      <c r="BO67"/>
      <c r="BP67"/>
      <c r="BQ67" s="282">
        <v>4.8016350716352463E-2</v>
      </c>
      <c r="BR67"/>
      <c r="BS67"/>
      <c r="BT67"/>
      <c r="BU67"/>
      <c r="BV67"/>
      <c r="BW67"/>
      <c r="BX67"/>
      <c r="BY67"/>
      <c r="BZ67" s="226">
        <v>0.91261440515518188</v>
      </c>
      <c r="CA67"/>
      <c r="CB67"/>
      <c r="CC67"/>
      <c r="CD67"/>
      <c r="CE67" s="268">
        <v>1.3424517419480253E-5</v>
      </c>
      <c r="CF67"/>
      <c r="CG67"/>
      <c r="CH67"/>
      <c r="CI67"/>
      <c r="CJ67"/>
      <c r="CK67"/>
      <c r="CL67"/>
      <c r="CM67" s="268">
        <v>1.6033751307986677E-4</v>
      </c>
      <c r="CN67" s="268">
        <v>9.7335828468203545E-4</v>
      </c>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4">
      <c r="A68" t="s">
        <v>235</v>
      </c>
      <c r="B68">
        <v>1</v>
      </c>
      <c r="C68">
        <v>6.0976088047027588E-2</v>
      </c>
      <c r="D68"/>
      <c r="E68" s="268">
        <v>7.0664063969161361E-6</v>
      </c>
      <c r="F68" s="268">
        <v>1.5513460675720125E-4</v>
      </c>
      <c r="G68"/>
      <c r="H68" s="268">
        <v>4.9336445954395458E-5</v>
      </c>
      <c r="I68" s="268">
        <v>5.0781847676262259E-5</v>
      </c>
      <c r="J68" s="279">
        <v>7.5377961620688438E-3</v>
      </c>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s="311">
        <v>5.6417658925056458E-2</v>
      </c>
      <c r="BC68"/>
      <c r="BD68"/>
      <c r="BE68" s="191">
        <v>6.9821923971176147E-2</v>
      </c>
      <c r="BF68" s="272">
        <v>9.3797817826271057E-3</v>
      </c>
      <c r="BG68" s="280">
        <v>5.4161283187568188E-3</v>
      </c>
      <c r="BH68" s="313">
        <v>7.5236700475215912E-2</v>
      </c>
      <c r="BI68" s="289">
        <v>3.9255358278751373E-2</v>
      </c>
      <c r="BJ68"/>
      <c r="BK68" s="269">
        <v>3.398034954443574E-3</v>
      </c>
      <c r="BL68" s="289">
        <v>3.9330374449491501E-2</v>
      </c>
      <c r="BM68" s="286">
        <v>2.410905621945858E-2</v>
      </c>
      <c r="BN68"/>
      <c r="BO68"/>
      <c r="BP68"/>
      <c r="BQ68" s="326">
        <v>5.0056044012308121E-2</v>
      </c>
      <c r="BR68"/>
      <c r="BS68"/>
      <c r="BT68"/>
      <c r="BU68"/>
      <c r="BV68"/>
      <c r="BW68"/>
      <c r="BX68"/>
      <c r="BY68"/>
      <c r="BZ68" s="274">
        <v>1.3173637911677361E-2</v>
      </c>
      <c r="CA68"/>
      <c r="CB68" s="384">
        <v>0.54445046186447144</v>
      </c>
      <c r="CC68"/>
      <c r="CD68"/>
      <c r="CE68"/>
      <c r="CF68"/>
      <c r="CG68"/>
      <c r="CH68"/>
      <c r="CI68"/>
      <c r="CJ68"/>
      <c r="CK68"/>
      <c r="CL68"/>
      <c r="CM68" s="268">
        <v>1.6387783398386091E-4</v>
      </c>
      <c r="CN68" s="271">
        <v>1.0147055145353079E-3</v>
      </c>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4">
      <c r="A69" t="s">
        <v>236</v>
      </c>
      <c r="B69">
        <v>3</v>
      </c>
      <c r="C69">
        <v>0.44999992847442627</v>
      </c>
      <c r="D69"/>
      <c r="E69"/>
      <c r="F69"/>
      <c r="G69"/>
      <c r="H69"/>
      <c r="I69"/>
      <c r="J69"/>
      <c r="K69"/>
      <c r="L69" s="268">
        <v>1.3583593805321925E-8</v>
      </c>
      <c r="M69"/>
      <c r="N69"/>
      <c r="O69"/>
      <c r="P69"/>
      <c r="Q69"/>
      <c r="R69"/>
      <c r="S69"/>
      <c r="T69"/>
      <c r="U69"/>
      <c r="V69"/>
      <c r="W69"/>
      <c r="X69"/>
      <c r="Y69"/>
      <c r="Z69"/>
      <c r="AA69"/>
      <c r="AB69"/>
      <c r="AC69" s="375">
        <v>0.45583486557006836</v>
      </c>
      <c r="AD69"/>
      <c r="AE69" s="268">
        <v>1.9667833112180233E-3</v>
      </c>
      <c r="AF69"/>
      <c r="AG69" s="268">
        <v>6.1108810768928379E-5</v>
      </c>
      <c r="AH69" s="279">
        <v>2.3844072595238686E-2</v>
      </c>
      <c r="AI69" s="268">
        <v>3.4018285805359483E-4</v>
      </c>
      <c r="AJ69"/>
      <c r="AK69" s="268">
        <v>2.532578946556896E-4</v>
      </c>
      <c r="AL69" s="268">
        <v>1.7882004613056779E-5</v>
      </c>
      <c r="AM69" s="268">
        <v>1.1771924619097263E-4</v>
      </c>
      <c r="AN69"/>
      <c r="AO69" s="268">
        <v>1.6053429135354236E-5</v>
      </c>
      <c r="AP69" s="268">
        <v>6.0247539295232855E-6</v>
      </c>
      <c r="AQ69" s="268">
        <v>7.825717912055552E-4</v>
      </c>
      <c r="AR69" s="268">
        <v>6.2534259632229805E-4</v>
      </c>
      <c r="AS69"/>
      <c r="AT69" s="280">
        <v>1.5407809987664223E-2</v>
      </c>
      <c r="AU69"/>
      <c r="AV69"/>
      <c r="AW69"/>
      <c r="AX69" s="268">
        <v>1.2573758567668847E-7</v>
      </c>
      <c r="AY69" s="273">
        <v>4.9091622233390808E-2</v>
      </c>
      <c r="AZ69" s="268">
        <v>8.5907435277476907E-4</v>
      </c>
      <c r="BA69" s="268">
        <v>1.6674134531058371E-4</v>
      </c>
      <c r="BB69" s="268">
        <v>2.4288841523230076E-3</v>
      </c>
      <c r="BC69"/>
      <c r="BD69"/>
      <c r="BE69" s="271">
        <v>4.4181905686855316E-3</v>
      </c>
      <c r="BF69" s="271">
        <v>6.8597611971199512E-3</v>
      </c>
      <c r="BG69" s="269">
        <v>9.2488359659910202E-3</v>
      </c>
      <c r="BH69" s="274">
        <v>4.036438837647438E-2</v>
      </c>
      <c r="BI69" s="294">
        <v>0.41026866436004639</v>
      </c>
      <c r="BJ69" s="292">
        <v>6.7330062389373779E-2</v>
      </c>
      <c r="BK69" s="268">
        <v>1.8649467965587974E-3</v>
      </c>
      <c r="BL69" s="193">
        <v>0.20634083449840546</v>
      </c>
      <c r="BM69" s="270">
        <v>0.11009974032640457</v>
      </c>
      <c r="BN69" s="271">
        <v>4.9711577594280243E-3</v>
      </c>
      <c r="BO69"/>
      <c r="BP69" s="292">
        <v>6.3982941210269928E-2</v>
      </c>
      <c r="BQ69" s="280">
        <v>1.8310226500034332E-2</v>
      </c>
      <c r="BR69"/>
      <c r="BS69" s="307">
        <v>0.10845260322093964</v>
      </c>
      <c r="BT69" s="312">
        <v>0.34476912021636963</v>
      </c>
      <c r="BU69" s="300">
        <v>0.22980824112892151</v>
      </c>
      <c r="BV69"/>
      <c r="BW69" s="279">
        <v>2.4389578029513359E-2</v>
      </c>
      <c r="BX69"/>
      <c r="BY69" s="301">
        <v>0.15710173547267914</v>
      </c>
      <c r="BZ69" s="326">
        <v>0.15241473913192749</v>
      </c>
      <c r="CA69" s="280">
        <v>1.6530429944396019E-2</v>
      </c>
      <c r="CB69" s="280">
        <v>1.5000000596046448E-2</v>
      </c>
      <c r="CC69"/>
      <c r="CD69"/>
      <c r="CE69" s="268">
        <v>2.1624928194796667E-5</v>
      </c>
      <c r="CF69"/>
      <c r="CG69"/>
      <c r="CH69"/>
      <c r="CI69"/>
      <c r="CJ69"/>
      <c r="CK69" s="268">
        <v>1.0294954990968108E-3</v>
      </c>
      <c r="CL69"/>
      <c r="CM69" s="268">
        <v>1.1511626325955149E-5</v>
      </c>
      <c r="CN69" s="268">
        <v>3.0242474167607725E-4</v>
      </c>
      <c r="CO69" s="271">
        <v>4.2888922616839409E-3</v>
      </c>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4">
      <c r="A70" t="s">
        <v>237</v>
      </c>
      <c r="B70">
        <v>0.10000000149011612</v>
      </c>
      <c r="C70">
        <v>9.8624221980571747E-2</v>
      </c>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s="268">
        <v>6.732532347086817E-5</v>
      </c>
      <c r="AY70"/>
      <c r="AZ70"/>
      <c r="BA70"/>
      <c r="BB70"/>
      <c r="BC70"/>
      <c r="BD70"/>
      <c r="BE70" s="268">
        <v>8.6973586803651415E-6</v>
      </c>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s="274">
        <v>1.2997593730688095E-3</v>
      </c>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4">
      <c r="A71" t="s">
        <v>238</v>
      </c>
      <c r="B71">
        <v>0.16899999976158142</v>
      </c>
      <c r="C71">
        <v>0.13349743187427521</v>
      </c>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s="268">
        <v>6.7325316194910556E-5</v>
      </c>
      <c r="AY71"/>
      <c r="AZ71"/>
      <c r="BA71"/>
      <c r="BB71"/>
      <c r="BC71"/>
      <c r="BD71"/>
      <c r="BE71" s="268">
        <v>8.6973568613757379E-6</v>
      </c>
      <c r="BF71"/>
      <c r="BG71"/>
      <c r="BH71"/>
      <c r="BI71"/>
      <c r="BJ71"/>
      <c r="BK71"/>
      <c r="BL71"/>
      <c r="BM71"/>
      <c r="BN71"/>
      <c r="BO71"/>
      <c r="BP71"/>
      <c r="BQ71"/>
      <c r="BR71"/>
      <c r="BS71"/>
      <c r="BT71"/>
      <c r="BU71"/>
      <c r="BV71"/>
      <c r="BW71"/>
      <c r="BX71"/>
      <c r="BY71"/>
      <c r="BZ71"/>
      <c r="CA71"/>
      <c r="CB71"/>
      <c r="CC71"/>
      <c r="CD71"/>
      <c r="CE71" s="195">
        <v>3.4545600414276123E-2</v>
      </c>
      <c r="CF71"/>
      <c r="CG71"/>
      <c r="CH71"/>
      <c r="CI71"/>
      <c r="CJ71"/>
      <c r="CK71"/>
      <c r="CL71"/>
      <c r="CM71"/>
      <c r="CN71"/>
      <c r="CO71"/>
      <c r="CP71"/>
      <c r="CQ71"/>
      <c r="CR71" s="280">
        <v>8.809409337118268E-4</v>
      </c>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4">
      <c r="A72" t="s">
        <v>239</v>
      </c>
      <c r="B72">
        <v>0.16599999368190765</v>
      </c>
      <c r="C72">
        <v>3.7576515227556229E-2</v>
      </c>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s="268">
        <v>6.732532347086817E-5</v>
      </c>
      <c r="AY72"/>
      <c r="AZ72"/>
      <c r="BA72"/>
      <c r="BB72"/>
      <c r="BC72"/>
      <c r="BD72"/>
      <c r="BE72" s="268">
        <v>8.6973586803651415E-6</v>
      </c>
      <c r="BF72"/>
      <c r="BG72"/>
      <c r="BH72"/>
      <c r="BI72"/>
      <c r="BJ72"/>
      <c r="BK72"/>
      <c r="BL72"/>
      <c r="BM72"/>
      <c r="BN72"/>
      <c r="BO72"/>
      <c r="BP72"/>
      <c r="BQ72"/>
      <c r="BR72"/>
      <c r="BS72"/>
      <c r="BT72"/>
      <c r="BU72"/>
      <c r="BV72"/>
      <c r="BW72"/>
      <c r="BX72"/>
      <c r="BY72"/>
      <c r="BZ72"/>
      <c r="CA72"/>
      <c r="CB72"/>
      <c r="CC72"/>
      <c r="CD72"/>
      <c r="CE72" s="194">
        <v>0.12362401932477951</v>
      </c>
      <c r="CF72"/>
      <c r="CG72"/>
      <c r="CH72"/>
      <c r="CI72"/>
      <c r="CJ72"/>
      <c r="CK72"/>
      <c r="CL72"/>
      <c r="CM72"/>
      <c r="CN72"/>
      <c r="CO72"/>
      <c r="CP72"/>
      <c r="CQ72"/>
      <c r="CR72" s="285">
        <v>4.7234394587576389E-3</v>
      </c>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4">
      <c r="A73" t="s">
        <v>240</v>
      </c>
      <c r="B73">
        <v>0.16899999976158142</v>
      </c>
      <c r="C73">
        <v>0.15480078756809235</v>
      </c>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s="268">
        <v>3.3662661735434085E-5</v>
      </c>
      <c r="AY73"/>
      <c r="AZ73"/>
      <c r="BA73"/>
      <c r="BB73"/>
      <c r="BC73"/>
      <c r="BD73"/>
      <c r="BE73" s="268">
        <v>4.3486797949299216E-6</v>
      </c>
      <c r="BF73"/>
      <c r="BG73"/>
      <c r="BH73"/>
      <c r="BI73"/>
      <c r="BJ73"/>
      <c r="BK73"/>
      <c r="BL73"/>
      <c r="BM73"/>
      <c r="BN73"/>
      <c r="BO73"/>
      <c r="BP73"/>
      <c r="BQ73"/>
      <c r="BR73"/>
      <c r="BS73"/>
      <c r="BT73"/>
      <c r="BU73"/>
      <c r="BV73"/>
      <c r="BW73"/>
      <c r="BX73"/>
      <c r="BY73"/>
      <c r="BZ73"/>
      <c r="CA73"/>
      <c r="CB73"/>
      <c r="CC73"/>
      <c r="CD73"/>
      <c r="CE73" s="347">
        <v>1.4161208644509315E-2</v>
      </c>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4">
      <c r="A74" t="s">
        <v>241</v>
      </c>
      <c r="B74">
        <v>6.759999692440033E-2</v>
      </c>
      <c r="C74">
        <v>5.8925490826368332E-2</v>
      </c>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s="271">
        <v>6.7325308918952942E-5</v>
      </c>
      <c r="AY74"/>
      <c r="AZ74"/>
      <c r="BA74"/>
      <c r="BB74"/>
      <c r="BC74"/>
      <c r="BD74"/>
      <c r="BE74" s="268">
        <v>8.6973550423863344E-6</v>
      </c>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s="331">
        <v>8.5984822362661362E-3</v>
      </c>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4">
      <c r="A75" t="s">
        <v>242</v>
      </c>
      <c r="B75">
        <v>0.10000000149011612</v>
      </c>
      <c r="C75">
        <v>9.5407538115978241E-2</v>
      </c>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s="268">
        <v>6.7325308918952942E-5</v>
      </c>
      <c r="AY75"/>
      <c r="AZ75"/>
      <c r="BA75"/>
      <c r="BB75"/>
      <c r="BC75"/>
      <c r="BD75"/>
      <c r="BE75" s="268">
        <v>8.6973568613757379E-6</v>
      </c>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s="287">
        <v>4.5164395123720169E-3</v>
      </c>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4">
      <c r="A76" t="s">
        <v>243</v>
      </c>
      <c r="B76">
        <v>0.15899999439716339</v>
      </c>
      <c r="C76">
        <v>0.12437503039836884</v>
      </c>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s="268">
        <v>6.7325330746825784E-5</v>
      </c>
      <c r="AY76"/>
      <c r="AZ76"/>
      <c r="BA76"/>
      <c r="BB76"/>
      <c r="BC76"/>
      <c r="BD76"/>
      <c r="BE76" s="268">
        <v>8.6973586803651415E-6</v>
      </c>
      <c r="BF76"/>
      <c r="BG76"/>
      <c r="BH76"/>
      <c r="BI76"/>
      <c r="BJ76"/>
      <c r="BK76"/>
      <c r="BL76"/>
      <c r="BM76"/>
      <c r="BN76"/>
      <c r="BO76"/>
      <c r="BP76"/>
      <c r="BQ76"/>
      <c r="BR76"/>
      <c r="BS76"/>
      <c r="BT76"/>
      <c r="BU76"/>
      <c r="BV76"/>
      <c r="BW76"/>
      <c r="BX76"/>
      <c r="BY76"/>
      <c r="BZ76"/>
      <c r="CA76"/>
      <c r="CB76"/>
      <c r="CC76"/>
      <c r="CD76"/>
      <c r="CE76" s="192">
        <v>3.4548941999673843E-2</v>
      </c>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4">
      <c r="A77" t="s">
        <v>244</v>
      </c>
      <c r="B77">
        <v>0.11999999731779099</v>
      </c>
      <c r="C77">
        <v>0.1114167720079422</v>
      </c>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s="268">
        <v>3.3662672649370506E-5</v>
      </c>
      <c r="AY77"/>
      <c r="AZ77"/>
      <c r="BA77"/>
      <c r="BB77"/>
      <c r="BC77"/>
      <c r="BD77"/>
      <c r="BE77"/>
      <c r="BF77"/>
      <c r="BG77"/>
      <c r="BH77"/>
      <c r="BI77"/>
      <c r="BJ77"/>
      <c r="BK77"/>
      <c r="BL77"/>
      <c r="BM77"/>
      <c r="BN77"/>
      <c r="BO77"/>
      <c r="BP77"/>
      <c r="BQ77"/>
      <c r="BR77"/>
      <c r="BS77"/>
      <c r="BT77"/>
      <c r="BU77"/>
      <c r="BV77"/>
      <c r="BW77"/>
      <c r="BX77"/>
      <c r="BY77"/>
      <c r="BZ77"/>
      <c r="CA77"/>
      <c r="CB77"/>
      <c r="CC77"/>
      <c r="CD77"/>
      <c r="CE77" s="191">
        <v>8.54521244764328E-3</v>
      </c>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4">
      <c r="A78" t="s">
        <v>245</v>
      </c>
      <c r="B78">
        <v>6.3000001013278961E-2</v>
      </c>
      <c r="C78">
        <v>6.2847986817359924E-2</v>
      </c>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s="271">
        <v>1.5201231872197241E-4</v>
      </c>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4">
      <c r="A79" t="s">
        <v>246</v>
      </c>
      <c r="B79">
        <v>3.9999999105930328E-2</v>
      </c>
      <c r="C79">
        <v>3.9922356605529785E-2</v>
      </c>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s="271">
        <v>7.7643751865252852E-5</v>
      </c>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4">
      <c r="A80" t="s">
        <v>247</v>
      </c>
      <c r="B80">
        <v>8.2999996840953827E-2</v>
      </c>
      <c r="C80">
        <v>8.0198116600513458E-2</v>
      </c>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s="288">
        <v>2.8018816374242306E-3</v>
      </c>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4">
      <c r="A81" t="s">
        <v>280</v>
      </c>
      <c r="B81">
        <v>7.0000000298023224E-2</v>
      </c>
      <c r="C81">
        <v>5.0487663596868515E-2</v>
      </c>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s="339">
        <v>1.4069801196455956E-2</v>
      </c>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s="304">
        <v>5.4425336420536041E-3</v>
      </c>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4">
      <c r="A82" t="s">
        <v>281</v>
      </c>
      <c r="B82">
        <v>7.0000000298023224E-2</v>
      </c>
      <c r="C82">
        <v>5.4698694497346878E-2</v>
      </c>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s="196">
        <v>1.1033345945179462E-2</v>
      </c>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s="297">
        <v>4.2679603211581707E-3</v>
      </c>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4">
      <c r="A83" t="s">
        <v>248</v>
      </c>
      <c r="B83">
        <v>0.10000000149011612</v>
      </c>
      <c r="C83">
        <v>8.8811621069908142E-2</v>
      </c>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s="302">
        <v>8.0886818468570709E-3</v>
      </c>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s="282">
        <v>3.0996983405202627E-3</v>
      </c>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4">
      <c r="A84" t="s">
        <v>249</v>
      </c>
      <c r="B84">
        <v>4.6999998390674591E-2</v>
      </c>
      <c r="C84">
        <v>4.6867933124303818E-2</v>
      </c>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s="271">
        <v>1.3206599396653473E-4</v>
      </c>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4">
      <c r="A85" t="s">
        <v>282</v>
      </c>
      <c r="B85">
        <v>2.500000037252903E-2</v>
      </c>
      <c r="C85">
        <v>2.500000037252903E-2</v>
      </c>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4">
      <c r="A86" t="s">
        <v>283</v>
      </c>
      <c r="B86">
        <v>2.500000037252903E-2</v>
      </c>
      <c r="C86">
        <v>2.500000037252903E-2</v>
      </c>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4">
      <c r="A87" t="s">
        <v>250</v>
      </c>
      <c r="B87"/>
      <c r="C87">
        <v>0.22528457641601563</v>
      </c>
      <c r="D87"/>
      <c r="E87"/>
      <c r="F87"/>
      <c r="G87"/>
      <c r="H87"/>
      <c r="I87"/>
      <c r="J87"/>
      <c r="K87"/>
      <c r="L87"/>
      <c r="M87"/>
      <c r="N87"/>
      <c r="O87"/>
      <c r="P87"/>
      <c r="Q87"/>
      <c r="R87"/>
      <c r="S87"/>
      <c r="T87" s="266">
        <v>0.95609337091445923</v>
      </c>
      <c r="U87" s="266">
        <v>8.0219697952270508</v>
      </c>
      <c r="V87" s="266">
        <v>3.822096586227417</v>
      </c>
      <c r="W87"/>
      <c r="X87" s="266">
        <v>5.3595736622810364E-2</v>
      </c>
      <c r="Y87" s="266">
        <v>1.4481797218322754</v>
      </c>
      <c r="Z87"/>
      <c r="AA87" s="266">
        <v>53.478538513183594</v>
      </c>
      <c r="AB87" s="266">
        <v>18.626754760742188</v>
      </c>
      <c r="AC87"/>
      <c r="AD87"/>
      <c r="AE87" s="266">
        <v>6.205277144908905E-2</v>
      </c>
      <c r="AF87"/>
      <c r="AG87" s="266">
        <v>3.8024790585041046E-2</v>
      </c>
      <c r="AH87" s="266">
        <v>1.478730421513319E-2</v>
      </c>
      <c r="AI87" s="266">
        <v>6.2997661530971527E-2</v>
      </c>
      <c r="AJ87" s="266">
        <v>6.453867070376873E-3</v>
      </c>
      <c r="AK87"/>
      <c r="AL87"/>
      <c r="AM87"/>
      <c r="AN87"/>
      <c r="AO87"/>
      <c r="AP87"/>
      <c r="AQ87"/>
      <c r="AR87" s="266">
        <v>2.377084456384182E-4</v>
      </c>
      <c r="AS87"/>
      <c r="AT87"/>
      <c r="AU87"/>
      <c r="AV87"/>
      <c r="AW87"/>
      <c r="AX87"/>
      <c r="AY87" s="266">
        <v>0.34447938203811646</v>
      </c>
      <c r="AZ87"/>
      <c r="BA87"/>
      <c r="BB87"/>
      <c r="BC87"/>
      <c r="BD87"/>
      <c r="BE87"/>
      <c r="BF87"/>
      <c r="BG87"/>
      <c r="BH87"/>
      <c r="BI87"/>
      <c r="BJ87"/>
      <c r="BK87"/>
      <c r="BL87"/>
      <c r="BM87"/>
      <c r="BN87"/>
      <c r="BO87" s="266">
        <v>0.13774274289608002</v>
      </c>
      <c r="BP87" s="266">
        <v>0.67289543151855469</v>
      </c>
      <c r="BQ87" s="266">
        <v>5.7769473642110825E-3</v>
      </c>
      <c r="BR87"/>
      <c r="BS87" s="266">
        <v>0.85543030500411987</v>
      </c>
      <c r="BT87"/>
      <c r="BU87" s="266">
        <v>2.9002151489257813</v>
      </c>
      <c r="BV87"/>
      <c r="BW87"/>
      <c r="BX87"/>
      <c r="BY87" s="266">
        <v>0.70808857679367065</v>
      </c>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4">
      <c r="A88" t="s">
        <v>251</v>
      </c>
      <c r="B88"/>
      <c r="C88">
        <v>0.42139345407485962</v>
      </c>
      <c r="D88"/>
      <c r="E88"/>
      <c r="F88"/>
      <c r="G88"/>
      <c r="H88"/>
      <c r="I88"/>
      <c r="J88"/>
      <c r="K88"/>
      <c r="L88"/>
      <c r="M88"/>
      <c r="N88"/>
      <c r="O88"/>
      <c r="P88"/>
      <c r="Q88"/>
      <c r="R88"/>
      <c r="S88"/>
      <c r="T88" s="266">
        <v>7.4328393675386906E-3</v>
      </c>
      <c r="U88" s="266">
        <v>1.203987717628479</v>
      </c>
      <c r="V88" s="266">
        <v>1.2984770536422729</v>
      </c>
      <c r="W88"/>
      <c r="X88" s="266">
        <v>3.5730493254959583E-3</v>
      </c>
      <c r="Y88" s="266">
        <v>0.13474246859550476</v>
      </c>
      <c r="Z88"/>
      <c r="AA88" s="266">
        <v>0.77505135536193848</v>
      </c>
      <c r="AB88" s="266">
        <v>0.28656548261642456</v>
      </c>
      <c r="AC88"/>
      <c r="AD88"/>
      <c r="AE88"/>
      <c r="AF88"/>
      <c r="AG88" s="266">
        <v>4.2249765247106552E-3</v>
      </c>
      <c r="AH88" s="266">
        <v>5.9149216860532761E-2</v>
      </c>
      <c r="AI88" s="266">
        <v>0.12599532306194305</v>
      </c>
      <c r="AJ88" s="266">
        <v>1.6134666278958321E-2</v>
      </c>
      <c r="AK88"/>
      <c r="AL88" s="266">
        <v>1.2988402158953249E-4</v>
      </c>
      <c r="AM88" s="266">
        <v>5.1082417485304177E-5</v>
      </c>
      <c r="AN88" s="266">
        <v>1.0275185195496306E-4</v>
      </c>
      <c r="AO88"/>
      <c r="AP88"/>
      <c r="AQ88"/>
      <c r="AR88" s="266">
        <v>1.9967507570981979E-2</v>
      </c>
      <c r="AS88"/>
      <c r="AT88"/>
      <c r="AU88"/>
      <c r="AV88"/>
      <c r="AW88"/>
      <c r="AX88"/>
      <c r="AY88" s="266">
        <v>0.34447938203811646</v>
      </c>
      <c r="AZ88"/>
      <c r="BA88"/>
      <c r="BB88"/>
      <c r="BC88"/>
      <c r="BD88"/>
      <c r="BE88"/>
      <c r="BF88"/>
      <c r="BG88"/>
      <c r="BH88"/>
      <c r="BI88"/>
      <c r="BJ88"/>
      <c r="BK88"/>
      <c r="BL88"/>
      <c r="BM88"/>
      <c r="BN88"/>
      <c r="BO88"/>
      <c r="BP88" s="266">
        <v>0.67289543151855469</v>
      </c>
      <c r="BQ88" s="266">
        <v>5.7769473642110825E-3</v>
      </c>
      <c r="BR88"/>
      <c r="BS88" s="266">
        <v>0.85543030500411987</v>
      </c>
      <c r="BT88"/>
      <c r="BU88" s="266">
        <v>0.28971773386001587</v>
      </c>
      <c r="BV88"/>
      <c r="BW88"/>
      <c r="BX88"/>
      <c r="BY88"/>
      <c r="BZ88"/>
      <c r="CA88"/>
      <c r="CB88"/>
      <c r="CC88"/>
      <c r="CD88"/>
      <c r="CE88"/>
      <c r="CF88"/>
      <c r="CG88" s="266">
        <v>3.8795208092778921E-4</v>
      </c>
      <c r="CH88"/>
      <c r="CI88"/>
      <c r="CJ88" s="266">
        <v>2.1305870177457109E-5</v>
      </c>
      <c r="CK88" s="266">
        <v>1.2992391129955649E-3</v>
      </c>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4">
      <c r="A89" t="s">
        <v>252</v>
      </c>
      <c r="B89"/>
      <c r="C89">
        <v>0.52450031042098999</v>
      </c>
      <c r="D89"/>
      <c r="E89"/>
      <c r="F89"/>
      <c r="G89"/>
      <c r="H89"/>
      <c r="I89"/>
      <c r="J89"/>
      <c r="K89"/>
      <c r="L89"/>
      <c r="M89"/>
      <c r="N89"/>
      <c r="O89" s="266">
        <v>2432.779541015625</v>
      </c>
      <c r="P89"/>
      <c r="Q89"/>
      <c r="R89"/>
      <c r="S89" s="266">
        <v>0.27157807350158691</v>
      </c>
      <c r="T89" s="266">
        <v>0.38541051745414734</v>
      </c>
      <c r="U89"/>
      <c r="V89" s="266">
        <v>2.5602869987487793</v>
      </c>
      <c r="W89" s="266">
        <v>12.530386924743652</v>
      </c>
      <c r="X89" s="266">
        <v>0.15721416473388672</v>
      </c>
      <c r="Y89" s="266">
        <v>0.12157253175973892</v>
      </c>
      <c r="Z89"/>
      <c r="AA89" s="266">
        <v>69.52984619140625</v>
      </c>
      <c r="AB89" s="266">
        <v>14.216512680053711</v>
      </c>
      <c r="AC89"/>
      <c r="AD89"/>
      <c r="AE89"/>
      <c r="AF89"/>
      <c r="AG89"/>
      <c r="AH89"/>
      <c r="AI89"/>
      <c r="AJ89"/>
      <c r="AK89"/>
      <c r="AL89"/>
      <c r="AM89"/>
      <c r="AN89"/>
      <c r="AO89"/>
      <c r="AP89"/>
      <c r="AQ89"/>
      <c r="AR89"/>
      <c r="AS89"/>
      <c r="AT89"/>
      <c r="AU89"/>
      <c r="AV89"/>
      <c r="AW89"/>
      <c r="AX89"/>
      <c r="AY89" s="266">
        <v>0.98416340351104736</v>
      </c>
      <c r="AZ89" s="266">
        <v>0.32571479678153992</v>
      </c>
      <c r="BA89"/>
      <c r="BB89"/>
      <c r="BC89" s="266">
        <v>2.40279221534729</v>
      </c>
      <c r="BD89"/>
      <c r="BE89"/>
      <c r="BF89"/>
      <c r="BG89"/>
      <c r="BH89"/>
      <c r="BI89"/>
      <c r="BJ89"/>
      <c r="BK89"/>
      <c r="BL89"/>
      <c r="BM89"/>
      <c r="BN89"/>
      <c r="BO89"/>
      <c r="BP89"/>
      <c r="BQ89"/>
      <c r="BR89"/>
      <c r="BS89" s="266">
        <v>11.976024627685547</v>
      </c>
      <c r="BT89"/>
      <c r="BU89"/>
      <c r="BV89"/>
      <c r="BW89"/>
      <c r="BX89"/>
      <c r="BY89" s="266">
        <v>2.1242659091949463</v>
      </c>
      <c r="BZ89"/>
      <c r="CA89"/>
      <c r="CB89"/>
      <c r="CC89"/>
      <c r="CD89"/>
      <c r="CE89"/>
      <c r="CF89"/>
      <c r="CG89" s="266">
        <v>3.2521525863558054E-3</v>
      </c>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4">
      <c r="A90" t="s">
        <v>253</v>
      </c>
      <c r="B90"/>
      <c r="C90">
        <v>0.68384915590286255</v>
      </c>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s="266">
        <v>1.5698892530053854E-3</v>
      </c>
      <c r="BC90" s="266">
        <v>7.2037920355796814E-2</v>
      </c>
      <c r="BD90"/>
      <c r="BE90" s="266">
        <v>3.9649507962167263E-3</v>
      </c>
      <c r="BF90"/>
      <c r="BG90"/>
      <c r="BH90"/>
      <c r="BI90"/>
      <c r="BJ90"/>
      <c r="BK90" s="266">
        <v>1.6894424334168434E-3</v>
      </c>
      <c r="BL90" s="266">
        <v>3.2550659030675888E-2</v>
      </c>
      <c r="BM90" s="266">
        <v>1.3894750736653805E-2</v>
      </c>
      <c r="BN90"/>
      <c r="BO90"/>
      <c r="BP90"/>
      <c r="BQ90" s="266">
        <v>5.7769473642110825E-3</v>
      </c>
      <c r="BR90"/>
      <c r="BS90"/>
      <c r="BT90"/>
      <c r="BU90"/>
      <c r="BV90"/>
      <c r="BW90"/>
      <c r="BX90"/>
      <c r="BY90"/>
      <c r="BZ90"/>
      <c r="CA90"/>
      <c r="CB90"/>
      <c r="CC90" s="266">
        <v>6.927956361323595E-3</v>
      </c>
      <c r="CD90"/>
      <c r="CE90" s="266">
        <v>6.8227481096982956E-3</v>
      </c>
      <c r="CF90"/>
      <c r="CG90" s="266">
        <v>7.7590411528944969E-3</v>
      </c>
      <c r="CH90" s="266">
        <v>3.5582765121944249E-4</v>
      </c>
      <c r="CI90" s="266">
        <v>5.2944855997338891E-4</v>
      </c>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4">
      <c r="A91" t="s">
        <v>254</v>
      </c>
      <c r="B91"/>
      <c r="C91">
        <v>0.88452410697937012</v>
      </c>
      <c r="D91"/>
      <c r="E91"/>
      <c r="F91"/>
      <c r="G91"/>
      <c r="H91"/>
      <c r="I91"/>
      <c r="J91"/>
      <c r="K91"/>
      <c r="L91"/>
      <c r="M91"/>
      <c r="N91"/>
      <c r="O91"/>
      <c r="P91"/>
      <c r="Q91"/>
      <c r="R91"/>
      <c r="S91"/>
      <c r="T91"/>
      <c r="U91"/>
      <c r="V91"/>
      <c r="W91"/>
      <c r="X91"/>
      <c r="Y91"/>
      <c r="Z91"/>
      <c r="AA91"/>
      <c r="AB91" s="266">
        <v>42.984821319580078</v>
      </c>
      <c r="AC91"/>
      <c r="AD91"/>
      <c r="AE91"/>
      <c r="AF91"/>
      <c r="AG91"/>
      <c r="AH91"/>
      <c r="AI91"/>
      <c r="AJ91"/>
      <c r="AK91"/>
      <c r="AL91"/>
      <c r="AM91"/>
      <c r="AN91"/>
      <c r="AO91"/>
      <c r="AP91"/>
      <c r="AQ91"/>
      <c r="AR91"/>
      <c r="AS91"/>
      <c r="AT91"/>
      <c r="AU91"/>
      <c r="AV91"/>
      <c r="AW91"/>
      <c r="AX91"/>
      <c r="AY91"/>
      <c r="AZ91"/>
      <c r="BA91"/>
      <c r="BB91" s="266">
        <v>0.34287339448928833</v>
      </c>
      <c r="BC91" s="266">
        <v>5.5665668100118637E-2</v>
      </c>
      <c r="BD91"/>
      <c r="BE91" s="266">
        <v>8.8591322302818298E-2</v>
      </c>
      <c r="BF91"/>
      <c r="BG91" s="266">
        <v>5.2151326090097427E-2</v>
      </c>
      <c r="BH91" s="266">
        <v>0.64262336492538452</v>
      </c>
      <c r="BI91" s="266">
        <v>3.883509635925293</v>
      </c>
      <c r="BJ91" s="266">
        <v>0.48029664158821106</v>
      </c>
      <c r="BK91" s="266">
        <v>4.8210661858320236E-2</v>
      </c>
      <c r="BL91" s="266">
        <v>3.4022276401519775</v>
      </c>
      <c r="BM91" s="266">
        <v>1.5152493715286255</v>
      </c>
      <c r="BN91" s="266">
        <v>0.24129529297351837</v>
      </c>
      <c r="BO91"/>
      <c r="BP91"/>
      <c r="BQ91" s="266">
        <v>1.1553894728422165E-2</v>
      </c>
      <c r="BR91" s="266">
        <v>1440</v>
      </c>
      <c r="BS91" s="266">
        <v>44.482376098632813</v>
      </c>
      <c r="BT91" s="266">
        <v>65.265594482421875</v>
      </c>
      <c r="BU91" s="266">
        <v>88.170646667480469</v>
      </c>
      <c r="BV91" s="266">
        <v>84.003814697265625</v>
      </c>
      <c r="BW91" s="266">
        <v>729.48651123046875</v>
      </c>
      <c r="BX91" s="266">
        <v>397.97671508789063</v>
      </c>
      <c r="BY91" s="266">
        <v>124.62359619140625</v>
      </c>
      <c r="BZ91" s="266">
        <v>3.9820761680603027</v>
      </c>
      <c r="CA91" s="266">
        <v>0.48677200078964233</v>
      </c>
      <c r="CB91" s="266">
        <v>198.29417419433594</v>
      </c>
      <c r="CC91"/>
      <c r="CD91"/>
      <c r="CE91" s="266">
        <v>3.4113740548491478E-3</v>
      </c>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4">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4">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4">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4">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4">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4">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4">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4">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4">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4">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4">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4">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4">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4">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4">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4">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4">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4">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4">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4">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4">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4">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4">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4">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4">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4">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4">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4">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4">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4">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4">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4">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4">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4">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4">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4">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4">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4">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4">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4">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4">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4">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4">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4">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4">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4">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4">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4">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4">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4">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4">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4">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4">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4">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4">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4">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4">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4">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4">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4">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4">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4">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4">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4">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4">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4">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4">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4">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4">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4">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4">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4">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4">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4">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4">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4">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4">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4">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4">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4">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4">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4">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4">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4">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4">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4">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4">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4">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4">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4">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4">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4">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4">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4">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4">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4">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4">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4">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4">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4">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4">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4">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4">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4">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4">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4">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4">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4">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4">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4">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4">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4">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4">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4">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4">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4">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4">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4">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4">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4">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4">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4">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4">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4">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4">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4">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4">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4">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4">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4">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4">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4">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4">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4">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4">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4">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4">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4">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4">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4">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4">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4">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4">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4">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4">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4">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4">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4">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4">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4">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4">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4">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4">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4">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4">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4">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4">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4">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4">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4">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4">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4">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4">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4">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4">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4">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4">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4">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4">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4">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4">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4">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4">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4">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4">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4">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4">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4">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4">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4">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4">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4">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4">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4">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4">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4">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4">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4">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4">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4">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4">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4">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4">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4">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4">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4">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4">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4">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4">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4">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4">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4">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4">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4">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4">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4">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4">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4">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4">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4">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4">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4">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4">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4">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4">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4">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4">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4">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4">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4">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4">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4">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4">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4">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4">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4">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4">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4">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4">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4">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4">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4">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4">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4">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4">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4">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4">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4">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4">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4">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4">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4">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4">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4">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4">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4">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4">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4">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4">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4">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4">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4">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4">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4">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4">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4">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4">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4">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4">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4">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4">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4">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4">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4">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4">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4">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4">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4">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4">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4">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4">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4">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4">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4">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4">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4">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4">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4">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4">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4">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4">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4">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4">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4">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4">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4">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4">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4">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4">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4">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4">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4">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4">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4">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4">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4">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4">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4">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4">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4">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4">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4">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4">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4">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4">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4">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4">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4">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4">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4">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4">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4">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4">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4">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4">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4">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4">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4">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4">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4">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4">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4">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4">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4">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4">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4">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4">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4">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4">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4">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4">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4">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4">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4">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4">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4">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4">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4">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4">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4">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4">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4">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4">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4">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4">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4">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4">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4">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4">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4">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4">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4">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4">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4">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4">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4">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4">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4">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4">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4">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4">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4">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4">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4">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4">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4">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4">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4">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4">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4">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4">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4">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4">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4">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4">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4">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4">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4">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4">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4">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4">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4">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4">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4">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4">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4">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4">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4">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4">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4">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4">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4">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4">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4">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4">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4">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4">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4">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4">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4">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4">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4">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4">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4">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4">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4">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4">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O186"/>
  <sheetViews>
    <sheetView workbookViewId="0">
      <selection activeCell="E11" sqref="E11"/>
    </sheetView>
  </sheetViews>
  <sheetFormatPr defaultColWidth="11" defaultRowHeight="12.3" x14ac:dyDescent="0.4"/>
  <cols>
    <col min="1" max="1" width="33.6640625" bestFit="1" customWidth="1"/>
    <col min="2" max="2" width="9" customWidth="1"/>
    <col min="3" max="3" width="10.83203125" style="6" customWidth="1"/>
    <col min="4" max="4" width="41.83203125" style="7" bestFit="1" customWidth="1"/>
    <col min="5" max="5" width="13.83203125" bestFit="1" customWidth="1"/>
    <col min="6" max="6" width="10.1640625" bestFit="1" customWidth="1"/>
    <col min="7" max="7" width="15.33203125" bestFit="1" customWidth="1"/>
    <col min="8" max="8" width="41.83203125" bestFit="1" customWidth="1"/>
    <col min="10" max="10" width="18" bestFit="1" customWidth="1"/>
    <col min="11" max="11" width="14" bestFit="1" customWidth="1"/>
    <col min="15" max="15" width="14.33203125" bestFit="1" customWidth="1"/>
    <col min="16" max="16" width="39.83203125" bestFit="1" customWidth="1"/>
  </cols>
  <sheetData>
    <row r="1" spans="1:15" s="1" customFormat="1" ht="12.6" thickBot="1" x14ac:dyDescent="0.45">
      <c r="C1" s="30"/>
      <c r="D1" s="50" t="s">
        <v>32</v>
      </c>
      <c r="E1" s="1" t="s">
        <v>33</v>
      </c>
      <c r="F1" s="1" t="s">
        <v>34</v>
      </c>
      <c r="G1" s="1" t="s">
        <v>35</v>
      </c>
      <c r="H1" s="1" t="s">
        <v>36</v>
      </c>
      <c r="J1" s="1" t="s">
        <v>131</v>
      </c>
      <c r="K1" s="1" t="s">
        <v>132</v>
      </c>
    </row>
    <row r="2" spans="1:15" x14ac:dyDescent="0.4">
      <c r="A2" s="1" t="s">
        <v>37</v>
      </c>
      <c r="B2" s="15">
        <v>3</v>
      </c>
      <c r="D2" s="41" t="s">
        <v>38</v>
      </c>
      <c r="E2" s="6">
        <v>1</v>
      </c>
      <c r="F2">
        <v>1</v>
      </c>
      <c r="G2" s="6">
        <v>1</v>
      </c>
      <c r="H2" s="218" t="s">
        <v>38</v>
      </c>
      <c r="J2" s="31"/>
      <c r="K2" s="32"/>
      <c r="L2" s="38" t="s">
        <v>153</v>
      </c>
    </row>
    <row r="3" spans="1:15" ht="12.6" thickBot="1" x14ac:dyDescent="0.45">
      <c r="A3" s="1" t="s">
        <v>39</v>
      </c>
      <c r="B3" s="16">
        <v>0</v>
      </c>
      <c r="D3" s="41" t="s">
        <v>40</v>
      </c>
      <c r="E3" s="6">
        <f>E2+1</f>
        <v>2</v>
      </c>
      <c r="F3">
        <v>1.1000000000000001</v>
      </c>
      <c r="G3" s="217">
        <f>G2+1</f>
        <v>2</v>
      </c>
      <c r="H3" s="218" t="s">
        <v>40</v>
      </c>
      <c r="J3" s="33"/>
      <c r="K3" s="34"/>
    </row>
    <row r="4" spans="1:15" x14ac:dyDescent="0.4">
      <c r="C4"/>
      <c r="D4" s="41" t="s">
        <v>41</v>
      </c>
      <c r="E4" s="217">
        <f t="shared" ref="E4:G67" si="0">E3+1</f>
        <v>3</v>
      </c>
      <c r="F4">
        <v>1.2</v>
      </c>
      <c r="G4" s="217">
        <f t="shared" si="0"/>
        <v>3</v>
      </c>
      <c r="H4" s="218" t="s">
        <v>41</v>
      </c>
      <c r="J4" s="33"/>
      <c r="K4" s="34"/>
      <c r="L4" s="72" t="s">
        <v>172</v>
      </c>
      <c r="M4" s="69"/>
      <c r="N4" s="69"/>
      <c r="O4" s="69"/>
    </row>
    <row r="5" spans="1:15" x14ac:dyDescent="0.4">
      <c r="C5"/>
      <c r="D5" s="41" t="s">
        <v>177</v>
      </c>
      <c r="E5" s="217">
        <f t="shared" si="0"/>
        <v>4</v>
      </c>
      <c r="F5">
        <v>2.1</v>
      </c>
      <c r="G5" s="217">
        <f t="shared" si="0"/>
        <v>4</v>
      </c>
      <c r="H5" s="218" t="s">
        <v>177</v>
      </c>
      <c r="J5" s="33"/>
      <c r="K5" s="34"/>
    </row>
    <row r="6" spans="1:15" ht="12.6" thickBot="1" x14ac:dyDescent="0.45">
      <c r="A6" s="17" t="s">
        <v>122</v>
      </c>
      <c r="C6"/>
      <c r="D6" s="41" t="s">
        <v>178</v>
      </c>
      <c r="E6" s="217">
        <f t="shared" si="0"/>
        <v>5</v>
      </c>
      <c r="F6">
        <v>2.2000000000000002</v>
      </c>
      <c r="G6" s="217">
        <f t="shared" si="0"/>
        <v>5</v>
      </c>
      <c r="H6" s="218" t="s">
        <v>178</v>
      </c>
      <c r="J6" s="33"/>
      <c r="K6" s="34"/>
    </row>
    <row r="7" spans="1:15" x14ac:dyDescent="0.4">
      <c r="A7" s="13" t="s">
        <v>127</v>
      </c>
      <c r="B7" s="19">
        <v>1</v>
      </c>
      <c r="C7"/>
      <c r="D7" s="41" t="s">
        <v>179</v>
      </c>
      <c r="E7" s="217">
        <f t="shared" si="0"/>
        <v>6</v>
      </c>
      <c r="F7">
        <v>3.14</v>
      </c>
      <c r="G7" s="217">
        <f t="shared" si="0"/>
        <v>6</v>
      </c>
      <c r="H7" s="218" t="s">
        <v>179</v>
      </c>
      <c r="I7" s="216"/>
      <c r="J7" s="33"/>
      <c r="K7" s="34"/>
    </row>
    <row r="8" spans="1:15" x14ac:dyDescent="0.4">
      <c r="A8" s="13" t="s">
        <v>38</v>
      </c>
      <c r="B8" s="20">
        <v>1</v>
      </c>
      <c r="C8"/>
      <c r="D8" s="41" t="s">
        <v>180</v>
      </c>
      <c r="E8" s="217">
        <f t="shared" si="0"/>
        <v>7</v>
      </c>
      <c r="F8">
        <v>3.11</v>
      </c>
      <c r="G8" s="217">
        <f t="shared" si="0"/>
        <v>7</v>
      </c>
      <c r="H8" s="218" t="s">
        <v>180</v>
      </c>
      <c r="J8" s="33"/>
      <c r="K8" s="34"/>
    </row>
    <row r="9" spans="1:15" x14ac:dyDescent="0.4">
      <c r="A9" s="13" t="s">
        <v>40</v>
      </c>
      <c r="B9" s="20">
        <v>1.1000000000000001</v>
      </c>
      <c r="C9"/>
      <c r="D9" s="41" t="s">
        <v>181</v>
      </c>
      <c r="E9" s="217">
        <f t="shared" si="0"/>
        <v>8</v>
      </c>
      <c r="F9">
        <v>3.11</v>
      </c>
      <c r="G9" s="217">
        <f t="shared" si="0"/>
        <v>8</v>
      </c>
      <c r="H9" s="218" t="s">
        <v>181</v>
      </c>
      <c r="J9" s="33"/>
      <c r="K9" s="34"/>
    </row>
    <row r="10" spans="1:15" x14ac:dyDescent="0.4">
      <c r="A10" s="13" t="s">
        <v>41</v>
      </c>
      <c r="B10" s="20">
        <v>1.2</v>
      </c>
      <c r="C10"/>
      <c r="D10" s="41" t="s">
        <v>182</v>
      </c>
      <c r="E10" s="217">
        <f t="shared" si="0"/>
        <v>9</v>
      </c>
      <c r="F10">
        <v>3.11</v>
      </c>
      <c r="G10" s="217">
        <f t="shared" si="0"/>
        <v>9</v>
      </c>
      <c r="H10" s="218" t="s">
        <v>182</v>
      </c>
      <c r="J10" s="33"/>
      <c r="K10" s="34"/>
    </row>
    <row r="11" spans="1:15" ht="12" customHeight="1" x14ac:dyDescent="0.4">
      <c r="A11" s="18" t="s">
        <v>128</v>
      </c>
      <c r="B11" s="20">
        <v>2</v>
      </c>
      <c r="C11"/>
      <c r="D11" s="41" t="s">
        <v>183</v>
      </c>
      <c r="E11" s="217">
        <f t="shared" si="0"/>
        <v>10</v>
      </c>
      <c r="F11">
        <v>3.11</v>
      </c>
      <c r="G11" s="217">
        <f t="shared" si="0"/>
        <v>10</v>
      </c>
      <c r="H11" s="218" t="s">
        <v>183</v>
      </c>
      <c r="J11" s="33"/>
      <c r="K11" s="34"/>
    </row>
    <row r="12" spans="1:15" x14ac:dyDescent="0.4">
      <c r="A12" s="13" t="s">
        <v>42</v>
      </c>
      <c r="B12" s="20">
        <v>2.1</v>
      </c>
      <c r="C12"/>
      <c r="D12" s="41" t="s">
        <v>184</v>
      </c>
      <c r="E12" s="217">
        <f t="shared" si="0"/>
        <v>11</v>
      </c>
      <c r="F12">
        <v>3.11</v>
      </c>
      <c r="G12" s="217">
        <f t="shared" si="0"/>
        <v>11</v>
      </c>
      <c r="H12" s="218" t="s">
        <v>184</v>
      </c>
      <c r="J12" s="33"/>
      <c r="K12" s="34"/>
    </row>
    <row r="13" spans="1:15" x14ac:dyDescent="0.4">
      <c r="A13" s="13" t="s">
        <v>43</v>
      </c>
      <c r="B13" s="20">
        <v>2.2000000000000002</v>
      </c>
      <c r="C13"/>
      <c r="D13" s="41" t="s">
        <v>185</v>
      </c>
      <c r="E13" s="217">
        <f t="shared" si="0"/>
        <v>12</v>
      </c>
      <c r="F13">
        <v>3.11</v>
      </c>
      <c r="G13" s="217">
        <f t="shared" si="0"/>
        <v>12</v>
      </c>
      <c r="H13" s="218" t="s">
        <v>185</v>
      </c>
      <c r="J13" s="33"/>
      <c r="K13" s="34"/>
    </row>
    <row r="14" spans="1:15" x14ac:dyDescent="0.4">
      <c r="A14" s="13" t="s">
        <v>68</v>
      </c>
      <c r="B14" s="20">
        <v>2.2999999999999998</v>
      </c>
      <c r="C14"/>
      <c r="D14" s="41" t="s">
        <v>186</v>
      </c>
      <c r="E14" s="217">
        <f t="shared" si="0"/>
        <v>13</v>
      </c>
      <c r="F14">
        <v>3.11</v>
      </c>
      <c r="G14" s="217">
        <f t="shared" si="0"/>
        <v>13</v>
      </c>
      <c r="H14" s="218" t="s">
        <v>186</v>
      </c>
      <c r="J14" s="33"/>
      <c r="K14" s="34"/>
    </row>
    <row r="15" spans="1:15" x14ac:dyDescent="0.4">
      <c r="A15" s="18" t="s">
        <v>129</v>
      </c>
      <c r="B15" s="20">
        <v>3</v>
      </c>
      <c r="C15"/>
      <c r="D15" s="41" t="s">
        <v>187</v>
      </c>
      <c r="E15" s="217">
        <f t="shared" si="0"/>
        <v>14</v>
      </c>
      <c r="F15">
        <v>3.11</v>
      </c>
      <c r="G15" s="217">
        <f t="shared" si="0"/>
        <v>14</v>
      </c>
      <c r="H15" s="218" t="s">
        <v>187</v>
      </c>
      <c r="J15" s="33"/>
      <c r="K15" s="34"/>
    </row>
    <row r="16" spans="1:15" x14ac:dyDescent="0.4">
      <c r="A16" s="13" t="s">
        <v>63</v>
      </c>
      <c r="B16" s="20">
        <v>3.11</v>
      </c>
      <c r="C16"/>
      <c r="D16" s="41" t="s">
        <v>188</v>
      </c>
      <c r="E16" s="217">
        <f t="shared" si="0"/>
        <v>15</v>
      </c>
      <c r="F16">
        <v>3.11</v>
      </c>
      <c r="G16" s="217">
        <f t="shared" si="0"/>
        <v>15</v>
      </c>
      <c r="H16" s="218" t="s">
        <v>188</v>
      </c>
      <c r="J16" s="33"/>
      <c r="K16" s="34"/>
    </row>
    <row r="17" spans="1:12" x14ac:dyDescent="0.4">
      <c r="A17" s="13" t="s">
        <v>62</v>
      </c>
      <c r="B17" s="20">
        <v>3.12</v>
      </c>
      <c r="C17"/>
      <c r="D17" s="41" t="s">
        <v>189</v>
      </c>
      <c r="E17" s="217">
        <f t="shared" si="0"/>
        <v>16</v>
      </c>
      <c r="F17">
        <v>3.11</v>
      </c>
      <c r="G17" s="217">
        <f t="shared" si="0"/>
        <v>16</v>
      </c>
      <c r="H17" s="218" t="s">
        <v>189</v>
      </c>
      <c r="J17" s="33"/>
      <c r="K17" s="34"/>
    </row>
    <row r="18" spans="1:12" x14ac:dyDescent="0.4">
      <c r="A18" s="13" t="s">
        <v>69</v>
      </c>
      <c r="B18" s="20">
        <v>3.13</v>
      </c>
      <c r="C18"/>
      <c r="D18" s="41" t="s">
        <v>273</v>
      </c>
      <c r="E18" s="217">
        <f t="shared" si="0"/>
        <v>17</v>
      </c>
      <c r="F18" s="216">
        <v>3.11</v>
      </c>
      <c r="G18" s="217">
        <f t="shared" si="0"/>
        <v>17</v>
      </c>
      <c r="H18" s="218" t="s">
        <v>273</v>
      </c>
      <c r="J18" s="33"/>
      <c r="K18" s="34"/>
    </row>
    <row r="19" spans="1:12" x14ac:dyDescent="0.4">
      <c r="A19" s="13" t="s">
        <v>67</v>
      </c>
      <c r="B19" s="20">
        <v>3.21</v>
      </c>
      <c r="C19"/>
      <c r="D19" s="41" t="s">
        <v>190</v>
      </c>
      <c r="E19" s="217">
        <f t="shared" si="0"/>
        <v>18</v>
      </c>
      <c r="F19">
        <v>3.11</v>
      </c>
      <c r="G19" s="217">
        <f t="shared" si="0"/>
        <v>18</v>
      </c>
      <c r="H19" s="218" t="s">
        <v>190</v>
      </c>
      <c r="J19" s="33"/>
      <c r="K19" s="34"/>
    </row>
    <row r="20" spans="1:12" x14ac:dyDescent="0.4">
      <c r="A20" s="13" t="s">
        <v>64</v>
      </c>
      <c r="B20" s="20">
        <v>3.22</v>
      </c>
      <c r="C20"/>
      <c r="D20" s="41" t="s">
        <v>191</v>
      </c>
      <c r="E20" s="217">
        <f t="shared" si="0"/>
        <v>19</v>
      </c>
      <c r="F20">
        <v>3.11</v>
      </c>
      <c r="G20" s="217">
        <f t="shared" si="0"/>
        <v>19</v>
      </c>
      <c r="H20" s="218" t="s">
        <v>191</v>
      </c>
      <c r="J20" s="33"/>
      <c r="K20" s="34"/>
    </row>
    <row r="21" spans="1:12" ht="12.6" thickBot="1" x14ac:dyDescent="0.45">
      <c r="A21" s="13" t="s">
        <v>70</v>
      </c>
      <c r="B21" s="20">
        <v>3.23</v>
      </c>
      <c r="C21"/>
      <c r="D21" s="41" t="s">
        <v>192</v>
      </c>
      <c r="E21" s="217">
        <f t="shared" si="0"/>
        <v>20</v>
      </c>
      <c r="F21">
        <v>3.12</v>
      </c>
      <c r="G21" s="217">
        <f t="shared" si="0"/>
        <v>20</v>
      </c>
      <c r="H21" s="218" t="s">
        <v>192</v>
      </c>
      <c r="J21" s="35"/>
      <c r="K21" s="36"/>
      <c r="L21" s="38" t="s">
        <v>154</v>
      </c>
    </row>
    <row r="22" spans="1:12" x14ac:dyDescent="0.4">
      <c r="A22" s="13" t="s">
        <v>65</v>
      </c>
      <c r="B22" s="20">
        <v>8</v>
      </c>
      <c r="C22"/>
      <c r="D22" s="41" t="s">
        <v>193</v>
      </c>
      <c r="E22" s="217">
        <f t="shared" si="0"/>
        <v>21</v>
      </c>
      <c r="F22">
        <v>3.12</v>
      </c>
      <c r="G22" s="217">
        <f t="shared" si="0"/>
        <v>21</v>
      </c>
      <c r="H22" s="218" t="s">
        <v>193</v>
      </c>
    </row>
    <row r="23" spans="1:12" x14ac:dyDescent="0.4">
      <c r="A23" s="13" t="s">
        <v>130</v>
      </c>
      <c r="B23" s="20">
        <v>4</v>
      </c>
      <c r="C23"/>
      <c r="D23" s="41" t="s">
        <v>194</v>
      </c>
      <c r="E23" s="217">
        <f t="shared" si="0"/>
        <v>22</v>
      </c>
      <c r="F23">
        <v>3.12</v>
      </c>
      <c r="G23" s="217">
        <f t="shared" si="0"/>
        <v>22</v>
      </c>
      <c r="H23" s="218" t="s">
        <v>194</v>
      </c>
      <c r="L23" s="38" t="s">
        <v>269</v>
      </c>
    </row>
    <row r="24" spans="1:12" x14ac:dyDescent="0.4">
      <c r="A24" s="13" t="s">
        <v>123</v>
      </c>
      <c r="B24" s="20">
        <v>4.0999999999999996</v>
      </c>
      <c r="C24"/>
      <c r="D24" s="41" t="s">
        <v>195</v>
      </c>
      <c r="E24" s="217">
        <f t="shared" si="0"/>
        <v>23</v>
      </c>
      <c r="F24">
        <v>3.12</v>
      </c>
      <c r="G24" s="217">
        <f t="shared" si="0"/>
        <v>23</v>
      </c>
      <c r="H24" s="218" t="s">
        <v>195</v>
      </c>
    </row>
    <row r="25" spans="1:12" x14ac:dyDescent="0.4">
      <c r="A25" s="13" t="s">
        <v>71</v>
      </c>
      <c r="B25" s="20">
        <v>4.2</v>
      </c>
      <c r="C25"/>
      <c r="D25" s="41" t="s">
        <v>196</v>
      </c>
      <c r="E25" s="217">
        <f t="shared" si="0"/>
        <v>24</v>
      </c>
      <c r="F25">
        <v>3.12</v>
      </c>
      <c r="G25" s="217">
        <f t="shared" si="0"/>
        <v>24</v>
      </c>
      <c r="H25" s="218" t="s">
        <v>196</v>
      </c>
    </row>
    <row r="26" spans="1:12" x14ac:dyDescent="0.4">
      <c r="A26" s="13" t="s">
        <v>124</v>
      </c>
      <c r="B26" s="20">
        <v>4.3</v>
      </c>
      <c r="C26"/>
      <c r="D26" s="41" t="s">
        <v>197</v>
      </c>
      <c r="E26" s="217">
        <f t="shared" si="0"/>
        <v>25</v>
      </c>
      <c r="F26">
        <v>3.12</v>
      </c>
      <c r="G26" s="217">
        <f t="shared" si="0"/>
        <v>25</v>
      </c>
      <c r="H26" s="218" t="s">
        <v>197</v>
      </c>
    </row>
    <row r="27" spans="1:12" x14ac:dyDescent="0.4">
      <c r="A27" s="13" t="s">
        <v>126</v>
      </c>
      <c r="B27" s="20">
        <v>6.1</v>
      </c>
      <c r="C27"/>
      <c r="D27" s="41" t="s">
        <v>198</v>
      </c>
      <c r="E27" s="217">
        <f t="shared" si="0"/>
        <v>26</v>
      </c>
      <c r="F27">
        <v>3.12</v>
      </c>
      <c r="G27" s="217">
        <f t="shared" si="0"/>
        <v>26</v>
      </c>
      <c r="H27" s="218" t="s">
        <v>198</v>
      </c>
    </row>
    <row r="28" spans="1:12" x14ac:dyDescent="0.4">
      <c r="A28" s="13" t="s">
        <v>125</v>
      </c>
      <c r="B28" s="20">
        <v>6.2</v>
      </c>
      <c r="C28"/>
      <c r="D28" s="41" t="s">
        <v>199</v>
      </c>
      <c r="E28" s="217">
        <f t="shared" si="0"/>
        <v>27</v>
      </c>
      <c r="F28">
        <v>3.12</v>
      </c>
      <c r="G28" s="217">
        <f t="shared" si="0"/>
        <v>27</v>
      </c>
      <c r="H28" s="218" t="s">
        <v>199</v>
      </c>
    </row>
    <row r="29" spans="1:12" x14ac:dyDescent="0.4">
      <c r="A29" s="13" t="s">
        <v>44</v>
      </c>
      <c r="B29" s="20">
        <v>5</v>
      </c>
      <c r="C29"/>
      <c r="D29" s="41" t="s">
        <v>265</v>
      </c>
      <c r="E29" s="217">
        <f t="shared" si="0"/>
        <v>28</v>
      </c>
      <c r="F29" s="6">
        <v>3.12</v>
      </c>
      <c r="G29" s="217">
        <f t="shared" si="0"/>
        <v>28</v>
      </c>
      <c r="H29" s="218" t="s">
        <v>265</v>
      </c>
    </row>
    <row r="30" spans="1:12" x14ac:dyDescent="0.4">
      <c r="A30" s="13" t="s">
        <v>74</v>
      </c>
      <c r="B30" s="20">
        <v>7</v>
      </c>
      <c r="C30"/>
      <c r="D30" s="41" t="s">
        <v>274</v>
      </c>
      <c r="E30" s="217">
        <f t="shared" si="0"/>
        <v>29</v>
      </c>
      <c r="F30" s="6">
        <v>3.12</v>
      </c>
      <c r="G30" s="217">
        <f t="shared" si="0"/>
        <v>29</v>
      </c>
      <c r="H30" s="218" t="s">
        <v>274</v>
      </c>
    </row>
    <row r="31" spans="1:12" x14ac:dyDescent="0.4">
      <c r="A31" s="13" t="s">
        <v>175</v>
      </c>
      <c r="B31" s="20">
        <v>3.14</v>
      </c>
      <c r="C31" s="216"/>
      <c r="D31" s="41" t="s">
        <v>275</v>
      </c>
      <c r="E31" s="217">
        <f t="shared" si="0"/>
        <v>30</v>
      </c>
      <c r="F31" s="6">
        <v>3.12</v>
      </c>
      <c r="G31" s="217">
        <f t="shared" si="0"/>
        <v>30</v>
      </c>
      <c r="H31" s="218" t="s">
        <v>275</v>
      </c>
    </row>
    <row r="32" spans="1:12" ht="12" customHeight="1" thickBot="1" x14ac:dyDescent="0.45">
      <c r="A32" s="18" t="s">
        <v>176</v>
      </c>
      <c r="B32" s="21">
        <v>9</v>
      </c>
      <c r="C32" s="216"/>
      <c r="D32" s="41" t="s">
        <v>276</v>
      </c>
      <c r="E32" s="217">
        <f t="shared" si="0"/>
        <v>31</v>
      </c>
      <c r="F32" s="6">
        <v>3.12</v>
      </c>
      <c r="G32" s="217">
        <f t="shared" si="0"/>
        <v>31</v>
      </c>
      <c r="H32" s="218" t="s">
        <v>276</v>
      </c>
    </row>
    <row r="33" spans="3:8" ht="12" customHeight="1" x14ac:dyDescent="0.4">
      <c r="C33"/>
      <c r="D33" s="41" t="s">
        <v>277</v>
      </c>
      <c r="E33" s="217">
        <f t="shared" si="0"/>
        <v>32</v>
      </c>
      <c r="F33" s="6">
        <v>3.12</v>
      </c>
      <c r="G33" s="217">
        <f t="shared" si="0"/>
        <v>32</v>
      </c>
      <c r="H33" s="218" t="s">
        <v>277</v>
      </c>
    </row>
    <row r="34" spans="3:8" ht="12" customHeight="1" x14ac:dyDescent="0.4">
      <c r="C34"/>
      <c r="D34" s="41" t="s">
        <v>278</v>
      </c>
      <c r="E34" s="217">
        <f t="shared" si="0"/>
        <v>33</v>
      </c>
      <c r="F34" s="6">
        <v>3.12</v>
      </c>
      <c r="G34" s="217">
        <f t="shared" si="0"/>
        <v>33</v>
      </c>
      <c r="H34" s="218" t="s">
        <v>278</v>
      </c>
    </row>
    <row r="35" spans="3:8" x14ac:dyDescent="0.4">
      <c r="C35"/>
      <c r="D35" s="41" t="s">
        <v>279</v>
      </c>
      <c r="E35" s="217">
        <f t="shared" si="0"/>
        <v>34</v>
      </c>
      <c r="F35">
        <v>3.12</v>
      </c>
      <c r="G35" s="217">
        <f t="shared" si="0"/>
        <v>34</v>
      </c>
      <c r="H35" s="218" t="s">
        <v>279</v>
      </c>
    </row>
    <row r="36" spans="3:8" ht="12" customHeight="1" x14ac:dyDescent="0.4">
      <c r="C36"/>
      <c r="D36" s="41" t="s">
        <v>200</v>
      </c>
      <c r="E36" s="217">
        <f t="shared" si="0"/>
        <v>35</v>
      </c>
      <c r="F36" s="216">
        <v>3.12</v>
      </c>
      <c r="G36" s="217">
        <f t="shared" si="0"/>
        <v>35</v>
      </c>
      <c r="H36" s="218" t="s">
        <v>200</v>
      </c>
    </row>
    <row r="37" spans="3:8" x14ac:dyDescent="0.4">
      <c r="C37"/>
      <c r="D37" s="41" t="s">
        <v>201</v>
      </c>
      <c r="E37" s="217">
        <f t="shared" si="0"/>
        <v>36</v>
      </c>
      <c r="F37">
        <v>3.12</v>
      </c>
      <c r="G37" s="217">
        <f t="shared" si="0"/>
        <v>36</v>
      </c>
      <c r="H37" s="218" t="s">
        <v>201</v>
      </c>
    </row>
    <row r="38" spans="3:8" x14ac:dyDescent="0.4">
      <c r="C38"/>
      <c r="D38" s="41" t="s">
        <v>202</v>
      </c>
      <c r="E38" s="217">
        <f t="shared" si="0"/>
        <v>37</v>
      </c>
      <c r="F38">
        <v>3.12</v>
      </c>
      <c r="G38" s="217">
        <f t="shared" si="0"/>
        <v>37</v>
      </c>
      <c r="H38" s="218" t="s">
        <v>202</v>
      </c>
    </row>
    <row r="39" spans="3:8" x14ac:dyDescent="0.4">
      <c r="C39"/>
      <c r="D39" s="41" t="s">
        <v>203</v>
      </c>
      <c r="E39" s="217">
        <f t="shared" si="0"/>
        <v>38</v>
      </c>
      <c r="F39">
        <v>3.12</v>
      </c>
      <c r="G39" s="217">
        <f t="shared" si="0"/>
        <v>38</v>
      </c>
      <c r="H39" s="218" t="s">
        <v>203</v>
      </c>
    </row>
    <row r="40" spans="3:8" x14ac:dyDescent="0.4">
      <c r="C40"/>
      <c r="D40" s="41" t="s">
        <v>204</v>
      </c>
      <c r="E40" s="217">
        <f t="shared" si="0"/>
        <v>39</v>
      </c>
      <c r="F40">
        <v>3.12</v>
      </c>
      <c r="G40" s="217">
        <f t="shared" si="0"/>
        <v>39</v>
      </c>
      <c r="H40" s="218" t="s">
        <v>204</v>
      </c>
    </row>
    <row r="41" spans="3:8" x14ac:dyDescent="0.4">
      <c r="C41"/>
      <c r="D41" s="41" t="s">
        <v>205</v>
      </c>
      <c r="E41" s="217">
        <f t="shared" si="0"/>
        <v>40</v>
      </c>
      <c r="F41">
        <v>3.12</v>
      </c>
      <c r="G41" s="217">
        <f t="shared" si="0"/>
        <v>40</v>
      </c>
      <c r="H41" s="218" t="s">
        <v>205</v>
      </c>
    </row>
    <row r="42" spans="3:8" x14ac:dyDescent="0.4">
      <c r="C42"/>
      <c r="D42" s="41" t="s">
        <v>206</v>
      </c>
      <c r="E42" s="217">
        <f t="shared" si="0"/>
        <v>41</v>
      </c>
      <c r="F42">
        <v>3.12</v>
      </c>
      <c r="G42" s="217">
        <f t="shared" si="0"/>
        <v>41</v>
      </c>
      <c r="H42" s="218" t="s">
        <v>206</v>
      </c>
    </row>
    <row r="43" spans="3:8" x14ac:dyDescent="0.4">
      <c r="C43"/>
      <c r="D43" s="41" t="s">
        <v>207</v>
      </c>
      <c r="E43" s="217">
        <f t="shared" si="0"/>
        <v>42</v>
      </c>
      <c r="F43">
        <v>3.12</v>
      </c>
      <c r="G43" s="217">
        <f t="shared" si="0"/>
        <v>42</v>
      </c>
      <c r="H43" s="218" t="s">
        <v>207</v>
      </c>
    </row>
    <row r="44" spans="3:8" x14ac:dyDescent="0.4">
      <c r="C44"/>
      <c r="D44" s="41" t="s">
        <v>208</v>
      </c>
      <c r="E44" s="217">
        <f t="shared" si="0"/>
        <v>43</v>
      </c>
      <c r="F44">
        <v>3.12</v>
      </c>
      <c r="G44" s="217">
        <f t="shared" si="0"/>
        <v>43</v>
      </c>
      <c r="H44" s="218" t="s">
        <v>208</v>
      </c>
    </row>
    <row r="45" spans="3:8" x14ac:dyDescent="0.4">
      <c r="C45"/>
      <c r="D45" s="41" t="s">
        <v>209</v>
      </c>
      <c r="E45" s="217">
        <f t="shared" si="0"/>
        <v>44</v>
      </c>
      <c r="F45">
        <v>3.12</v>
      </c>
      <c r="G45" s="217">
        <f t="shared" si="0"/>
        <v>44</v>
      </c>
      <c r="H45" s="218" t="s">
        <v>209</v>
      </c>
    </row>
    <row r="46" spans="3:8" x14ac:dyDescent="0.4">
      <c r="C46"/>
      <c r="D46" s="41" t="s">
        <v>210</v>
      </c>
      <c r="E46" s="217">
        <f t="shared" si="0"/>
        <v>45</v>
      </c>
      <c r="F46">
        <v>3.12</v>
      </c>
      <c r="G46" s="217">
        <f t="shared" si="0"/>
        <v>45</v>
      </c>
      <c r="H46" s="218" t="s">
        <v>210</v>
      </c>
    </row>
    <row r="47" spans="3:8" x14ac:dyDescent="0.4">
      <c r="C47"/>
      <c r="D47" s="41" t="s">
        <v>211</v>
      </c>
      <c r="E47" s="217">
        <f t="shared" si="0"/>
        <v>46</v>
      </c>
      <c r="F47">
        <v>3.12</v>
      </c>
      <c r="G47" s="217">
        <f t="shared" si="0"/>
        <v>46</v>
      </c>
      <c r="H47" s="218" t="s">
        <v>211</v>
      </c>
    </row>
    <row r="48" spans="3:8" x14ac:dyDescent="0.4">
      <c r="C48"/>
      <c r="D48" s="41" t="s">
        <v>212</v>
      </c>
      <c r="E48" s="217">
        <f t="shared" si="0"/>
        <v>47</v>
      </c>
      <c r="F48">
        <v>3.12</v>
      </c>
      <c r="G48" s="217">
        <f t="shared" si="0"/>
        <v>47</v>
      </c>
      <c r="H48" s="218" t="s">
        <v>212</v>
      </c>
    </row>
    <row r="49" spans="3:8" ht="12" customHeight="1" x14ac:dyDescent="0.4">
      <c r="C49"/>
      <c r="D49" s="41" t="s">
        <v>213</v>
      </c>
      <c r="E49" s="217">
        <f t="shared" si="0"/>
        <v>48</v>
      </c>
      <c r="F49">
        <v>3.12</v>
      </c>
      <c r="G49" s="217">
        <f t="shared" si="0"/>
        <v>48</v>
      </c>
      <c r="H49" s="218" t="s">
        <v>213</v>
      </c>
    </row>
    <row r="50" spans="3:8" x14ac:dyDescent="0.4">
      <c r="C50"/>
      <c r="D50" s="41" t="s">
        <v>214</v>
      </c>
      <c r="E50" s="217">
        <f t="shared" si="0"/>
        <v>49</v>
      </c>
      <c r="F50">
        <v>3.12</v>
      </c>
      <c r="G50" s="217">
        <f t="shared" si="0"/>
        <v>49</v>
      </c>
      <c r="H50" s="218" t="s">
        <v>214</v>
      </c>
    </row>
    <row r="51" spans="3:8" ht="12" customHeight="1" x14ac:dyDescent="0.4">
      <c r="C51"/>
      <c r="D51" s="41" t="s">
        <v>215</v>
      </c>
      <c r="E51" s="217">
        <f t="shared" si="0"/>
        <v>50</v>
      </c>
      <c r="F51">
        <v>3.12</v>
      </c>
      <c r="G51" s="217">
        <f t="shared" si="0"/>
        <v>50</v>
      </c>
      <c r="H51" s="218" t="s">
        <v>215</v>
      </c>
    </row>
    <row r="52" spans="3:8" x14ac:dyDescent="0.4">
      <c r="C52"/>
      <c r="D52" s="41" t="s">
        <v>216</v>
      </c>
      <c r="E52" s="217">
        <f t="shared" si="0"/>
        <v>51</v>
      </c>
      <c r="F52">
        <v>3.22</v>
      </c>
      <c r="G52" s="217">
        <f t="shared" si="0"/>
        <v>51</v>
      </c>
      <c r="H52" s="218" t="s">
        <v>216</v>
      </c>
    </row>
    <row r="53" spans="3:8" ht="12" customHeight="1" x14ac:dyDescent="0.4">
      <c r="C53"/>
      <c r="D53" s="41" t="s">
        <v>217</v>
      </c>
      <c r="E53" s="217">
        <f t="shared" si="0"/>
        <v>52</v>
      </c>
      <c r="F53">
        <v>3.22</v>
      </c>
      <c r="G53" s="217">
        <f t="shared" si="0"/>
        <v>52</v>
      </c>
      <c r="H53" s="218" t="s">
        <v>217</v>
      </c>
    </row>
    <row r="54" spans="3:8" ht="12" customHeight="1" x14ac:dyDescent="0.4">
      <c r="C54"/>
      <c r="D54" s="41" t="s">
        <v>218</v>
      </c>
      <c r="E54" s="217">
        <f t="shared" si="0"/>
        <v>53</v>
      </c>
      <c r="F54">
        <v>3.22</v>
      </c>
      <c r="G54" s="217">
        <f t="shared" si="0"/>
        <v>53</v>
      </c>
      <c r="H54" s="218" t="s">
        <v>218</v>
      </c>
    </row>
    <row r="55" spans="3:8" x14ac:dyDescent="0.4">
      <c r="C55"/>
      <c r="D55" s="41" t="s">
        <v>219</v>
      </c>
      <c r="E55" s="217">
        <f t="shared" si="0"/>
        <v>54</v>
      </c>
      <c r="F55">
        <v>3.12</v>
      </c>
      <c r="G55" s="217">
        <f t="shared" si="0"/>
        <v>54</v>
      </c>
      <c r="H55" s="218" t="s">
        <v>219</v>
      </c>
    </row>
    <row r="56" spans="3:8" x14ac:dyDescent="0.4">
      <c r="C56"/>
      <c r="D56" s="41" t="s">
        <v>220</v>
      </c>
      <c r="E56" s="217">
        <f t="shared" si="0"/>
        <v>55</v>
      </c>
      <c r="F56">
        <v>3.22</v>
      </c>
      <c r="G56" s="217">
        <f t="shared" si="0"/>
        <v>55</v>
      </c>
      <c r="H56" s="218" t="s">
        <v>220</v>
      </c>
    </row>
    <row r="57" spans="3:8" x14ac:dyDescent="0.4">
      <c r="C57"/>
      <c r="D57" s="41" t="s">
        <v>221</v>
      </c>
      <c r="E57" s="217">
        <f t="shared" si="0"/>
        <v>56</v>
      </c>
      <c r="F57">
        <v>3.22</v>
      </c>
      <c r="G57" s="217">
        <f t="shared" si="0"/>
        <v>56</v>
      </c>
      <c r="H57" s="218" t="s">
        <v>221</v>
      </c>
    </row>
    <row r="58" spans="3:8" x14ac:dyDescent="0.4">
      <c r="C58"/>
      <c r="D58" s="41" t="s">
        <v>222</v>
      </c>
      <c r="E58" s="217">
        <f t="shared" si="0"/>
        <v>57</v>
      </c>
      <c r="F58">
        <v>3.22</v>
      </c>
      <c r="G58" s="217">
        <f t="shared" si="0"/>
        <v>57</v>
      </c>
      <c r="H58" s="218" t="s">
        <v>222</v>
      </c>
    </row>
    <row r="59" spans="3:8" x14ac:dyDescent="0.4">
      <c r="C59"/>
      <c r="D59" s="41" t="s">
        <v>223</v>
      </c>
      <c r="E59" s="217">
        <f t="shared" si="0"/>
        <v>58</v>
      </c>
      <c r="F59">
        <v>3.12</v>
      </c>
      <c r="G59" s="217">
        <f t="shared" si="0"/>
        <v>58</v>
      </c>
      <c r="H59" s="218" t="s">
        <v>223</v>
      </c>
    </row>
    <row r="60" spans="3:8" x14ac:dyDescent="0.4">
      <c r="C60"/>
      <c r="D60" s="41" t="s">
        <v>224</v>
      </c>
      <c r="E60" s="217">
        <f t="shared" si="0"/>
        <v>59</v>
      </c>
      <c r="F60">
        <v>3.12</v>
      </c>
      <c r="G60" s="217">
        <f t="shared" si="0"/>
        <v>59</v>
      </c>
      <c r="H60" s="218" t="s">
        <v>224</v>
      </c>
    </row>
    <row r="61" spans="3:8" x14ac:dyDescent="0.4">
      <c r="C61"/>
      <c r="D61" s="41" t="s">
        <v>225</v>
      </c>
      <c r="E61" s="217">
        <f t="shared" si="0"/>
        <v>60</v>
      </c>
      <c r="F61">
        <v>3.12</v>
      </c>
      <c r="G61" s="217">
        <f t="shared" si="0"/>
        <v>60</v>
      </c>
      <c r="H61" s="218" t="s">
        <v>225</v>
      </c>
    </row>
    <row r="62" spans="3:8" x14ac:dyDescent="0.4">
      <c r="C62"/>
      <c r="D62" s="41" t="s">
        <v>226</v>
      </c>
      <c r="E62" s="217">
        <f t="shared" si="0"/>
        <v>61</v>
      </c>
      <c r="F62">
        <v>3.21</v>
      </c>
      <c r="G62" s="217">
        <f t="shared" si="0"/>
        <v>61</v>
      </c>
      <c r="H62" s="218" t="s">
        <v>226</v>
      </c>
    </row>
    <row r="63" spans="3:8" x14ac:dyDescent="0.4">
      <c r="C63"/>
      <c r="D63" s="41" t="s">
        <v>227</v>
      </c>
      <c r="E63" s="217">
        <f t="shared" si="0"/>
        <v>62</v>
      </c>
      <c r="F63">
        <v>3.21</v>
      </c>
      <c r="G63" s="217">
        <f t="shared" si="0"/>
        <v>62</v>
      </c>
      <c r="H63" s="218" t="s">
        <v>227</v>
      </c>
    </row>
    <row r="64" spans="3:8" x14ac:dyDescent="0.4">
      <c r="C64"/>
      <c r="D64" s="41" t="s">
        <v>228</v>
      </c>
      <c r="E64" s="217">
        <f t="shared" si="0"/>
        <v>63</v>
      </c>
      <c r="F64">
        <v>3.21</v>
      </c>
      <c r="G64" s="217">
        <f t="shared" si="0"/>
        <v>63</v>
      </c>
      <c r="H64" s="218" t="s">
        <v>228</v>
      </c>
    </row>
    <row r="65" spans="3:8" x14ac:dyDescent="0.4">
      <c r="C65"/>
      <c r="D65" s="41" t="s">
        <v>229</v>
      </c>
      <c r="E65" s="217">
        <f t="shared" si="0"/>
        <v>64</v>
      </c>
      <c r="F65">
        <v>3.21</v>
      </c>
      <c r="G65" s="217">
        <f t="shared" si="0"/>
        <v>64</v>
      </c>
      <c r="H65" s="218" t="s">
        <v>229</v>
      </c>
    </row>
    <row r="66" spans="3:8" x14ac:dyDescent="0.4">
      <c r="C66"/>
      <c r="D66" s="41" t="s">
        <v>230</v>
      </c>
      <c r="E66" s="217">
        <f t="shared" si="0"/>
        <v>65</v>
      </c>
      <c r="F66">
        <v>3.21</v>
      </c>
      <c r="G66" s="217">
        <f t="shared" si="0"/>
        <v>65</v>
      </c>
      <c r="H66" s="218" t="s">
        <v>230</v>
      </c>
    </row>
    <row r="67" spans="3:8" x14ac:dyDescent="0.4">
      <c r="C67"/>
      <c r="D67" s="41" t="s">
        <v>231</v>
      </c>
      <c r="E67" s="217">
        <f t="shared" si="0"/>
        <v>66</v>
      </c>
      <c r="F67">
        <v>3.21</v>
      </c>
      <c r="G67" s="217">
        <f t="shared" si="0"/>
        <v>66</v>
      </c>
      <c r="H67" s="218" t="s">
        <v>231</v>
      </c>
    </row>
    <row r="68" spans="3:8" x14ac:dyDescent="0.4">
      <c r="C68"/>
      <c r="D68" s="41" t="s">
        <v>232</v>
      </c>
      <c r="E68" s="217">
        <f t="shared" ref="E68:G105" si="1">E67+1</f>
        <v>67</v>
      </c>
      <c r="F68">
        <v>3.21</v>
      </c>
      <c r="G68" s="217">
        <f t="shared" si="1"/>
        <v>67</v>
      </c>
      <c r="H68" s="218" t="s">
        <v>232</v>
      </c>
    </row>
    <row r="69" spans="3:8" x14ac:dyDescent="0.4">
      <c r="C69"/>
      <c r="D69" s="41" t="s">
        <v>233</v>
      </c>
      <c r="E69" s="217">
        <f t="shared" si="1"/>
        <v>68</v>
      </c>
      <c r="F69">
        <v>3.21</v>
      </c>
      <c r="G69" s="217">
        <f t="shared" si="1"/>
        <v>68</v>
      </c>
      <c r="H69" s="218" t="s">
        <v>233</v>
      </c>
    </row>
    <row r="70" spans="3:8" x14ac:dyDescent="0.4">
      <c r="C70"/>
      <c r="D70" s="41" t="s">
        <v>234</v>
      </c>
      <c r="E70" s="217">
        <f t="shared" si="1"/>
        <v>69</v>
      </c>
      <c r="F70">
        <v>3.21</v>
      </c>
      <c r="G70" s="217">
        <f t="shared" si="1"/>
        <v>69</v>
      </c>
      <c r="H70" s="218" t="s">
        <v>234</v>
      </c>
    </row>
    <row r="71" spans="3:8" x14ac:dyDescent="0.4">
      <c r="C71"/>
      <c r="D71" s="41" t="s">
        <v>235</v>
      </c>
      <c r="E71" s="217">
        <f t="shared" si="1"/>
        <v>70</v>
      </c>
      <c r="F71">
        <v>3.21</v>
      </c>
      <c r="G71" s="217">
        <f t="shared" si="1"/>
        <v>70</v>
      </c>
      <c r="H71" s="218" t="s">
        <v>235</v>
      </c>
    </row>
    <row r="72" spans="3:8" x14ac:dyDescent="0.4">
      <c r="C72"/>
      <c r="D72" s="41" t="s">
        <v>236</v>
      </c>
      <c r="E72" s="217">
        <f t="shared" si="1"/>
        <v>71</v>
      </c>
      <c r="F72">
        <v>3.21</v>
      </c>
      <c r="G72" s="217">
        <f t="shared" si="1"/>
        <v>71</v>
      </c>
      <c r="H72" s="218" t="s">
        <v>236</v>
      </c>
    </row>
    <row r="73" spans="3:8" x14ac:dyDescent="0.4">
      <c r="C73"/>
      <c r="D73" s="41" t="s">
        <v>237</v>
      </c>
      <c r="E73" s="217">
        <f t="shared" si="1"/>
        <v>72</v>
      </c>
      <c r="F73">
        <v>3.12</v>
      </c>
      <c r="G73" s="217">
        <f t="shared" si="1"/>
        <v>72</v>
      </c>
      <c r="H73" s="218" t="s">
        <v>237</v>
      </c>
    </row>
    <row r="74" spans="3:8" x14ac:dyDescent="0.4">
      <c r="C74"/>
      <c r="D74" s="41" t="s">
        <v>238</v>
      </c>
      <c r="E74" s="217">
        <f t="shared" si="1"/>
        <v>73</v>
      </c>
      <c r="F74">
        <v>3.12</v>
      </c>
      <c r="G74" s="217">
        <f t="shared" si="1"/>
        <v>73</v>
      </c>
      <c r="H74" s="218" t="s">
        <v>238</v>
      </c>
    </row>
    <row r="75" spans="3:8" x14ac:dyDescent="0.4">
      <c r="C75"/>
      <c r="D75" s="41" t="s">
        <v>239</v>
      </c>
      <c r="E75" s="217">
        <f t="shared" si="1"/>
        <v>74</v>
      </c>
      <c r="F75">
        <v>3.12</v>
      </c>
      <c r="G75" s="217">
        <f t="shared" si="1"/>
        <v>74</v>
      </c>
      <c r="H75" s="218" t="s">
        <v>239</v>
      </c>
    </row>
    <row r="76" spans="3:8" x14ac:dyDescent="0.4">
      <c r="C76"/>
      <c r="D76" s="41" t="s">
        <v>240</v>
      </c>
      <c r="E76" s="217">
        <f t="shared" si="1"/>
        <v>75</v>
      </c>
      <c r="F76">
        <v>3.12</v>
      </c>
      <c r="G76" s="217">
        <f t="shared" si="1"/>
        <v>75</v>
      </c>
      <c r="H76" s="218" t="s">
        <v>240</v>
      </c>
    </row>
    <row r="77" spans="3:8" x14ac:dyDescent="0.4">
      <c r="C77"/>
      <c r="D77" s="41" t="s">
        <v>241</v>
      </c>
      <c r="E77" s="217">
        <f t="shared" si="1"/>
        <v>76</v>
      </c>
      <c r="F77">
        <v>3.12</v>
      </c>
      <c r="G77" s="217">
        <f t="shared" si="1"/>
        <v>76</v>
      </c>
      <c r="H77" s="218" t="s">
        <v>241</v>
      </c>
    </row>
    <row r="78" spans="3:8" x14ac:dyDescent="0.4">
      <c r="C78"/>
      <c r="D78" s="41" t="s">
        <v>242</v>
      </c>
      <c r="E78" s="217">
        <f t="shared" si="1"/>
        <v>77</v>
      </c>
      <c r="F78">
        <v>3.12</v>
      </c>
      <c r="G78" s="217">
        <f t="shared" si="1"/>
        <v>77</v>
      </c>
      <c r="H78" s="218" t="s">
        <v>242</v>
      </c>
    </row>
    <row r="79" spans="3:8" x14ac:dyDescent="0.4">
      <c r="C79"/>
      <c r="D79" s="41" t="s">
        <v>243</v>
      </c>
      <c r="E79" s="217">
        <f t="shared" si="1"/>
        <v>78</v>
      </c>
      <c r="F79">
        <v>3.12</v>
      </c>
      <c r="G79" s="217">
        <f t="shared" si="1"/>
        <v>78</v>
      </c>
      <c r="H79" s="218" t="s">
        <v>243</v>
      </c>
    </row>
    <row r="80" spans="3:8" x14ac:dyDescent="0.4">
      <c r="C80"/>
      <c r="D80" s="41" t="s">
        <v>244</v>
      </c>
      <c r="E80" s="217">
        <f t="shared" si="1"/>
        <v>79</v>
      </c>
      <c r="F80">
        <v>3.12</v>
      </c>
      <c r="G80" s="217">
        <f t="shared" si="1"/>
        <v>79</v>
      </c>
      <c r="H80" s="218" t="s">
        <v>244</v>
      </c>
    </row>
    <row r="81" spans="3:9" x14ac:dyDescent="0.4">
      <c r="C81"/>
      <c r="D81" s="41" t="s">
        <v>245</v>
      </c>
      <c r="E81" s="217">
        <f t="shared" si="1"/>
        <v>80</v>
      </c>
      <c r="F81">
        <v>3.12</v>
      </c>
      <c r="G81" s="217">
        <f t="shared" si="1"/>
        <v>80</v>
      </c>
      <c r="H81" s="218" t="s">
        <v>245</v>
      </c>
    </row>
    <row r="82" spans="3:9" x14ac:dyDescent="0.4">
      <c r="C82"/>
      <c r="D82" s="41" t="s">
        <v>246</v>
      </c>
      <c r="E82" s="217">
        <f t="shared" si="1"/>
        <v>81</v>
      </c>
      <c r="F82">
        <v>3.12</v>
      </c>
      <c r="G82" s="217">
        <f t="shared" si="1"/>
        <v>81</v>
      </c>
      <c r="H82" s="218" t="s">
        <v>246</v>
      </c>
    </row>
    <row r="83" spans="3:9" x14ac:dyDescent="0.4">
      <c r="C83"/>
      <c r="D83" s="41" t="s">
        <v>247</v>
      </c>
      <c r="E83" s="217">
        <f t="shared" si="1"/>
        <v>82</v>
      </c>
      <c r="F83">
        <v>3.12</v>
      </c>
      <c r="G83" s="217">
        <f t="shared" si="1"/>
        <v>82</v>
      </c>
      <c r="H83" s="218" t="s">
        <v>247</v>
      </c>
    </row>
    <row r="84" spans="3:9" x14ac:dyDescent="0.4">
      <c r="C84"/>
      <c r="D84" s="41" t="s">
        <v>280</v>
      </c>
      <c r="E84" s="217">
        <f t="shared" si="1"/>
        <v>83</v>
      </c>
      <c r="F84" s="216">
        <v>3.12</v>
      </c>
      <c r="G84" s="217">
        <f t="shared" si="1"/>
        <v>83</v>
      </c>
      <c r="H84" s="218" t="s">
        <v>280</v>
      </c>
    </row>
    <row r="85" spans="3:9" x14ac:dyDescent="0.4">
      <c r="C85"/>
      <c r="D85" s="41" t="s">
        <v>281</v>
      </c>
      <c r="E85" s="217">
        <f t="shared" si="1"/>
        <v>84</v>
      </c>
      <c r="F85">
        <v>3.12</v>
      </c>
      <c r="G85" s="217">
        <f t="shared" si="1"/>
        <v>84</v>
      </c>
      <c r="H85" s="218" t="s">
        <v>281</v>
      </c>
    </row>
    <row r="86" spans="3:9" x14ac:dyDescent="0.4">
      <c r="C86"/>
      <c r="D86" s="41" t="s">
        <v>248</v>
      </c>
      <c r="E86" s="217">
        <f t="shared" si="1"/>
        <v>85</v>
      </c>
      <c r="F86">
        <v>3.12</v>
      </c>
      <c r="G86" s="217">
        <f t="shared" si="1"/>
        <v>85</v>
      </c>
      <c r="H86" s="218" t="s">
        <v>248</v>
      </c>
    </row>
    <row r="87" spans="3:9" x14ac:dyDescent="0.4">
      <c r="C87"/>
      <c r="D87" s="41" t="s">
        <v>249</v>
      </c>
      <c r="E87" s="217">
        <f t="shared" si="1"/>
        <v>86</v>
      </c>
      <c r="F87">
        <v>3.12</v>
      </c>
      <c r="G87" s="217">
        <f t="shared" si="1"/>
        <v>86</v>
      </c>
      <c r="H87" s="218" t="s">
        <v>249</v>
      </c>
    </row>
    <row r="88" spans="3:9" x14ac:dyDescent="0.4">
      <c r="C88"/>
      <c r="D88" s="41" t="s">
        <v>282</v>
      </c>
      <c r="E88" s="217">
        <f t="shared" si="1"/>
        <v>87</v>
      </c>
      <c r="F88">
        <v>3.12</v>
      </c>
      <c r="G88" s="217">
        <f t="shared" si="1"/>
        <v>87</v>
      </c>
      <c r="H88" s="218" t="s">
        <v>282</v>
      </c>
    </row>
    <row r="89" spans="3:9" x14ac:dyDescent="0.4">
      <c r="C89"/>
      <c r="D89" s="41" t="s">
        <v>283</v>
      </c>
      <c r="E89" s="217">
        <f t="shared" si="1"/>
        <v>88</v>
      </c>
      <c r="F89" s="216">
        <v>3.12</v>
      </c>
      <c r="G89" s="217">
        <f t="shared" si="1"/>
        <v>88</v>
      </c>
      <c r="H89" s="218" t="s">
        <v>283</v>
      </c>
    </row>
    <row r="90" spans="3:9" x14ac:dyDescent="0.4">
      <c r="C90"/>
      <c r="D90" s="41" t="s">
        <v>250</v>
      </c>
      <c r="E90" s="217">
        <f t="shared" si="1"/>
        <v>89</v>
      </c>
      <c r="F90">
        <v>8</v>
      </c>
      <c r="G90" s="217">
        <f t="shared" si="1"/>
        <v>89</v>
      </c>
      <c r="H90" s="218" t="s">
        <v>250</v>
      </c>
    </row>
    <row r="91" spans="3:9" x14ac:dyDescent="0.4">
      <c r="C91"/>
      <c r="D91" s="41" t="s">
        <v>251</v>
      </c>
      <c r="E91" s="217">
        <f t="shared" si="1"/>
        <v>90</v>
      </c>
      <c r="F91">
        <v>8</v>
      </c>
      <c r="G91" s="217">
        <f t="shared" si="1"/>
        <v>90</v>
      </c>
      <c r="H91" s="218" t="s">
        <v>251</v>
      </c>
    </row>
    <row r="92" spans="3:9" x14ac:dyDescent="0.4">
      <c r="C92"/>
      <c r="D92" s="41" t="s">
        <v>252</v>
      </c>
      <c r="E92" s="217">
        <f t="shared" si="1"/>
        <v>91</v>
      </c>
      <c r="F92">
        <v>4.0999999999999996</v>
      </c>
      <c r="G92" s="217">
        <f t="shared" si="1"/>
        <v>91</v>
      </c>
      <c r="H92" s="218" t="s">
        <v>252</v>
      </c>
      <c r="I92" s="38" t="s">
        <v>157</v>
      </c>
    </row>
    <row r="93" spans="3:9" x14ac:dyDescent="0.4">
      <c r="C93"/>
      <c r="D93" s="41" t="s">
        <v>253</v>
      </c>
      <c r="E93" s="217">
        <f t="shared" si="1"/>
        <v>92</v>
      </c>
      <c r="F93">
        <v>4.2</v>
      </c>
      <c r="G93" s="217">
        <f t="shared" si="1"/>
        <v>92</v>
      </c>
      <c r="H93" s="218" t="s">
        <v>253</v>
      </c>
    </row>
    <row r="94" spans="3:9" x14ac:dyDescent="0.4">
      <c r="C94"/>
      <c r="D94" s="41" t="s">
        <v>254</v>
      </c>
      <c r="E94" s="217">
        <f t="shared" si="1"/>
        <v>93</v>
      </c>
      <c r="F94">
        <v>4.3</v>
      </c>
      <c r="G94" s="217">
        <f t="shared" si="1"/>
        <v>93</v>
      </c>
      <c r="H94" s="218" t="s">
        <v>254</v>
      </c>
      <c r="I94" s="38" t="s">
        <v>157</v>
      </c>
    </row>
    <row r="95" spans="3:9" x14ac:dyDescent="0.4">
      <c r="C95"/>
      <c r="D95" s="252" t="s">
        <v>433</v>
      </c>
      <c r="E95" s="217">
        <f t="shared" si="1"/>
        <v>94</v>
      </c>
      <c r="F95">
        <v>5</v>
      </c>
      <c r="G95" s="217">
        <f t="shared" si="1"/>
        <v>94</v>
      </c>
      <c r="H95" s="234" t="s">
        <v>433</v>
      </c>
      <c r="I95" s="38" t="s">
        <v>171</v>
      </c>
    </row>
    <row r="96" spans="3:9" x14ac:dyDescent="0.4">
      <c r="C96"/>
      <c r="D96" s="252" t="s">
        <v>434</v>
      </c>
      <c r="E96" s="217">
        <f t="shared" si="1"/>
        <v>95</v>
      </c>
      <c r="F96">
        <v>5</v>
      </c>
      <c r="G96" s="217">
        <f t="shared" si="1"/>
        <v>95</v>
      </c>
      <c r="H96" s="234" t="s">
        <v>434</v>
      </c>
      <c r="I96" s="38" t="s">
        <v>171</v>
      </c>
    </row>
    <row r="97" spans="3:9" x14ac:dyDescent="0.4">
      <c r="C97"/>
      <c r="D97" s="252" t="s">
        <v>435</v>
      </c>
      <c r="E97" s="217">
        <f t="shared" si="1"/>
        <v>96</v>
      </c>
      <c r="F97">
        <v>5</v>
      </c>
      <c r="G97" s="217">
        <f t="shared" si="1"/>
        <v>96</v>
      </c>
      <c r="H97" s="234" t="s">
        <v>435</v>
      </c>
      <c r="I97" s="38" t="s">
        <v>171</v>
      </c>
    </row>
    <row r="98" spans="3:9" x14ac:dyDescent="0.4">
      <c r="C98"/>
      <c r="D98" s="252" t="s">
        <v>436</v>
      </c>
      <c r="E98" s="217">
        <f t="shared" si="1"/>
        <v>97</v>
      </c>
      <c r="F98">
        <v>5</v>
      </c>
      <c r="G98" s="217">
        <f t="shared" si="1"/>
        <v>97</v>
      </c>
      <c r="H98" s="234" t="s">
        <v>436</v>
      </c>
      <c r="I98" s="38" t="s">
        <v>171</v>
      </c>
    </row>
    <row r="99" spans="3:9" x14ac:dyDescent="0.4">
      <c r="C99"/>
      <c r="D99" s="252" t="s">
        <v>437</v>
      </c>
      <c r="E99" s="217">
        <f t="shared" si="1"/>
        <v>98</v>
      </c>
      <c r="F99">
        <v>5</v>
      </c>
      <c r="G99" s="217">
        <f t="shared" si="1"/>
        <v>98</v>
      </c>
      <c r="H99" s="234" t="s">
        <v>437</v>
      </c>
      <c r="I99" s="38" t="s">
        <v>171</v>
      </c>
    </row>
    <row r="100" spans="3:9" x14ac:dyDescent="0.4">
      <c r="C100"/>
      <c r="D100" s="252" t="s">
        <v>438</v>
      </c>
      <c r="E100" s="217">
        <f t="shared" si="1"/>
        <v>99</v>
      </c>
      <c r="F100">
        <v>5</v>
      </c>
      <c r="G100" s="217">
        <f t="shared" si="1"/>
        <v>99</v>
      </c>
      <c r="H100" s="234" t="s">
        <v>438</v>
      </c>
      <c r="I100" s="38" t="s">
        <v>171</v>
      </c>
    </row>
    <row r="101" spans="3:9" x14ac:dyDescent="0.4">
      <c r="C101"/>
      <c r="D101" s="252" t="s">
        <v>439</v>
      </c>
      <c r="E101" s="217">
        <f t="shared" si="1"/>
        <v>100</v>
      </c>
      <c r="F101">
        <v>5</v>
      </c>
      <c r="G101" s="217">
        <f t="shared" si="1"/>
        <v>100</v>
      </c>
      <c r="H101" s="234" t="s">
        <v>439</v>
      </c>
      <c r="I101" s="38" t="s">
        <v>171</v>
      </c>
    </row>
    <row r="102" spans="3:9" ht="14.4" x14ac:dyDescent="0.4">
      <c r="C102"/>
      <c r="D102" s="253" t="s">
        <v>440</v>
      </c>
      <c r="E102" s="217">
        <f t="shared" si="1"/>
        <v>101</v>
      </c>
      <c r="F102">
        <v>5</v>
      </c>
      <c r="G102" s="217">
        <f t="shared" si="1"/>
        <v>101</v>
      </c>
      <c r="H102" s="235" t="s">
        <v>440</v>
      </c>
      <c r="I102" s="38" t="s">
        <v>171</v>
      </c>
    </row>
    <row r="103" spans="3:9" ht="14.4" x14ac:dyDescent="0.4">
      <c r="C103"/>
      <c r="D103" s="253" t="s">
        <v>264</v>
      </c>
      <c r="E103" s="217">
        <f t="shared" si="1"/>
        <v>102</v>
      </c>
      <c r="F103">
        <v>5</v>
      </c>
      <c r="G103" s="217">
        <f t="shared" si="1"/>
        <v>102</v>
      </c>
      <c r="H103" s="235" t="s">
        <v>264</v>
      </c>
      <c r="I103" s="38" t="s">
        <v>171</v>
      </c>
    </row>
    <row r="104" spans="3:9" x14ac:dyDescent="0.4">
      <c r="C104"/>
      <c r="D104" s="41" t="s">
        <v>139</v>
      </c>
      <c r="E104" s="217">
        <f t="shared" si="1"/>
        <v>103</v>
      </c>
      <c r="F104" s="216">
        <v>6.1</v>
      </c>
      <c r="G104" s="217">
        <f t="shared" si="1"/>
        <v>103</v>
      </c>
      <c r="H104" s="218" t="s">
        <v>139</v>
      </c>
      <c r="I104" s="38" t="s">
        <v>268</v>
      </c>
    </row>
    <row r="105" spans="3:9" x14ac:dyDescent="0.4">
      <c r="C105"/>
      <c r="D105" s="41" t="s">
        <v>45</v>
      </c>
      <c r="E105" s="217">
        <f t="shared" si="1"/>
        <v>104</v>
      </c>
      <c r="F105" s="216">
        <v>6.2</v>
      </c>
      <c r="G105" s="217">
        <f t="shared" si="1"/>
        <v>104</v>
      </c>
      <c r="H105" s="218" t="s">
        <v>45</v>
      </c>
      <c r="I105" s="38" t="s">
        <v>268</v>
      </c>
    </row>
    <row r="106" spans="3:9" x14ac:dyDescent="0.4">
      <c r="C106"/>
    </row>
    <row r="107" spans="3:9" x14ac:dyDescent="0.4">
      <c r="C107"/>
    </row>
    <row r="108" spans="3:9" x14ac:dyDescent="0.4">
      <c r="C108"/>
    </row>
    <row r="109" spans="3:9" x14ac:dyDescent="0.4">
      <c r="C109"/>
    </row>
    <row r="110" spans="3:9" x14ac:dyDescent="0.4">
      <c r="C110"/>
    </row>
    <row r="111" spans="3:9" x14ac:dyDescent="0.4">
      <c r="C111"/>
    </row>
    <row r="112" spans="3:9" x14ac:dyDescent="0.4">
      <c r="C112"/>
    </row>
    <row r="113" spans="3:10" x14ac:dyDescent="0.4">
      <c r="C113"/>
      <c r="J113" s="38"/>
    </row>
    <row r="114" spans="3:10" x14ac:dyDescent="0.4">
      <c r="C114"/>
      <c r="J114" s="38"/>
    </row>
    <row r="115" spans="3:10" x14ac:dyDescent="0.4">
      <c r="C115"/>
    </row>
    <row r="116" spans="3:10" x14ac:dyDescent="0.4">
      <c r="C116"/>
    </row>
    <row r="117" spans="3:10" x14ac:dyDescent="0.4">
      <c r="C117"/>
    </row>
    <row r="118" spans="3:10" x14ac:dyDescent="0.4">
      <c r="C118"/>
    </row>
    <row r="119" spans="3:10" x14ac:dyDescent="0.4">
      <c r="C119"/>
    </row>
    <row r="120" spans="3:10" x14ac:dyDescent="0.4">
      <c r="C120"/>
    </row>
    <row r="121" spans="3:10" x14ac:dyDescent="0.4">
      <c r="C121"/>
    </row>
    <row r="122" spans="3:10" x14ac:dyDescent="0.4">
      <c r="C122"/>
    </row>
    <row r="123" spans="3:10" x14ac:dyDescent="0.4">
      <c r="C123"/>
    </row>
    <row r="124" spans="3:10" x14ac:dyDescent="0.4">
      <c r="C124"/>
    </row>
    <row r="125" spans="3:10" x14ac:dyDescent="0.4">
      <c r="C125"/>
    </row>
    <row r="126" spans="3:10" x14ac:dyDescent="0.4">
      <c r="C126"/>
    </row>
    <row r="127" spans="3:10" x14ac:dyDescent="0.4">
      <c r="C127"/>
    </row>
    <row r="128" spans="3:10" x14ac:dyDescent="0.4">
      <c r="C128"/>
    </row>
    <row r="129" spans="3:3" x14ac:dyDescent="0.4">
      <c r="C129"/>
    </row>
    <row r="130" spans="3:3" x14ac:dyDescent="0.4">
      <c r="C130"/>
    </row>
    <row r="131" spans="3:3" x14ac:dyDescent="0.4">
      <c r="C131"/>
    </row>
    <row r="132" spans="3:3" x14ac:dyDescent="0.4">
      <c r="C132"/>
    </row>
    <row r="133" spans="3:3" x14ac:dyDescent="0.4">
      <c r="C133"/>
    </row>
    <row r="134" spans="3:3" x14ac:dyDescent="0.4">
      <c r="C134"/>
    </row>
    <row r="135" spans="3:3" x14ac:dyDescent="0.4">
      <c r="C135"/>
    </row>
    <row r="136" spans="3:3" x14ac:dyDescent="0.4">
      <c r="C136"/>
    </row>
    <row r="137" spans="3:3" x14ac:dyDescent="0.4">
      <c r="C137"/>
    </row>
    <row r="138" spans="3:3" x14ac:dyDescent="0.4">
      <c r="C138"/>
    </row>
    <row r="139" spans="3:3" x14ac:dyDescent="0.4">
      <c r="C139"/>
    </row>
    <row r="140" spans="3:3" x14ac:dyDescent="0.4">
      <c r="C140"/>
    </row>
    <row r="141" spans="3:3" x14ac:dyDescent="0.4">
      <c r="C141"/>
    </row>
    <row r="142" spans="3:3" x14ac:dyDescent="0.4">
      <c r="C142"/>
    </row>
    <row r="143" spans="3:3" x14ac:dyDescent="0.4">
      <c r="C143"/>
    </row>
    <row r="144" spans="3:3" x14ac:dyDescent="0.4">
      <c r="C144"/>
    </row>
    <row r="145" spans="3:3" x14ac:dyDescent="0.4">
      <c r="C145"/>
    </row>
    <row r="146" spans="3:3" x14ac:dyDescent="0.4">
      <c r="C146"/>
    </row>
    <row r="147" spans="3:3" x14ac:dyDescent="0.4">
      <c r="C147"/>
    </row>
    <row r="148" spans="3:3" x14ac:dyDescent="0.4">
      <c r="C148"/>
    </row>
    <row r="149" spans="3:3" x14ac:dyDescent="0.4">
      <c r="C149"/>
    </row>
    <row r="150" spans="3:3" x14ac:dyDescent="0.4">
      <c r="C150"/>
    </row>
    <row r="151" spans="3:3" x14ac:dyDescent="0.4">
      <c r="C151"/>
    </row>
    <row r="152" spans="3:3" x14ac:dyDescent="0.4">
      <c r="C152"/>
    </row>
    <row r="153" spans="3:3" x14ac:dyDescent="0.4">
      <c r="C153"/>
    </row>
    <row r="154" spans="3:3" x14ac:dyDescent="0.4">
      <c r="C154"/>
    </row>
    <row r="155" spans="3:3" x14ac:dyDescent="0.4">
      <c r="C155"/>
    </row>
    <row r="169" spans="3:3" x14ac:dyDescent="0.4">
      <c r="C169"/>
    </row>
    <row r="170" spans="3:3" x14ac:dyDescent="0.4">
      <c r="C170"/>
    </row>
    <row r="171" spans="3:3" x14ac:dyDescent="0.4">
      <c r="C171"/>
    </row>
    <row r="172" spans="3:3" x14ac:dyDescent="0.4">
      <c r="C172"/>
    </row>
    <row r="173" spans="3:3" x14ac:dyDescent="0.4">
      <c r="C173"/>
    </row>
    <row r="174" spans="3:3" x14ac:dyDescent="0.4">
      <c r="C174"/>
    </row>
    <row r="175" spans="3:3" x14ac:dyDescent="0.4">
      <c r="C175"/>
    </row>
    <row r="176" spans="3:3" x14ac:dyDescent="0.4">
      <c r="C176"/>
    </row>
    <row r="177" spans="3:3" x14ac:dyDescent="0.4">
      <c r="C177"/>
    </row>
    <row r="178" spans="3:3" x14ac:dyDescent="0.4">
      <c r="C178"/>
    </row>
    <row r="179" spans="3:3" x14ac:dyDescent="0.4">
      <c r="C179"/>
    </row>
    <row r="180" spans="3:3" x14ac:dyDescent="0.4">
      <c r="C180"/>
    </row>
    <row r="181" spans="3:3" x14ac:dyDescent="0.4">
      <c r="C181"/>
    </row>
    <row r="182" spans="3:3" x14ac:dyDescent="0.4">
      <c r="C182"/>
    </row>
    <row r="183" spans="3:3" x14ac:dyDescent="0.4">
      <c r="C183"/>
    </row>
    <row r="184" spans="3:3" x14ac:dyDescent="0.4">
      <c r="C184"/>
    </row>
    <row r="185" spans="3:3" x14ac:dyDescent="0.4">
      <c r="C185"/>
    </row>
    <row r="186" spans="3:3" x14ac:dyDescent="0.4">
      <c r="C186"/>
    </row>
  </sheetData>
  <pageMargins left="0.75" right="0.75" top="1" bottom="1" header="0.5" footer="0.5"/>
  <pageSetup orientation="portrait" horizontalDpi="4294967292" verticalDpi="429496729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Z152"/>
  <sheetViews>
    <sheetView workbookViewId="0">
      <pane ySplit="2" topLeftCell="A3" activePane="bottomLeft" state="frozen"/>
      <selection pane="bottomLeft" activeCell="A4" sqref="A4"/>
    </sheetView>
  </sheetViews>
  <sheetFormatPr defaultColWidth="11.5" defaultRowHeight="15" customHeight="1" x14ac:dyDescent="0.4"/>
  <cols>
    <col min="1" max="1" width="26.1640625" style="49" bestFit="1" customWidth="1"/>
    <col min="2" max="5" width="16.1640625" style="48" customWidth="1"/>
    <col min="6" max="6" width="45.6640625" style="48" bestFit="1" customWidth="1"/>
    <col min="7" max="9" width="11.5" style="48"/>
    <col min="10" max="10" width="12.1640625" style="48" bestFit="1" customWidth="1"/>
    <col min="11" max="15" width="11.5" style="48"/>
    <col min="16" max="16" width="11.5" style="42"/>
    <col min="17" max="17" width="14.83203125" style="48" customWidth="1"/>
    <col min="18" max="18" width="22.1640625" style="43" customWidth="1"/>
    <col min="19" max="23" width="11.5" style="48"/>
    <col min="27" max="16384" width="11.5" style="48"/>
  </cols>
  <sheetData>
    <row r="1" spans="1:19" ht="15" customHeight="1" thickBot="1" x14ac:dyDescent="0.45">
      <c r="F1" s="1"/>
      <c r="G1" s="40" t="s">
        <v>46</v>
      </c>
      <c r="H1" s="40" t="s">
        <v>47</v>
      </c>
      <c r="I1" s="40" t="s">
        <v>121</v>
      </c>
      <c r="J1" s="40" t="s">
        <v>133</v>
      </c>
      <c r="K1" s="73" t="s">
        <v>48</v>
      </c>
      <c r="L1" s="74"/>
      <c r="M1" s="50" t="s">
        <v>120</v>
      </c>
      <c r="N1" s="43"/>
      <c r="O1" s="73" t="s">
        <v>49</v>
      </c>
      <c r="P1" s="74"/>
      <c r="Q1" s="50" t="s">
        <v>50</v>
      </c>
      <c r="R1" s="40" t="s">
        <v>159</v>
      </c>
    </row>
    <row r="2" spans="1:19" ht="15" customHeight="1" x14ac:dyDescent="0.4">
      <c r="A2" s="50" t="s">
        <v>51</v>
      </c>
      <c r="B2" s="51">
        <v>0.5</v>
      </c>
      <c r="C2" s="49" t="s">
        <v>52</v>
      </c>
      <c r="D2" s="113" t="s">
        <v>272</v>
      </c>
      <c r="F2" s="1"/>
      <c r="G2" s="53"/>
      <c r="H2" s="53"/>
      <c r="I2" s="53" t="s">
        <v>134</v>
      </c>
      <c r="J2" s="53" t="s">
        <v>134</v>
      </c>
      <c r="K2" s="75" t="s">
        <v>52</v>
      </c>
      <c r="L2" s="75" t="s">
        <v>53</v>
      </c>
      <c r="M2" s="53" t="s">
        <v>52</v>
      </c>
      <c r="N2" s="53" t="s">
        <v>53</v>
      </c>
      <c r="O2" s="75" t="s">
        <v>52</v>
      </c>
      <c r="P2" s="75" t="s">
        <v>53</v>
      </c>
      <c r="Q2" s="53"/>
      <c r="R2" s="54" t="s">
        <v>160</v>
      </c>
    </row>
    <row r="3" spans="1:19" ht="15" customHeight="1" thickBot="1" x14ac:dyDescent="0.45">
      <c r="A3" s="50" t="s">
        <v>54</v>
      </c>
      <c r="B3" s="55">
        <v>0.5</v>
      </c>
      <c r="C3" s="49" t="s">
        <v>53</v>
      </c>
      <c r="D3" s="113" t="s">
        <v>272</v>
      </c>
      <c r="F3" s="41" t="s">
        <v>38</v>
      </c>
      <c r="G3">
        <v>0</v>
      </c>
      <c r="H3">
        <v>0</v>
      </c>
      <c r="I3">
        <v>0</v>
      </c>
      <c r="J3">
        <v>0</v>
      </c>
      <c r="K3">
        <v>0</v>
      </c>
      <c r="L3">
        <v>0</v>
      </c>
      <c r="M3">
        <v>0</v>
      </c>
      <c r="N3">
        <v>0</v>
      </c>
      <c r="O3">
        <v>0</v>
      </c>
      <c r="P3">
        <v>0</v>
      </c>
      <c r="Q3" s="77">
        <v>0</v>
      </c>
      <c r="R3" s="100">
        <v>0</v>
      </c>
      <c r="S3"/>
    </row>
    <row r="4" spans="1:19" ht="15" customHeight="1" thickBot="1" x14ac:dyDescent="0.45">
      <c r="D4"/>
      <c r="F4" s="41" t="s">
        <v>40</v>
      </c>
      <c r="G4">
        <v>0</v>
      </c>
      <c r="H4">
        <v>0</v>
      </c>
      <c r="I4">
        <v>0</v>
      </c>
      <c r="J4">
        <v>0</v>
      </c>
      <c r="K4">
        <v>0</v>
      </c>
      <c r="L4">
        <v>0</v>
      </c>
      <c r="M4">
        <v>0</v>
      </c>
      <c r="N4">
        <v>0</v>
      </c>
      <c r="O4">
        <v>0</v>
      </c>
      <c r="P4">
        <v>0</v>
      </c>
      <c r="Q4" s="77">
        <v>0</v>
      </c>
      <c r="R4" s="101">
        <v>0</v>
      </c>
      <c r="S4"/>
    </row>
    <row r="5" spans="1:19" ht="15" customHeight="1" x14ac:dyDescent="0.4">
      <c r="A5" s="50" t="s">
        <v>55</v>
      </c>
      <c r="B5" s="56">
        <v>0</v>
      </c>
      <c r="C5" s="49" t="s">
        <v>52</v>
      </c>
      <c r="D5" s="113" t="s">
        <v>272</v>
      </c>
      <c r="F5" s="41" t="s">
        <v>41</v>
      </c>
      <c r="G5">
        <v>0</v>
      </c>
      <c r="H5">
        <v>0</v>
      </c>
      <c r="I5">
        <v>0</v>
      </c>
      <c r="J5">
        <v>0</v>
      </c>
      <c r="K5">
        <v>0</v>
      </c>
      <c r="L5">
        <v>0</v>
      </c>
      <c r="M5">
        <v>0</v>
      </c>
      <c r="N5">
        <v>0</v>
      </c>
      <c r="O5">
        <v>0</v>
      </c>
      <c r="P5">
        <v>0</v>
      </c>
      <c r="Q5" s="77">
        <v>0</v>
      </c>
      <c r="R5" s="101">
        <v>0</v>
      </c>
      <c r="S5"/>
    </row>
    <row r="6" spans="1:19" ht="15" customHeight="1" thickBot="1" x14ac:dyDescent="0.45">
      <c r="A6" s="50"/>
      <c r="B6" s="57">
        <v>0</v>
      </c>
      <c r="C6" s="49" t="s">
        <v>53</v>
      </c>
      <c r="D6" s="113" t="s">
        <v>272</v>
      </c>
      <c r="F6" s="41" t="s">
        <v>177</v>
      </c>
      <c r="G6">
        <v>0</v>
      </c>
      <c r="H6">
        <v>0</v>
      </c>
      <c r="I6">
        <v>0</v>
      </c>
      <c r="J6">
        <v>0</v>
      </c>
      <c r="K6">
        <v>0</v>
      </c>
      <c r="L6">
        <v>0</v>
      </c>
      <c r="M6">
        <v>0</v>
      </c>
      <c r="N6">
        <v>1</v>
      </c>
      <c r="O6">
        <v>1</v>
      </c>
      <c r="P6">
        <v>0</v>
      </c>
      <c r="Q6" s="77">
        <v>0</v>
      </c>
      <c r="R6" s="101">
        <v>0</v>
      </c>
      <c r="S6"/>
    </row>
    <row r="7" spans="1:19" ht="15" customHeight="1" thickBot="1" x14ac:dyDescent="0.45">
      <c r="F7" s="41" t="s">
        <v>178</v>
      </c>
      <c r="G7">
        <v>0</v>
      </c>
      <c r="H7">
        <v>0</v>
      </c>
      <c r="I7">
        <v>0</v>
      </c>
      <c r="J7">
        <v>0</v>
      </c>
      <c r="K7">
        <v>0</v>
      </c>
      <c r="L7">
        <v>0</v>
      </c>
      <c r="M7">
        <v>1</v>
      </c>
      <c r="N7">
        <v>0</v>
      </c>
      <c r="O7">
        <v>1</v>
      </c>
      <c r="P7">
        <v>0</v>
      </c>
      <c r="Q7" s="77">
        <v>0</v>
      </c>
      <c r="R7" s="101">
        <v>0</v>
      </c>
      <c r="S7"/>
    </row>
    <row r="8" spans="1:19" ht="15" customHeight="1" x14ac:dyDescent="0.4">
      <c r="A8" s="50" t="s">
        <v>56</v>
      </c>
      <c r="B8" s="56">
        <f>E32</f>
        <v>0.88015284968176033</v>
      </c>
      <c r="C8" s="7" t="s">
        <v>177</v>
      </c>
      <c r="D8" s="52" t="s">
        <v>166</v>
      </c>
      <c r="F8" s="41" t="s">
        <v>179</v>
      </c>
      <c r="G8">
        <v>0</v>
      </c>
      <c r="H8">
        <v>0</v>
      </c>
      <c r="I8">
        <v>0</v>
      </c>
      <c r="J8">
        <v>0</v>
      </c>
      <c r="K8">
        <v>1</v>
      </c>
      <c r="L8">
        <v>0</v>
      </c>
      <c r="M8">
        <v>1</v>
      </c>
      <c r="N8">
        <v>0</v>
      </c>
      <c r="O8">
        <v>1</v>
      </c>
      <c r="P8">
        <v>0</v>
      </c>
      <c r="Q8" s="77">
        <v>0</v>
      </c>
      <c r="R8" s="101">
        <v>0</v>
      </c>
      <c r="S8"/>
    </row>
    <row r="9" spans="1:19" ht="15" customHeight="1" x14ac:dyDescent="0.4">
      <c r="A9" s="50"/>
      <c r="B9" s="58">
        <f>E33</f>
        <v>0.11984715031823961</v>
      </c>
      <c r="C9" s="7" t="s">
        <v>178</v>
      </c>
      <c r="D9"/>
      <c r="F9" s="41" t="s">
        <v>180</v>
      </c>
      <c r="G9">
        <v>0</v>
      </c>
      <c r="H9">
        <v>0</v>
      </c>
      <c r="I9">
        <v>0</v>
      </c>
      <c r="J9">
        <v>0</v>
      </c>
      <c r="K9">
        <v>0</v>
      </c>
      <c r="L9">
        <v>1</v>
      </c>
      <c r="M9">
        <v>0</v>
      </c>
      <c r="N9">
        <v>1</v>
      </c>
      <c r="O9">
        <v>0.5</v>
      </c>
      <c r="P9">
        <v>0.5</v>
      </c>
      <c r="Q9" s="77">
        <v>0</v>
      </c>
      <c r="R9" s="101">
        <v>0.25</v>
      </c>
      <c r="S9"/>
    </row>
    <row r="10" spans="1:19" ht="15" customHeight="1" x14ac:dyDescent="0.4">
      <c r="B10" s="58"/>
      <c r="C10"/>
      <c r="D10"/>
      <c r="F10" s="41" t="s">
        <v>181</v>
      </c>
      <c r="G10">
        <v>0</v>
      </c>
      <c r="H10">
        <v>0</v>
      </c>
      <c r="I10">
        <v>0</v>
      </c>
      <c r="J10">
        <v>0</v>
      </c>
      <c r="K10">
        <v>0</v>
      </c>
      <c r="L10">
        <v>1</v>
      </c>
      <c r="M10">
        <v>0</v>
      </c>
      <c r="N10">
        <v>1</v>
      </c>
      <c r="O10">
        <v>0.5</v>
      </c>
      <c r="P10">
        <v>0.5</v>
      </c>
      <c r="Q10" s="77">
        <v>0</v>
      </c>
      <c r="R10" s="101">
        <v>0.25</v>
      </c>
      <c r="S10"/>
    </row>
    <row r="11" spans="1:19" ht="15" customHeight="1" x14ac:dyDescent="0.4">
      <c r="A11" s="50"/>
      <c r="B11" s="58"/>
      <c r="C11"/>
      <c r="D11"/>
      <c r="F11" s="41" t="s">
        <v>182</v>
      </c>
      <c r="G11">
        <v>0</v>
      </c>
      <c r="H11">
        <v>0</v>
      </c>
      <c r="I11">
        <v>0</v>
      </c>
      <c r="J11">
        <v>0</v>
      </c>
      <c r="K11">
        <v>0</v>
      </c>
      <c r="L11">
        <v>1</v>
      </c>
      <c r="M11">
        <v>0</v>
      </c>
      <c r="N11">
        <v>1</v>
      </c>
      <c r="O11">
        <v>0.5</v>
      </c>
      <c r="P11">
        <v>0.5</v>
      </c>
      <c r="Q11" s="77">
        <v>0</v>
      </c>
      <c r="R11" s="101">
        <v>0.25</v>
      </c>
      <c r="S11"/>
    </row>
    <row r="12" spans="1:19" ht="15" customHeight="1" x14ac:dyDescent="0.4">
      <c r="B12" s="58"/>
      <c r="C12"/>
      <c r="D12"/>
      <c r="F12" s="41" t="s">
        <v>183</v>
      </c>
      <c r="G12">
        <v>0</v>
      </c>
      <c r="H12">
        <v>0</v>
      </c>
      <c r="I12">
        <v>0</v>
      </c>
      <c r="J12">
        <v>0</v>
      </c>
      <c r="K12">
        <v>0</v>
      </c>
      <c r="L12">
        <v>1</v>
      </c>
      <c r="M12">
        <v>0</v>
      </c>
      <c r="N12">
        <v>1</v>
      </c>
      <c r="O12">
        <v>0.5</v>
      </c>
      <c r="P12">
        <v>0.5</v>
      </c>
      <c r="Q12" s="77">
        <v>0</v>
      </c>
      <c r="R12" s="101">
        <v>0.25</v>
      </c>
      <c r="S12"/>
    </row>
    <row r="13" spans="1:19" ht="15" customHeight="1" x14ac:dyDescent="0.4">
      <c r="B13" s="58"/>
      <c r="C13"/>
      <c r="D13"/>
      <c r="F13" s="41" t="s">
        <v>184</v>
      </c>
      <c r="G13">
        <v>0</v>
      </c>
      <c r="H13">
        <v>0</v>
      </c>
      <c r="I13">
        <v>0</v>
      </c>
      <c r="J13">
        <v>0</v>
      </c>
      <c r="K13">
        <v>0</v>
      </c>
      <c r="L13">
        <v>1</v>
      </c>
      <c r="M13">
        <v>0</v>
      </c>
      <c r="N13">
        <v>1</v>
      </c>
      <c r="O13">
        <v>0.5</v>
      </c>
      <c r="P13">
        <v>0.5</v>
      </c>
      <c r="Q13" s="77">
        <v>0</v>
      </c>
      <c r="R13" s="101">
        <v>0.5</v>
      </c>
      <c r="S13"/>
    </row>
    <row r="14" spans="1:19" ht="15" customHeight="1" x14ac:dyDescent="0.4">
      <c r="B14" s="58"/>
      <c r="C14"/>
      <c r="D14"/>
      <c r="F14" s="41" t="s">
        <v>185</v>
      </c>
      <c r="G14">
        <v>0</v>
      </c>
      <c r="H14">
        <v>0</v>
      </c>
      <c r="I14">
        <v>0</v>
      </c>
      <c r="J14">
        <v>0</v>
      </c>
      <c r="K14">
        <v>0</v>
      </c>
      <c r="L14">
        <v>1</v>
      </c>
      <c r="M14">
        <v>0</v>
      </c>
      <c r="N14">
        <v>1</v>
      </c>
      <c r="O14">
        <v>0.5</v>
      </c>
      <c r="P14">
        <v>0.5</v>
      </c>
      <c r="Q14" s="77">
        <v>0</v>
      </c>
      <c r="R14" s="67">
        <v>1</v>
      </c>
      <c r="S14"/>
    </row>
    <row r="15" spans="1:19" ht="15" customHeight="1" x14ac:dyDescent="0.4">
      <c r="B15" s="58"/>
      <c r="C15"/>
      <c r="D15"/>
      <c r="F15" s="41" t="s">
        <v>186</v>
      </c>
      <c r="G15">
        <v>0</v>
      </c>
      <c r="H15">
        <v>0</v>
      </c>
      <c r="I15">
        <v>0</v>
      </c>
      <c r="J15">
        <v>0</v>
      </c>
      <c r="K15">
        <v>0</v>
      </c>
      <c r="L15">
        <v>1</v>
      </c>
      <c r="M15">
        <v>0</v>
      </c>
      <c r="N15">
        <v>1</v>
      </c>
      <c r="O15">
        <v>0.5</v>
      </c>
      <c r="P15">
        <v>0.5</v>
      </c>
      <c r="Q15" s="77">
        <v>0</v>
      </c>
      <c r="R15" s="67">
        <v>1</v>
      </c>
      <c r="S15"/>
    </row>
    <row r="16" spans="1:19" ht="15" customHeight="1" x14ac:dyDescent="0.4">
      <c r="B16" s="58"/>
      <c r="C16"/>
      <c r="D16"/>
      <c r="F16" s="41" t="s">
        <v>187</v>
      </c>
      <c r="G16">
        <v>0</v>
      </c>
      <c r="H16">
        <v>0</v>
      </c>
      <c r="I16">
        <v>0</v>
      </c>
      <c r="J16">
        <v>0</v>
      </c>
      <c r="K16">
        <v>0.5</v>
      </c>
      <c r="L16">
        <v>0.5</v>
      </c>
      <c r="M16">
        <v>0.5</v>
      </c>
      <c r="N16">
        <v>0.5</v>
      </c>
      <c r="O16">
        <v>0.5</v>
      </c>
      <c r="P16">
        <v>0.5</v>
      </c>
      <c r="Q16" s="77">
        <v>0</v>
      </c>
      <c r="R16" s="101">
        <v>0</v>
      </c>
      <c r="S16"/>
    </row>
    <row r="17" spans="1:19" ht="15" customHeight="1" thickBot="1" x14ac:dyDescent="0.45">
      <c r="B17" s="57"/>
      <c r="C17"/>
      <c r="D17"/>
      <c r="F17" s="41" t="s">
        <v>188</v>
      </c>
      <c r="G17">
        <v>0</v>
      </c>
      <c r="H17">
        <v>0</v>
      </c>
      <c r="I17">
        <v>0</v>
      </c>
      <c r="J17">
        <v>0</v>
      </c>
      <c r="K17">
        <v>0</v>
      </c>
      <c r="L17">
        <v>1</v>
      </c>
      <c r="M17">
        <v>0</v>
      </c>
      <c r="N17">
        <v>1</v>
      </c>
      <c r="O17">
        <v>0.5</v>
      </c>
      <c r="P17">
        <v>0.5</v>
      </c>
      <c r="Q17" s="77">
        <v>0</v>
      </c>
      <c r="R17" s="101">
        <v>0</v>
      </c>
      <c r="S17"/>
    </row>
    <row r="18" spans="1:19" ht="15" customHeight="1" thickBot="1" x14ac:dyDescent="0.45">
      <c r="B18" s="59"/>
      <c r="C18"/>
      <c r="D18"/>
      <c r="F18" s="41" t="s">
        <v>189</v>
      </c>
      <c r="G18">
        <v>0</v>
      </c>
      <c r="H18">
        <v>0</v>
      </c>
      <c r="I18">
        <v>0</v>
      </c>
      <c r="J18">
        <v>0</v>
      </c>
      <c r="K18">
        <v>0</v>
      </c>
      <c r="L18">
        <v>1</v>
      </c>
      <c r="M18">
        <v>0</v>
      </c>
      <c r="N18">
        <v>1</v>
      </c>
      <c r="O18">
        <v>0.5</v>
      </c>
      <c r="P18">
        <v>0.5</v>
      </c>
      <c r="Q18" s="77">
        <v>0</v>
      </c>
      <c r="R18" s="101">
        <v>0</v>
      </c>
      <c r="S18"/>
    </row>
    <row r="19" spans="1:19" ht="15" customHeight="1" x14ac:dyDescent="0.4">
      <c r="A19" s="50" t="s">
        <v>57</v>
      </c>
      <c r="B19" s="56">
        <f>E32</f>
        <v>0.88015284968176033</v>
      </c>
      <c r="C19" s="7" t="s">
        <v>177</v>
      </c>
      <c r="D19" s="52" t="s">
        <v>166</v>
      </c>
      <c r="F19" s="41" t="s">
        <v>273</v>
      </c>
      <c r="G19" s="216">
        <v>0</v>
      </c>
      <c r="H19" s="216">
        <v>0</v>
      </c>
      <c r="I19" s="216">
        <v>0</v>
      </c>
      <c r="J19" s="216">
        <v>0</v>
      </c>
      <c r="K19" s="216">
        <v>0</v>
      </c>
      <c r="L19" s="216">
        <v>1</v>
      </c>
      <c r="M19" s="216">
        <v>0</v>
      </c>
      <c r="N19" s="216">
        <v>1</v>
      </c>
      <c r="O19" s="216">
        <v>0.5</v>
      </c>
      <c r="P19" s="216">
        <v>0.5</v>
      </c>
      <c r="Q19" s="77">
        <v>0</v>
      </c>
      <c r="R19" s="101">
        <v>0</v>
      </c>
      <c r="S19" s="216"/>
    </row>
    <row r="20" spans="1:19" ht="15" customHeight="1" x14ac:dyDescent="0.4">
      <c r="B20" s="58">
        <f>E33</f>
        <v>0.11984715031823961</v>
      </c>
      <c r="C20" s="7" t="s">
        <v>178</v>
      </c>
      <c r="D20" s="52"/>
      <c r="F20" s="41" t="s">
        <v>190</v>
      </c>
      <c r="G20">
        <v>0</v>
      </c>
      <c r="H20">
        <v>0</v>
      </c>
      <c r="I20">
        <v>0</v>
      </c>
      <c r="J20">
        <v>0</v>
      </c>
      <c r="K20">
        <v>0</v>
      </c>
      <c r="L20">
        <v>1</v>
      </c>
      <c r="M20">
        <v>0</v>
      </c>
      <c r="N20">
        <v>1</v>
      </c>
      <c r="O20">
        <v>0.5</v>
      </c>
      <c r="P20">
        <v>0.5</v>
      </c>
      <c r="Q20" s="77">
        <v>0</v>
      </c>
      <c r="R20" s="67">
        <v>1</v>
      </c>
      <c r="S20"/>
    </row>
    <row r="21" spans="1:19" ht="15" customHeight="1" x14ac:dyDescent="0.4">
      <c r="B21" s="58"/>
      <c r="C21" s="7"/>
      <c r="D21" s="52"/>
      <c r="F21" s="41" t="s">
        <v>191</v>
      </c>
      <c r="G21">
        <v>0</v>
      </c>
      <c r="H21">
        <v>0</v>
      </c>
      <c r="I21">
        <v>0</v>
      </c>
      <c r="J21">
        <v>0</v>
      </c>
      <c r="K21">
        <v>0</v>
      </c>
      <c r="L21">
        <v>1</v>
      </c>
      <c r="M21">
        <v>0</v>
      </c>
      <c r="N21">
        <v>1</v>
      </c>
      <c r="O21">
        <v>0.5</v>
      </c>
      <c r="P21">
        <v>0.5</v>
      </c>
      <c r="Q21" s="77">
        <v>0</v>
      </c>
      <c r="R21" s="67">
        <v>1</v>
      </c>
      <c r="S21"/>
    </row>
    <row r="22" spans="1:19" ht="15" customHeight="1" x14ac:dyDescent="0.4">
      <c r="A22" s="48"/>
      <c r="B22" s="58"/>
      <c r="C22" s="7"/>
      <c r="D22" s="52"/>
      <c r="F22" s="41" t="s">
        <v>192</v>
      </c>
      <c r="G22">
        <v>0</v>
      </c>
      <c r="H22">
        <v>0</v>
      </c>
      <c r="I22">
        <v>0</v>
      </c>
      <c r="J22">
        <v>0</v>
      </c>
      <c r="K22">
        <v>0</v>
      </c>
      <c r="L22">
        <v>1</v>
      </c>
      <c r="M22">
        <v>0</v>
      </c>
      <c r="N22">
        <v>1</v>
      </c>
      <c r="O22">
        <v>0.5</v>
      </c>
      <c r="P22">
        <v>0.5</v>
      </c>
      <c r="Q22" s="77">
        <v>0</v>
      </c>
      <c r="R22" s="67">
        <v>1</v>
      </c>
      <c r="S22"/>
    </row>
    <row r="23" spans="1:19" ht="15" customHeight="1" x14ac:dyDescent="0.4">
      <c r="A23" s="48"/>
      <c r="B23" s="58"/>
      <c r="C23" s="7"/>
      <c r="D23" s="52"/>
      <c r="F23" s="41" t="s">
        <v>193</v>
      </c>
      <c r="G23">
        <v>0</v>
      </c>
      <c r="H23">
        <v>0</v>
      </c>
      <c r="I23">
        <v>0</v>
      </c>
      <c r="J23">
        <v>0</v>
      </c>
      <c r="K23">
        <v>0</v>
      </c>
      <c r="L23">
        <v>1</v>
      </c>
      <c r="M23">
        <v>0</v>
      </c>
      <c r="N23">
        <v>1</v>
      </c>
      <c r="O23">
        <v>0.5</v>
      </c>
      <c r="P23">
        <v>0.5</v>
      </c>
      <c r="Q23" s="77">
        <v>0</v>
      </c>
      <c r="R23" s="67">
        <v>1</v>
      </c>
      <c r="S23"/>
    </row>
    <row r="24" spans="1:19" ht="15" customHeight="1" x14ac:dyDescent="0.4">
      <c r="A24" s="48"/>
      <c r="B24" s="58"/>
      <c r="C24" s="7"/>
      <c r="D24" s="52"/>
      <c r="F24" s="41" t="s">
        <v>194</v>
      </c>
      <c r="G24">
        <v>0</v>
      </c>
      <c r="H24">
        <v>0</v>
      </c>
      <c r="I24">
        <v>0</v>
      </c>
      <c r="J24">
        <v>0</v>
      </c>
      <c r="K24">
        <v>0</v>
      </c>
      <c r="L24">
        <v>1</v>
      </c>
      <c r="M24">
        <v>0</v>
      </c>
      <c r="N24">
        <v>1</v>
      </c>
      <c r="O24">
        <v>1</v>
      </c>
      <c r="P24">
        <v>0</v>
      </c>
      <c r="Q24" s="77">
        <v>0</v>
      </c>
      <c r="R24" s="67">
        <v>1</v>
      </c>
      <c r="S24"/>
    </row>
    <row r="25" spans="1:19" ht="15" customHeight="1" x14ac:dyDescent="0.4">
      <c r="A25" s="48"/>
      <c r="B25" s="58"/>
      <c r="C25" s="7"/>
      <c r="D25" s="52"/>
      <c r="F25" s="41" t="s">
        <v>195</v>
      </c>
      <c r="G25">
        <v>0</v>
      </c>
      <c r="H25">
        <v>0</v>
      </c>
      <c r="I25">
        <v>0</v>
      </c>
      <c r="J25">
        <v>0</v>
      </c>
      <c r="K25">
        <v>0</v>
      </c>
      <c r="L25">
        <v>1</v>
      </c>
      <c r="M25">
        <v>0</v>
      </c>
      <c r="N25">
        <v>1</v>
      </c>
      <c r="O25">
        <v>1</v>
      </c>
      <c r="P25">
        <v>0</v>
      </c>
      <c r="Q25" s="77">
        <v>0</v>
      </c>
      <c r="R25" s="67">
        <v>1</v>
      </c>
      <c r="S25"/>
    </row>
    <row r="26" spans="1:19" ht="15" customHeight="1" x14ac:dyDescent="0.4">
      <c r="B26" s="58"/>
      <c r="C26" s="7"/>
      <c r="D26" s="52"/>
      <c r="F26" s="41" t="s">
        <v>196</v>
      </c>
      <c r="G26">
        <v>0</v>
      </c>
      <c r="H26">
        <v>0</v>
      </c>
      <c r="I26">
        <v>0</v>
      </c>
      <c r="J26">
        <v>0</v>
      </c>
      <c r="K26">
        <v>0</v>
      </c>
      <c r="L26">
        <v>1</v>
      </c>
      <c r="M26">
        <v>0</v>
      </c>
      <c r="N26">
        <v>1</v>
      </c>
      <c r="O26">
        <v>1</v>
      </c>
      <c r="P26">
        <v>0</v>
      </c>
      <c r="Q26" s="77">
        <v>0</v>
      </c>
      <c r="R26" s="67">
        <v>1</v>
      </c>
      <c r="S26"/>
    </row>
    <row r="27" spans="1:19" ht="15" customHeight="1" x14ac:dyDescent="0.4">
      <c r="B27" s="58"/>
      <c r="C27" s="7"/>
      <c r="D27" s="52"/>
      <c r="F27" s="41" t="s">
        <v>197</v>
      </c>
      <c r="G27">
        <v>0</v>
      </c>
      <c r="H27">
        <v>0</v>
      </c>
      <c r="I27">
        <v>0</v>
      </c>
      <c r="J27">
        <v>0</v>
      </c>
      <c r="K27">
        <v>0</v>
      </c>
      <c r="L27">
        <v>1</v>
      </c>
      <c r="M27">
        <v>0</v>
      </c>
      <c r="N27">
        <v>1</v>
      </c>
      <c r="O27">
        <v>1</v>
      </c>
      <c r="P27">
        <v>0</v>
      </c>
      <c r="Q27" s="77">
        <v>0</v>
      </c>
      <c r="R27" s="67">
        <v>1</v>
      </c>
      <c r="S27"/>
    </row>
    <row r="28" spans="1:19" ht="15" customHeight="1" thickBot="1" x14ac:dyDescent="0.45">
      <c r="B28" s="57"/>
      <c r="C28" s="7"/>
      <c r="D28" s="52"/>
      <c r="F28" s="41" t="s">
        <v>198</v>
      </c>
      <c r="G28">
        <v>0</v>
      </c>
      <c r="H28">
        <v>0</v>
      </c>
      <c r="I28">
        <v>0</v>
      </c>
      <c r="J28">
        <v>0</v>
      </c>
      <c r="K28">
        <v>0</v>
      </c>
      <c r="L28">
        <v>1</v>
      </c>
      <c r="M28">
        <v>0</v>
      </c>
      <c r="N28">
        <v>1</v>
      </c>
      <c r="O28">
        <v>1</v>
      </c>
      <c r="P28">
        <v>0</v>
      </c>
      <c r="Q28" s="102">
        <v>0</v>
      </c>
      <c r="R28" s="67">
        <v>1</v>
      </c>
      <c r="S28"/>
    </row>
    <row r="29" spans="1:19" ht="15" customHeight="1" x14ac:dyDescent="0.4">
      <c r="F29" s="41" t="s">
        <v>199</v>
      </c>
      <c r="G29">
        <v>0</v>
      </c>
      <c r="H29">
        <v>0</v>
      </c>
      <c r="I29">
        <v>0</v>
      </c>
      <c r="J29">
        <v>0</v>
      </c>
      <c r="K29">
        <v>0</v>
      </c>
      <c r="L29">
        <v>1</v>
      </c>
      <c r="M29">
        <v>0</v>
      </c>
      <c r="N29">
        <v>1</v>
      </c>
      <c r="O29">
        <v>1</v>
      </c>
      <c r="P29">
        <v>0</v>
      </c>
      <c r="Q29" s="102">
        <v>0</v>
      </c>
      <c r="R29" s="67">
        <v>1</v>
      </c>
      <c r="S29"/>
    </row>
    <row r="30" spans="1:19" ht="15" customHeight="1" thickBot="1" x14ac:dyDescent="0.45">
      <c r="F30" s="41" t="s">
        <v>265</v>
      </c>
      <c r="G30" s="6">
        <v>0</v>
      </c>
      <c r="H30" s="6">
        <v>0</v>
      </c>
      <c r="I30" s="6">
        <v>0</v>
      </c>
      <c r="J30" s="6">
        <v>0</v>
      </c>
      <c r="K30" s="6">
        <v>0</v>
      </c>
      <c r="L30" s="6">
        <v>1</v>
      </c>
      <c r="M30" s="6">
        <v>0</v>
      </c>
      <c r="N30" s="6">
        <v>1</v>
      </c>
      <c r="O30" s="6">
        <v>1</v>
      </c>
      <c r="P30" s="6">
        <v>0</v>
      </c>
      <c r="Q30" s="102">
        <v>0</v>
      </c>
      <c r="R30" s="68">
        <v>1</v>
      </c>
      <c r="S30"/>
    </row>
    <row r="31" spans="1:19" ht="15" customHeight="1" thickBot="1" x14ac:dyDescent="0.45">
      <c r="A31" s="111" t="s">
        <v>271</v>
      </c>
      <c r="B31" s="112" t="s">
        <v>18</v>
      </c>
      <c r="C31" s="112" t="s">
        <v>1</v>
      </c>
      <c r="D31" s="112" t="s">
        <v>167</v>
      </c>
      <c r="E31" s="254" t="s">
        <v>462</v>
      </c>
      <c r="F31" s="41" t="s">
        <v>274</v>
      </c>
      <c r="G31" s="6">
        <v>0</v>
      </c>
      <c r="H31" s="6">
        <v>0</v>
      </c>
      <c r="I31" s="6">
        <v>0</v>
      </c>
      <c r="J31" s="6">
        <v>0</v>
      </c>
      <c r="K31" s="6">
        <v>0</v>
      </c>
      <c r="L31" s="6">
        <v>1</v>
      </c>
      <c r="M31" s="6">
        <v>0</v>
      </c>
      <c r="N31" s="6">
        <v>1</v>
      </c>
      <c r="O31" s="6">
        <v>1</v>
      </c>
      <c r="P31" s="6">
        <v>0</v>
      </c>
      <c r="Q31" s="102">
        <v>0</v>
      </c>
      <c r="R31" s="68">
        <v>1</v>
      </c>
      <c r="S31"/>
    </row>
    <row r="32" spans="1:19" ht="15" customHeight="1" x14ac:dyDescent="0.4">
      <c r="A32" s="25" t="s">
        <v>177</v>
      </c>
      <c r="B32" s="216">
        <f>MainOutputs!D2</f>
        <v>45.753261566162109</v>
      </c>
      <c r="C32" s="216">
        <f>MainOutputs!E2</f>
        <v>215</v>
      </c>
      <c r="D32" s="216">
        <f>B32*C32</f>
        <v>9836.9512367248535</v>
      </c>
      <c r="E32" s="11">
        <f>D32/D$41</f>
        <v>0.88015284968176033</v>
      </c>
      <c r="F32" s="41" t="s">
        <v>275</v>
      </c>
      <c r="G32" s="6">
        <v>0</v>
      </c>
      <c r="H32" s="6">
        <v>0</v>
      </c>
      <c r="I32" s="6">
        <v>0</v>
      </c>
      <c r="J32" s="6">
        <v>0</v>
      </c>
      <c r="K32" s="6">
        <v>0</v>
      </c>
      <c r="L32" s="6">
        <v>1</v>
      </c>
      <c r="M32" s="6">
        <v>0</v>
      </c>
      <c r="N32" s="6">
        <v>1</v>
      </c>
      <c r="O32" s="6">
        <v>1</v>
      </c>
      <c r="P32" s="6">
        <v>0</v>
      </c>
      <c r="Q32" s="102">
        <v>0</v>
      </c>
      <c r="R32" s="68">
        <v>1</v>
      </c>
      <c r="S32"/>
    </row>
    <row r="33" spans="1:19" ht="15" customHeight="1" x14ac:dyDescent="0.4">
      <c r="A33" s="25" t="s">
        <v>178</v>
      </c>
      <c r="B33" s="216">
        <f>MainOutputs!D3</f>
        <v>6.2300519943237305</v>
      </c>
      <c r="C33" s="216">
        <f>MainOutputs!E3</f>
        <v>215</v>
      </c>
      <c r="D33" s="216">
        <f>B33*C33</f>
        <v>1339.4611787796021</v>
      </c>
      <c r="E33" s="11">
        <f>D33/D$41</f>
        <v>0.11984715031823961</v>
      </c>
      <c r="F33" s="41" t="s">
        <v>276</v>
      </c>
      <c r="G33" s="6">
        <v>0</v>
      </c>
      <c r="H33" s="6">
        <v>0</v>
      </c>
      <c r="I33" s="6">
        <v>0</v>
      </c>
      <c r="J33" s="6">
        <v>0</v>
      </c>
      <c r="K33" s="6">
        <v>0</v>
      </c>
      <c r="L33" s="6">
        <v>1</v>
      </c>
      <c r="M33" s="6">
        <v>0</v>
      </c>
      <c r="N33" s="6">
        <v>1</v>
      </c>
      <c r="O33" s="6">
        <v>1</v>
      </c>
      <c r="P33" s="6">
        <v>0</v>
      </c>
      <c r="Q33" s="102">
        <v>0</v>
      </c>
      <c r="R33" s="68">
        <v>1</v>
      </c>
      <c r="S33"/>
    </row>
    <row r="34" spans="1:19" ht="15" customHeight="1" x14ac:dyDescent="0.4">
      <c r="A34" s="10"/>
      <c r="B34" s="216"/>
      <c r="C34" s="216"/>
      <c r="D34" s="216"/>
      <c r="E34" s="11"/>
      <c r="F34" s="41" t="s">
        <v>277</v>
      </c>
      <c r="G34" s="6">
        <v>0</v>
      </c>
      <c r="H34" s="6">
        <v>0</v>
      </c>
      <c r="I34" s="6">
        <v>0</v>
      </c>
      <c r="J34" s="6">
        <v>0</v>
      </c>
      <c r="K34" s="6">
        <v>0</v>
      </c>
      <c r="L34" s="6">
        <v>1</v>
      </c>
      <c r="M34" s="6">
        <v>0</v>
      </c>
      <c r="N34" s="6">
        <v>1</v>
      </c>
      <c r="O34" s="6">
        <v>1</v>
      </c>
      <c r="P34" s="6">
        <v>0</v>
      </c>
      <c r="Q34" s="102">
        <v>0</v>
      </c>
      <c r="R34" s="68">
        <v>1</v>
      </c>
      <c r="S34"/>
    </row>
    <row r="35" spans="1:19" ht="15" customHeight="1" x14ac:dyDescent="0.4">
      <c r="A35" s="10"/>
      <c r="B35" s="216"/>
      <c r="C35" s="216"/>
      <c r="D35" s="216"/>
      <c r="E35" s="11"/>
      <c r="F35" s="41" t="s">
        <v>278</v>
      </c>
      <c r="G35" s="6">
        <v>0</v>
      </c>
      <c r="H35" s="6">
        <v>0</v>
      </c>
      <c r="I35" s="6">
        <v>0</v>
      </c>
      <c r="J35" s="6">
        <v>0</v>
      </c>
      <c r="K35" s="6">
        <v>0</v>
      </c>
      <c r="L35" s="6">
        <v>1</v>
      </c>
      <c r="M35" s="6">
        <v>0</v>
      </c>
      <c r="N35" s="6">
        <v>1</v>
      </c>
      <c r="O35" s="6">
        <v>1</v>
      </c>
      <c r="P35" s="6">
        <v>0</v>
      </c>
      <c r="Q35" s="102">
        <v>0</v>
      </c>
      <c r="R35" s="68">
        <v>1</v>
      </c>
      <c r="S35"/>
    </row>
    <row r="36" spans="1:19" ht="15" customHeight="1" x14ac:dyDescent="0.4">
      <c r="A36" s="10"/>
      <c r="B36" s="216"/>
      <c r="C36" s="216"/>
      <c r="D36" s="216"/>
      <c r="E36" s="11"/>
      <c r="F36" s="41" t="s">
        <v>279</v>
      </c>
      <c r="G36" s="217">
        <v>0</v>
      </c>
      <c r="H36" s="217">
        <v>0</v>
      </c>
      <c r="I36" s="217">
        <v>0</v>
      </c>
      <c r="J36" s="217">
        <v>0</v>
      </c>
      <c r="K36" s="217">
        <v>0</v>
      </c>
      <c r="L36" s="217">
        <v>1</v>
      </c>
      <c r="M36" s="217">
        <v>0</v>
      </c>
      <c r="N36" s="217">
        <v>1</v>
      </c>
      <c r="O36" s="217">
        <v>1</v>
      </c>
      <c r="P36" s="217">
        <v>0</v>
      </c>
      <c r="Q36" s="102">
        <v>0</v>
      </c>
      <c r="R36" s="68">
        <v>1</v>
      </c>
      <c r="S36" s="216"/>
    </row>
    <row r="37" spans="1:19" ht="15" customHeight="1" x14ac:dyDescent="0.4">
      <c r="A37" s="10"/>
      <c r="B37" s="216"/>
      <c r="C37" s="216"/>
      <c r="D37" s="216"/>
      <c r="E37" s="11"/>
      <c r="F37" s="41" t="s">
        <v>200</v>
      </c>
      <c r="G37">
        <v>0</v>
      </c>
      <c r="H37">
        <v>0</v>
      </c>
      <c r="I37">
        <v>0</v>
      </c>
      <c r="J37">
        <v>0</v>
      </c>
      <c r="K37">
        <v>0</v>
      </c>
      <c r="L37">
        <v>1</v>
      </c>
      <c r="M37">
        <v>0</v>
      </c>
      <c r="N37">
        <v>1</v>
      </c>
      <c r="O37">
        <v>1</v>
      </c>
      <c r="P37">
        <v>0</v>
      </c>
      <c r="Q37" s="77">
        <v>0</v>
      </c>
      <c r="R37" s="67">
        <v>1</v>
      </c>
      <c r="S37"/>
    </row>
    <row r="38" spans="1:19" ht="15" customHeight="1" x14ac:dyDescent="0.4">
      <c r="A38" s="10"/>
      <c r="B38" s="216"/>
      <c r="C38" s="216"/>
      <c r="D38" s="216"/>
      <c r="E38" s="11"/>
      <c r="F38" s="41" t="s">
        <v>201</v>
      </c>
      <c r="G38">
        <v>0</v>
      </c>
      <c r="H38">
        <v>0</v>
      </c>
      <c r="I38">
        <v>0</v>
      </c>
      <c r="J38">
        <v>0</v>
      </c>
      <c r="K38">
        <v>0</v>
      </c>
      <c r="L38">
        <v>1</v>
      </c>
      <c r="M38">
        <v>0</v>
      </c>
      <c r="N38">
        <v>1</v>
      </c>
      <c r="O38">
        <v>0.25</v>
      </c>
      <c r="P38">
        <v>0.75</v>
      </c>
      <c r="Q38" s="77">
        <v>0</v>
      </c>
      <c r="R38" s="67">
        <v>1</v>
      </c>
      <c r="S38"/>
    </row>
    <row r="39" spans="1:19" ht="15" customHeight="1" x14ac:dyDescent="0.4">
      <c r="A39" s="10"/>
      <c r="B39" s="216"/>
      <c r="C39" s="216"/>
      <c r="D39" s="216"/>
      <c r="E39" s="11"/>
      <c r="F39" s="41" t="s">
        <v>202</v>
      </c>
      <c r="G39">
        <v>0</v>
      </c>
      <c r="H39">
        <v>0</v>
      </c>
      <c r="I39">
        <v>0</v>
      </c>
      <c r="J39">
        <v>0</v>
      </c>
      <c r="K39">
        <v>0</v>
      </c>
      <c r="L39">
        <v>1</v>
      </c>
      <c r="M39">
        <v>0</v>
      </c>
      <c r="N39">
        <v>1</v>
      </c>
      <c r="O39">
        <v>1</v>
      </c>
      <c r="P39">
        <v>0</v>
      </c>
      <c r="Q39" s="77">
        <v>0</v>
      </c>
      <c r="R39" s="67">
        <v>1</v>
      </c>
      <c r="S39"/>
    </row>
    <row r="40" spans="1:19" ht="15" customHeight="1" x14ac:dyDescent="0.4">
      <c r="A40" s="10"/>
      <c r="B40" s="216"/>
      <c r="C40" s="216"/>
      <c r="D40" s="216"/>
      <c r="E40" s="11"/>
      <c r="F40" s="41" t="s">
        <v>203</v>
      </c>
      <c r="G40">
        <v>0</v>
      </c>
      <c r="H40">
        <v>0</v>
      </c>
      <c r="I40">
        <v>0</v>
      </c>
      <c r="J40">
        <v>0</v>
      </c>
      <c r="K40">
        <v>0</v>
      </c>
      <c r="L40">
        <v>1</v>
      </c>
      <c r="M40">
        <v>0</v>
      </c>
      <c r="N40">
        <v>1</v>
      </c>
      <c r="O40">
        <v>1</v>
      </c>
      <c r="P40">
        <v>0</v>
      </c>
      <c r="Q40" s="77">
        <v>0</v>
      </c>
      <c r="R40" s="67">
        <v>1</v>
      </c>
      <c r="S40"/>
    </row>
    <row r="41" spans="1:19" ht="15" customHeight="1" thickBot="1" x14ac:dyDescent="0.45">
      <c r="A41" s="255"/>
      <c r="B41" s="130"/>
      <c r="C41" s="130" t="s">
        <v>168</v>
      </c>
      <c r="D41" s="130">
        <f>SUM(D32:D40)</f>
        <v>11176.412415504456</v>
      </c>
      <c r="E41" s="12">
        <f>SUM(E32:E40)</f>
        <v>1</v>
      </c>
      <c r="F41" s="41" t="s">
        <v>204</v>
      </c>
      <c r="G41">
        <v>0</v>
      </c>
      <c r="H41">
        <v>0</v>
      </c>
      <c r="I41">
        <v>0</v>
      </c>
      <c r="J41">
        <v>0</v>
      </c>
      <c r="K41">
        <v>0</v>
      </c>
      <c r="L41">
        <v>1</v>
      </c>
      <c r="M41">
        <v>0</v>
      </c>
      <c r="N41">
        <v>1</v>
      </c>
      <c r="O41">
        <v>1</v>
      </c>
      <c r="P41">
        <v>0</v>
      </c>
      <c r="Q41" s="77">
        <v>0</v>
      </c>
      <c r="R41" s="67">
        <v>1</v>
      </c>
      <c r="S41"/>
    </row>
    <row r="42" spans="1:19" ht="15" customHeight="1" x14ac:dyDescent="0.4">
      <c r="A42" s="48"/>
      <c r="F42" s="41" t="s">
        <v>205</v>
      </c>
      <c r="G42">
        <v>0</v>
      </c>
      <c r="H42">
        <v>0</v>
      </c>
      <c r="I42">
        <v>0</v>
      </c>
      <c r="J42">
        <v>0</v>
      </c>
      <c r="K42">
        <v>0</v>
      </c>
      <c r="L42">
        <v>1</v>
      </c>
      <c r="M42">
        <v>0</v>
      </c>
      <c r="N42">
        <v>1</v>
      </c>
      <c r="O42">
        <v>1</v>
      </c>
      <c r="P42">
        <v>0</v>
      </c>
      <c r="Q42" s="77">
        <v>0</v>
      </c>
      <c r="R42" s="67">
        <v>1</v>
      </c>
      <c r="S42"/>
    </row>
    <row r="43" spans="1:19" ht="15" customHeight="1" x14ac:dyDescent="0.4">
      <c r="A43" s="48"/>
      <c r="F43" s="41" t="s">
        <v>206</v>
      </c>
      <c r="G43">
        <v>0</v>
      </c>
      <c r="H43">
        <v>0</v>
      </c>
      <c r="I43">
        <v>0</v>
      </c>
      <c r="J43">
        <v>0</v>
      </c>
      <c r="K43">
        <v>0</v>
      </c>
      <c r="L43">
        <v>1</v>
      </c>
      <c r="M43">
        <v>0</v>
      </c>
      <c r="N43">
        <v>1</v>
      </c>
      <c r="O43">
        <v>1</v>
      </c>
      <c r="P43">
        <v>0</v>
      </c>
      <c r="Q43" s="77">
        <v>0</v>
      </c>
      <c r="R43" s="67">
        <v>1</v>
      </c>
      <c r="S43"/>
    </row>
    <row r="44" spans="1:19" ht="15" customHeight="1" x14ac:dyDescent="0.4">
      <c r="A44" s="48"/>
      <c r="F44" s="41" t="s">
        <v>207</v>
      </c>
      <c r="G44">
        <v>0</v>
      </c>
      <c r="H44">
        <v>0</v>
      </c>
      <c r="I44">
        <v>0</v>
      </c>
      <c r="J44">
        <v>0</v>
      </c>
      <c r="K44">
        <v>0</v>
      </c>
      <c r="L44">
        <v>1</v>
      </c>
      <c r="M44">
        <v>0</v>
      </c>
      <c r="N44">
        <v>1</v>
      </c>
      <c r="O44">
        <v>1</v>
      </c>
      <c r="P44">
        <v>0</v>
      </c>
      <c r="Q44" s="77">
        <v>0</v>
      </c>
      <c r="R44" s="67">
        <v>1</v>
      </c>
      <c r="S44"/>
    </row>
    <row r="45" spans="1:19" ht="15" customHeight="1" x14ac:dyDescent="0.4">
      <c r="A45" s="48"/>
      <c r="F45" s="41" t="s">
        <v>208</v>
      </c>
      <c r="G45">
        <v>0</v>
      </c>
      <c r="H45">
        <v>0</v>
      </c>
      <c r="I45">
        <v>0</v>
      </c>
      <c r="J45">
        <v>0</v>
      </c>
      <c r="K45">
        <v>0</v>
      </c>
      <c r="L45">
        <v>1</v>
      </c>
      <c r="M45">
        <v>0</v>
      </c>
      <c r="N45">
        <v>1</v>
      </c>
      <c r="O45">
        <v>1</v>
      </c>
      <c r="P45">
        <v>0</v>
      </c>
      <c r="Q45" s="77">
        <v>0</v>
      </c>
      <c r="R45" s="67">
        <v>1</v>
      </c>
      <c r="S45"/>
    </row>
    <row r="46" spans="1:19" ht="15" customHeight="1" x14ac:dyDescent="0.4">
      <c r="A46" s="48"/>
      <c r="F46" s="41" t="s">
        <v>209</v>
      </c>
      <c r="G46">
        <v>0</v>
      </c>
      <c r="H46">
        <v>0</v>
      </c>
      <c r="I46">
        <v>0</v>
      </c>
      <c r="J46">
        <v>0</v>
      </c>
      <c r="K46">
        <v>0</v>
      </c>
      <c r="L46">
        <v>1</v>
      </c>
      <c r="M46">
        <v>0</v>
      </c>
      <c r="N46">
        <v>1</v>
      </c>
      <c r="O46">
        <v>1</v>
      </c>
      <c r="P46">
        <v>0</v>
      </c>
      <c r="Q46" s="77">
        <v>0</v>
      </c>
      <c r="R46" s="67">
        <v>1</v>
      </c>
      <c r="S46"/>
    </row>
    <row r="47" spans="1:19" ht="15" customHeight="1" x14ac:dyDescent="0.4">
      <c r="A47" s="48"/>
      <c r="F47" s="41" t="s">
        <v>210</v>
      </c>
      <c r="G47">
        <v>0</v>
      </c>
      <c r="H47">
        <v>0</v>
      </c>
      <c r="I47">
        <v>0</v>
      </c>
      <c r="J47">
        <v>0</v>
      </c>
      <c r="K47">
        <v>0</v>
      </c>
      <c r="L47">
        <v>1</v>
      </c>
      <c r="M47">
        <v>0</v>
      </c>
      <c r="N47">
        <v>1</v>
      </c>
      <c r="O47">
        <v>0.5</v>
      </c>
      <c r="P47">
        <v>0.5</v>
      </c>
      <c r="Q47" s="77">
        <v>0</v>
      </c>
      <c r="R47" s="67">
        <v>1</v>
      </c>
      <c r="S47"/>
    </row>
    <row r="48" spans="1:19" ht="15" customHeight="1" x14ac:dyDescent="0.4">
      <c r="A48" s="48"/>
      <c r="F48" s="41" t="s">
        <v>211</v>
      </c>
      <c r="G48">
        <v>0</v>
      </c>
      <c r="H48">
        <v>0</v>
      </c>
      <c r="I48">
        <v>0</v>
      </c>
      <c r="J48">
        <v>0</v>
      </c>
      <c r="K48">
        <v>0</v>
      </c>
      <c r="L48">
        <v>1</v>
      </c>
      <c r="M48">
        <v>0</v>
      </c>
      <c r="N48">
        <v>1</v>
      </c>
      <c r="O48">
        <v>0.5</v>
      </c>
      <c r="P48">
        <v>0.5</v>
      </c>
      <c r="Q48" s="77">
        <v>0</v>
      </c>
      <c r="R48" s="67">
        <v>1</v>
      </c>
      <c r="S48"/>
    </row>
    <row r="49" spans="1:19" ht="15" customHeight="1" x14ac:dyDescent="0.4">
      <c r="A49" s="48"/>
      <c r="F49" s="41" t="s">
        <v>212</v>
      </c>
      <c r="G49">
        <v>0</v>
      </c>
      <c r="H49">
        <v>0</v>
      </c>
      <c r="I49">
        <v>0</v>
      </c>
      <c r="J49">
        <v>0</v>
      </c>
      <c r="K49">
        <v>0</v>
      </c>
      <c r="L49">
        <v>1</v>
      </c>
      <c r="M49">
        <v>0</v>
      </c>
      <c r="N49">
        <v>1</v>
      </c>
      <c r="O49">
        <v>1</v>
      </c>
      <c r="P49">
        <v>0</v>
      </c>
      <c r="Q49" s="77">
        <v>0</v>
      </c>
      <c r="R49" s="67">
        <v>1</v>
      </c>
      <c r="S49"/>
    </row>
    <row r="50" spans="1:19" ht="15" customHeight="1" x14ac:dyDescent="0.4">
      <c r="A50" s="48"/>
      <c r="F50" s="41" t="s">
        <v>213</v>
      </c>
      <c r="G50">
        <v>0</v>
      </c>
      <c r="H50">
        <v>0</v>
      </c>
      <c r="I50">
        <v>0</v>
      </c>
      <c r="J50">
        <v>0</v>
      </c>
      <c r="K50">
        <v>0</v>
      </c>
      <c r="L50">
        <v>1</v>
      </c>
      <c r="M50">
        <v>0</v>
      </c>
      <c r="N50">
        <v>1</v>
      </c>
      <c r="O50">
        <v>0.75</v>
      </c>
      <c r="P50">
        <v>0.25</v>
      </c>
      <c r="Q50" s="77">
        <v>0</v>
      </c>
      <c r="R50" s="67">
        <v>1</v>
      </c>
      <c r="S50"/>
    </row>
    <row r="51" spans="1:19" ht="15" customHeight="1" x14ac:dyDescent="0.4">
      <c r="F51" s="41" t="s">
        <v>214</v>
      </c>
      <c r="G51">
        <v>0</v>
      </c>
      <c r="H51">
        <v>0</v>
      </c>
      <c r="I51">
        <v>0</v>
      </c>
      <c r="J51">
        <v>0</v>
      </c>
      <c r="K51">
        <v>0</v>
      </c>
      <c r="L51">
        <v>1</v>
      </c>
      <c r="M51">
        <v>0</v>
      </c>
      <c r="N51">
        <v>1</v>
      </c>
      <c r="O51">
        <v>0.75</v>
      </c>
      <c r="P51">
        <v>0.25</v>
      </c>
      <c r="Q51" s="77">
        <v>0</v>
      </c>
      <c r="R51" s="67">
        <v>1</v>
      </c>
      <c r="S51"/>
    </row>
    <row r="52" spans="1:19" ht="15" customHeight="1" x14ac:dyDescent="0.4">
      <c r="F52" s="41" t="s">
        <v>215</v>
      </c>
      <c r="G52">
        <v>0</v>
      </c>
      <c r="H52">
        <v>0</v>
      </c>
      <c r="I52">
        <v>0</v>
      </c>
      <c r="J52">
        <v>0</v>
      </c>
      <c r="K52">
        <v>0</v>
      </c>
      <c r="L52">
        <v>1</v>
      </c>
      <c r="M52">
        <v>0</v>
      </c>
      <c r="N52">
        <v>1</v>
      </c>
      <c r="O52">
        <v>0.5</v>
      </c>
      <c r="P52">
        <v>0.5</v>
      </c>
      <c r="Q52" s="77">
        <v>0</v>
      </c>
      <c r="R52" s="67">
        <v>1</v>
      </c>
      <c r="S52"/>
    </row>
    <row r="53" spans="1:19" ht="15" customHeight="1" x14ac:dyDescent="0.4">
      <c r="F53" s="41" t="s">
        <v>216</v>
      </c>
      <c r="G53">
        <v>0</v>
      </c>
      <c r="H53">
        <v>0</v>
      </c>
      <c r="I53">
        <v>0</v>
      </c>
      <c r="J53">
        <v>0</v>
      </c>
      <c r="K53">
        <v>0</v>
      </c>
      <c r="L53">
        <v>1</v>
      </c>
      <c r="M53">
        <v>0</v>
      </c>
      <c r="N53">
        <v>1</v>
      </c>
      <c r="O53">
        <v>0.25</v>
      </c>
      <c r="P53">
        <v>0.75</v>
      </c>
      <c r="Q53" s="77">
        <v>0</v>
      </c>
      <c r="R53" s="67">
        <v>1</v>
      </c>
      <c r="S53"/>
    </row>
    <row r="54" spans="1:19" ht="15" customHeight="1" x14ac:dyDescent="0.4">
      <c r="F54" s="41" t="s">
        <v>217</v>
      </c>
      <c r="G54">
        <v>0</v>
      </c>
      <c r="H54">
        <v>0</v>
      </c>
      <c r="I54">
        <v>0</v>
      </c>
      <c r="J54">
        <v>0</v>
      </c>
      <c r="K54">
        <v>0</v>
      </c>
      <c r="L54">
        <v>1</v>
      </c>
      <c r="M54">
        <v>0</v>
      </c>
      <c r="N54">
        <v>1</v>
      </c>
      <c r="O54">
        <v>0.25</v>
      </c>
      <c r="P54">
        <v>0.75</v>
      </c>
      <c r="Q54" s="77">
        <v>0</v>
      </c>
      <c r="R54" s="67">
        <v>1</v>
      </c>
      <c r="S54"/>
    </row>
    <row r="55" spans="1:19" ht="15" customHeight="1" x14ac:dyDescent="0.4">
      <c r="F55" s="41" t="s">
        <v>218</v>
      </c>
      <c r="G55">
        <v>0</v>
      </c>
      <c r="H55">
        <v>0</v>
      </c>
      <c r="I55">
        <v>0</v>
      </c>
      <c r="J55">
        <v>0</v>
      </c>
      <c r="K55">
        <v>0</v>
      </c>
      <c r="L55">
        <v>1</v>
      </c>
      <c r="M55">
        <v>0</v>
      </c>
      <c r="N55">
        <v>1</v>
      </c>
      <c r="O55">
        <v>0.25</v>
      </c>
      <c r="P55">
        <v>0.75</v>
      </c>
      <c r="Q55" s="77">
        <v>0</v>
      </c>
      <c r="R55" s="67">
        <v>1</v>
      </c>
      <c r="S55"/>
    </row>
    <row r="56" spans="1:19" ht="15" customHeight="1" x14ac:dyDescent="0.4">
      <c r="F56" s="41" t="s">
        <v>219</v>
      </c>
      <c r="G56">
        <v>0</v>
      </c>
      <c r="H56">
        <v>0</v>
      </c>
      <c r="I56">
        <v>0</v>
      </c>
      <c r="J56">
        <v>0</v>
      </c>
      <c r="K56">
        <v>0</v>
      </c>
      <c r="L56">
        <v>1</v>
      </c>
      <c r="M56">
        <v>0</v>
      </c>
      <c r="N56">
        <v>1</v>
      </c>
      <c r="O56">
        <v>0.25</v>
      </c>
      <c r="P56">
        <v>0.75</v>
      </c>
      <c r="Q56" s="77">
        <v>0</v>
      </c>
      <c r="R56" s="67">
        <v>1</v>
      </c>
      <c r="S56"/>
    </row>
    <row r="57" spans="1:19" ht="15" customHeight="1" x14ac:dyDescent="0.4">
      <c r="F57" s="41" t="s">
        <v>220</v>
      </c>
      <c r="G57">
        <v>0</v>
      </c>
      <c r="H57">
        <v>0</v>
      </c>
      <c r="I57">
        <v>0</v>
      </c>
      <c r="J57">
        <v>0</v>
      </c>
      <c r="K57">
        <v>0</v>
      </c>
      <c r="L57">
        <v>1</v>
      </c>
      <c r="M57">
        <v>0</v>
      </c>
      <c r="N57">
        <v>1</v>
      </c>
      <c r="O57">
        <v>0.25</v>
      </c>
      <c r="P57">
        <v>0.75</v>
      </c>
      <c r="Q57" s="77">
        <v>0</v>
      </c>
      <c r="R57" s="67">
        <v>1</v>
      </c>
      <c r="S57"/>
    </row>
    <row r="58" spans="1:19" ht="15" customHeight="1" x14ac:dyDescent="0.4">
      <c r="F58" s="41" t="s">
        <v>221</v>
      </c>
      <c r="G58">
        <v>0</v>
      </c>
      <c r="H58">
        <v>0</v>
      </c>
      <c r="I58">
        <v>0</v>
      </c>
      <c r="J58">
        <v>0</v>
      </c>
      <c r="K58">
        <v>0</v>
      </c>
      <c r="L58">
        <v>1</v>
      </c>
      <c r="M58">
        <v>0</v>
      </c>
      <c r="N58">
        <v>1</v>
      </c>
      <c r="O58">
        <v>0.25</v>
      </c>
      <c r="P58">
        <v>0.75</v>
      </c>
      <c r="Q58" s="77">
        <v>0</v>
      </c>
      <c r="R58" s="67">
        <v>1</v>
      </c>
      <c r="S58"/>
    </row>
    <row r="59" spans="1:19" ht="15" customHeight="1" x14ac:dyDescent="0.4">
      <c r="F59" s="41" t="s">
        <v>222</v>
      </c>
      <c r="G59">
        <v>0</v>
      </c>
      <c r="H59">
        <v>0</v>
      </c>
      <c r="I59">
        <v>0</v>
      </c>
      <c r="J59">
        <v>0</v>
      </c>
      <c r="K59">
        <v>0</v>
      </c>
      <c r="L59">
        <v>1</v>
      </c>
      <c r="M59">
        <v>0</v>
      </c>
      <c r="N59">
        <v>1</v>
      </c>
      <c r="O59">
        <v>0.25</v>
      </c>
      <c r="P59">
        <v>0.75</v>
      </c>
      <c r="Q59" s="77">
        <v>0</v>
      </c>
      <c r="R59" s="67">
        <v>1</v>
      </c>
      <c r="S59"/>
    </row>
    <row r="60" spans="1:19" ht="15" customHeight="1" x14ac:dyDescent="0.4">
      <c r="F60" s="41" t="s">
        <v>223</v>
      </c>
      <c r="G60">
        <v>0</v>
      </c>
      <c r="H60">
        <v>0</v>
      </c>
      <c r="I60">
        <v>0</v>
      </c>
      <c r="J60">
        <v>0</v>
      </c>
      <c r="K60">
        <v>0</v>
      </c>
      <c r="L60">
        <v>1</v>
      </c>
      <c r="M60">
        <v>0</v>
      </c>
      <c r="N60">
        <v>1</v>
      </c>
      <c r="O60">
        <v>1</v>
      </c>
      <c r="P60">
        <v>0</v>
      </c>
      <c r="Q60" s="77">
        <v>0</v>
      </c>
      <c r="R60" s="67">
        <v>1</v>
      </c>
      <c r="S60"/>
    </row>
    <row r="61" spans="1:19" ht="15" customHeight="1" x14ac:dyDescent="0.4">
      <c r="F61" s="41" t="s">
        <v>224</v>
      </c>
      <c r="G61">
        <v>0</v>
      </c>
      <c r="H61">
        <v>0</v>
      </c>
      <c r="I61">
        <v>0</v>
      </c>
      <c r="J61">
        <v>0</v>
      </c>
      <c r="K61">
        <v>0</v>
      </c>
      <c r="L61">
        <v>1</v>
      </c>
      <c r="M61">
        <v>0</v>
      </c>
      <c r="N61">
        <v>1</v>
      </c>
      <c r="O61">
        <v>1</v>
      </c>
      <c r="P61">
        <v>0</v>
      </c>
      <c r="Q61" s="77">
        <v>0</v>
      </c>
      <c r="R61" s="67">
        <v>1</v>
      </c>
      <c r="S61"/>
    </row>
    <row r="62" spans="1:19" ht="15" customHeight="1" x14ac:dyDescent="0.4">
      <c r="F62" s="41" t="s">
        <v>225</v>
      </c>
      <c r="G62">
        <v>0</v>
      </c>
      <c r="H62">
        <v>0</v>
      </c>
      <c r="I62">
        <v>0</v>
      </c>
      <c r="J62">
        <v>0</v>
      </c>
      <c r="K62">
        <v>0</v>
      </c>
      <c r="L62">
        <v>1</v>
      </c>
      <c r="M62">
        <v>0</v>
      </c>
      <c r="N62">
        <v>1</v>
      </c>
      <c r="O62">
        <v>0.25</v>
      </c>
      <c r="P62">
        <v>0.75</v>
      </c>
      <c r="Q62" s="77">
        <v>0</v>
      </c>
      <c r="R62" s="67">
        <v>1</v>
      </c>
      <c r="S62"/>
    </row>
    <row r="63" spans="1:19" ht="15" customHeight="1" x14ac:dyDescent="0.4">
      <c r="F63" s="41" t="s">
        <v>226</v>
      </c>
      <c r="G63">
        <v>0</v>
      </c>
      <c r="H63">
        <v>0</v>
      </c>
      <c r="I63">
        <v>0</v>
      </c>
      <c r="J63">
        <v>0</v>
      </c>
      <c r="K63">
        <v>0</v>
      </c>
      <c r="L63">
        <v>1</v>
      </c>
      <c r="M63">
        <v>0</v>
      </c>
      <c r="N63">
        <v>1</v>
      </c>
      <c r="O63">
        <v>0</v>
      </c>
      <c r="P63">
        <v>1</v>
      </c>
      <c r="Q63" s="77">
        <v>0</v>
      </c>
      <c r="R63" s="67">
        <v>1</v>
      </c>
      <c r="S63"/>
    </row>
    <row r="64" spans="1:19" ht="15" customHeight="1" x14ac:dyDescent="0.4">
      <c r="F64" s="41" t="s">
        <v>227</v>
      </c>
      <c r="G64">
        <v>0</v>
      </c>
      <c r="H64">
        <v>0</v>
      </c>
      <c r="I64">
        <v>0</v>
      </c>
      <c r="J64">
        <v>0</v>
      </c>
      <c r="K64">
        <v>0</v>
      </c>
      <c r="L64">
        <v>1</v>
      </c>
      <c r="M64">
        <v>0</v>
      </c>
      <c r="N64">
        <v>1</v>
      </c>
      <c r="O64">
        <v>0</v>
      </c>
      <c r="P64">
        <v>1</v>
      </c>
      <c r="Q64" s="77">
        <v>0</v>
      </c>
      <c r="R64" s="67">
        <v>1</v>
      </c>
      <c r="S64"/>
    </row>
    <row r="65" spans="6:19" ht="15" customHeight="1" x14ac:dyDescent="0.4">
      <c r="F65" s="41" t="s">
        <v>228</v>
      </c>
      <c r="G65">
        <v>0</v>
      </c>
      <c r="H65">
        <v>0</v>
      </c>
      <c r="I65">
        <v>0</v>
      </c>
      <c r="J65">
        <v>0</v>
      </c>
      <c r="K65">
        <v>0</v>
      </c>
      <c r="L65">
        <v>1</v>
      </c>
      <c r="M65">
        <v>0</v>
      </c>
      <c r="N65">
        <v>1</v>
      </c>
      <c r="O65">
        <v>0</v>
      </c>
      <c r="P65">
        <v>1</v>
      </c>
      <c r="Q65" s="77">
        <v>0</v>
      </c>
      <c r="R65" s="67">
        <v>1</v>
      </c>
      <c r="S65"/>
    </row>
    <row r="66" spans="6:19" ht="15" customHeight="1" x14ac:dyDescent="0.4">
      <c r="F66" s="41" t="s">
        <v>229</v>
      </c>
      <c r="G66">
        <v>0</v>
      </c>
      <c r="H66">
        <v>0</v>
      </c>
      <c r="I66">
        <v>0</v>
      </c>
      <c r="J66">
        <v>0</v>
      </c>
      <c r="K66">
        <v>0</v>
      </c>
      <c r="L66">
        <v>1</v>
      </c>
      <c r="M66">
        <v>0</v>
      </c>
      <c r="N66">
        <v>1</v>
      </c>
      <c r="O66">
        <v>0</v>
      </c>
      <c r="P66">
        <v>1</v>
      </c>
      <c r="Q66" s="77">
        <v>0</v>
      </c>
      <c r="R66" s="67">
        <v>1</v>
      </c>
      <c r="S66"/>
    </row>
    <row r="67" spans="6:19" ht="15" customHeight="1" x14ac:dyDescent="0.4">
      <c r="F67" s="41" t="s">
        <v>230</v>
      </c>
      <c r="G67">
        <v>0</v>
      </c>
      <c r="H67">
        <v>0</v>
      </c>
      <c r="I67">
        <v>0</v>
      </c>
      <c r="J67">
        <v>0</v>
      </c>
      <c r="K67">
        <v>0</v>
      </c>
      <c r="L67">
        <v>1</v>
      </c>
      <c r="M67">
        <v>0</v>
      </c>
      <c r="N67">
        <v>1</v>
      </c>
      <c r="O67">
        <v>0</v>
      </c>
      <c r="P67">
        <v>1</v>
      </c>
      <c r="Q67" s="77">
        <v>0</v>
      </c>
      <c r="R67" s="67">
        <v>1</v>
      </c>
      <c r="S67"/>
    </row>
    <row r="68" spans="6:19" ht="15" customHeight="1" x14ac:dyDescent="0.4">
      <c r="F68" s="41" t="s">
        <v>231</v>
      </c>
      <c r="G68">
        <v>0</v>
      </c>
      <c r="H68">
        <v>0</v>
      </c>
      <c r="I68">
        <v>0</v>
      </c>
      <c r="J68">
        <v>0</v>
      </c>
      <c r="K68">
        <v>0</v>
      </c>
      <c r="L68">
        <v>1</v>
      </c>
      <c r="M68">
        <v>0</v>
      </c>
      <c r="N68">
        <v>1</v>
      </c>
      <c r="O68">
        <v>0</v>
      </c>
      <c r="P68">
        <v>1</v>
      </c>
      <c r="Q68" s="77">
        <v>0</v>
      </c>
      <c r="R68" s="67">
        <v>1</v>
      </c>
      <c r="S68"/>
    </row>
    <row r="69" spans="6:19" ht="15" customHeight="1" x14ac:dyDescent="0.4">
      <c r="F69" s="41" t="s">
        <v>232</v>
      </c>
      <c r="G69">
        <v>0</v>
      </c>
      <c r="H69">
        <v>0</v>
      </c>
      <c r="I69">
        <v>0</v>
      </c>
      <c r="J69">
        <v>0</v>
      </c>
      <c r="K69">
        <v>0</v>
      </c>
      <c r="L69">
        <v>1</v>
      </c>
      <c r="M69">
        <v>0</v>
      </c>
      <c r="N69">
        <v>1</v>
      </c>
      <c r="O69">
        <v>0</v>
      </c>
      <c r="P69">
        <v>1</v>
      </c>
      <c r="Q69" s="77">
        <v>0</v>
      </c>
      <c r="R69" s="67">
        <v>1</v>
      </c>
      <c r="S69"/>
    </row>
    <row r="70" spans="6:19" ht="15" customHeight="1" x14ac:dyDescent="0.4">
      <c r="F70" s="41" t="s">
        <v>233</v>
      </c>
      <c r="G70">
        <v>0</v>
      </c>
      <c r="H70">
        <v>0</v>
      </c>
      <c r="I70">
        <v>0</v>
      </c>
      <c r="J70">
        <v>0</v>
      </c>
      <c r="K70">
        <v>0</v>
      </c>
      <c r="L70">
        <v>1</v>
      </c>
      <c r="M70">
        <v>0</v>
      </c>
      <c r="N70">
        <v>1</v>
      </c>
      <c r="O70">
        <v>0</v>
      </c>
      <c r="P70">
        <v>1</v>
      </c>
      <c r="Q70" s="77">
        <v>0</v>
      </c>
      <c r="R70" s="67">
        <v>1</v>
      </c>
      <c r="S70"/>
    </row>
    <row r="71" spans="6:19" ht="15" customHeight="1" x14ac:dyDescent="0.4">
      <c r="F71" s="41" t="s">
        <v>234</v>
      </c>
      <c r="G71">
        <v>0</v>
      </c>
      <c r="H71">
        <v>0</v>
      </c>
      <c r="I71">
        <v>0</v>
      </c>
      <c r="J71">
        <v>0</v>
      </c>
      <c r="K71">
        <v>0</v>
      </c>
      <c r="L71">
        <v>1</v>
      </c>
      <c r="M71">
        <v>0</v>
      </c>
      <c r="N71">
        <v>1</v>
      </c>
      <c r="O71">
        <v>0</v>
      </c>
      <c r="P71">
        <v>1</v>
      </c>
      <c r="Q71" s="77">
        <v>0</v>
      </c>
      <c r="R71" s="67">
        <v>1</v>
      </c>
      <c r="S71"/>
    </row>
    <row r="72" spans="6:19" ht="15" customHeight="1" x14ac:dyDescent="0.4">
      <c r="F72" s="41" t="s">
        <v>235</v>
      </c>
      <c r="G72">
        <v>0</v>
      </c>
      <c r="H72">
        <v>0</v>
      </c>
      <c r="I72">
        <v>0</v>
      </c>
      <c r="J72">
        <v>0</v>
      </c>
      <c r="K72">
        <v>0</v>
      </c>
      <c r="L72">
        <v>1</v>
      </c>
      <c r="M72">
        <v>0</v>
      </c>
      <c r="N72">
        <v>1</v>
      </c>
      <c r="O72">
        <v>0</v>
      </c>
      <c r="P72">
        <v>1</v>
      </c>
      <c r="Q72" s="77">
        <v>0</v>
      </c>
      <c r="R72" s="67">
        <v>1</v>
      </c>
      <c r="S72"/>
    </row>
    <row r="73" spans="6:19" ht="15" customHeight="1" x14ac:dyDescent="0.4">
      <c r="F73" s="41" t="s">
        <v>236</v>
      </c>
      <c r="G73">
        <v>0</v>
      </c>
      <c r="H73">
        <v>0</v>
      </c>
      <c r="I73">
        <v>0</v>
      </c>
      <c r="J73">
        <v>0</v>
      </c>
      <c r="K73">
        <v>0</v>
      </c>
      <c r="L73">
        <v>1</v>
      </c>
      <c r="M73">
        <v>0</v>
      </c>
      <c r="N73">
        <v>1</v>
      </c>
      <c r="O73">
        <v>0</v>
      </c>
      <c r="P73">
        <v>1</v>
      </c>
      <c r="Q73" s="77">
        <v>0</v>
      </c>
      <c r="R73" s="67">
        <v>1</v>
      </c>
      <c r="S73"/>
    </row>
    <row r="74" spans="6:19" ht="15" customHeight="1" x14ac:dyDescent="0.4">
      <c r="F74" s="41" t="s">
        <v>237</v>
      </c>
      <c r="G74">
        <v>0</v>
      </c>
      <c r="H74">
        <v>0</v>
      </c>
      <c r="I74">
        <v>0</v>
      </c>
      <c r="J74">
        <v>0</v>
      </c>
      <c r="K74">
        <v>0</v>
      </c>
      <c r="L74">
        <v>1</v>
      </c>
      <c r="M74">
        <v>0</v>
      </c>
      <c r="N74">
        <v>1</v>
      </c>
      <c r="O74">
        <v>1</v>
      </c>
      <c r="P74">
        <v>0</v>
      </c>
      <c r="Q74" s="77">
        <v>0</v>
      </c>
      <c r="R74" s="67">
        <v>1</v>
      </c>
      <c r="S74"/>
    </row>
    <row r="75" spans="6:19" ht="15" customHeight="1" x14ac:dyDescent="0.4">
      <c r="F75" s="41" t="s">
        <v>238</v>
      </c>
      <c r="G75">
        <v>0</v>
      </c>
      <c r="H75">
        <v>0</v>
      </c>
      <c r="I75">
        <v>0</v>
      </c>
      <c r="J75">
        <v>0</v>
      </c>
      <c r="K75">
        <v>0</v>
      </c>
      <c r="L75">
        <v>1</v>
      </c>
      <c r="M75">
        <v>0</v>
      </c>
      <c r="N75">
        <v>1</v>
      </c>
      <c r="O75">
        <v>1</v>
      </c>
      <c r="P75">
        <v>0</v>
      </c>
      <c r="Q75" s="77">
        <v>0</v>
      </c>
      <c r="R75" s="67">
        <v>1</v>
      </c>
      <c r="S75"/>
    </row>
    <row r="76" spans="6:19" ht="15" customHeight="1" x14ac:dyDescent="0.4">
      <c r="F76" s="41" t="s">
        <v>239</v>
      </c>
      <c r="G76">
        <v>0</v>
      </c>
      <c r="H76">
        <v>0</v>
      </c>
      <c r="I76">
        <v>0</v>
      </c>
      <c r="J76">
        <v>0</v>
      </c>
      <c r="K76">
        <v>0</v>
      </c>
      <c r="L76">
        <v>1</v>
      </c>
      <c r="M76">
        <v>0</v>
      </c>
      <c r="N76">
        <v>1</v>
      </c>
      <c r="O76">
        <v>1</v>
      </c>
      <c r="P76">
        <v>0</v>
      </c>
      <c r="Q76" s="77">
        <v>0</v>
      </c>
      <c r="R76" s="67">
        <v>1</v>
      </c>
      <c r="S76"/>
    </row>
    <row r="77" spans="6:19" ht="15" customHeight="1" x14ac:dyDescent="0.4">
      <c r="F77" s="41" t="s">
        <v>240</v>
      </c>
      <c r="G77">
        <v>0</v>
      </c>
      <c r="H77">
        <v>0</v>
      </c>
      <c r="I77">
        <v>0</v>
      </c>
      <c r="J77">
        <v>0</v>
      </c>
      <c r="K77">
        <v>0</v>
      </c>
      <c r="L77">
        <v>1</v>
      </c>
      <c r="M77">
        <v>0</v>
      </c>
      <c r="N77">
        <v>1</v>
      </c>
      <c r="O77">
        <v>1</v>
      </c>
      <c r="P77">
        <v>0</v>
      </c>
      <c r="Q77" s="77">
        <v>0</v>
      </c>
      <c r="R77" s="67">
        <v>1</v>
      </c>
      <c r="S77"/>
    </row>
    <row r="78" spans="6:19" ht="15" customHeight="1" x14ac:dyDescent="0.4">
      <c r="F78" s="41" t="s">
        <v>241</v>
      </c>
      <c r="G78">
        <v>0</v>
      </c>
      <c r="H78">
        <v>0</v>
      </c>
      <c r="I78">
        <v>0</v>
      </c>
      <c r="J78">
        <v>0</v>
      </c>
      <c r="K78">
        <v>0</v>
      </c>
      <c r="L78">
        <v>1</v>
      </c>
      <c r="M78">
        <v>0</v>
      </c>
      <c r="N78">
        <v>1</v>
      </c>
      <c r="O78">
        <v>1</v>
      </c>
      <c r="P78">
        <v>0</v>
      </c>
      <c r="Q78" s="77">
        <v>0</v>
      </c>
      <c r="R78" s="67">
        <v>1</v>
      </c>
      <c r="S78"/>
    </row>
    <row r="79" spans="6:19" ht="15" customHeight="1" x14ac:dyDescent="0.4">
      <c r="F79" s="41" t="s">
        <v>242</v>
      </c>
      <c r="G79">
        <v>0</v>
      </c>
      <c r="H79">
        <v>0</v>
      </c>
      <c r="I79">
        <v>0</v>
      </c>
      <c r="J79">
        <v>0</v>
      </c>
      <c r="K79">
        <v>0</v>
      </c>
      <c r="L79">
        <v>1</v>
      </c>
      <c r="M79">
        <v>0</v>
      </c>
      <c r="N79">
        <v>1</v>
      </c>
      <c r="O79">
        <v>1</v>
      </c>
      <c r="P79">
        <v>0</v>
      </c>
      <c r="Q79" s="77">
        <v>0</v>
      </c>
      <c r="R79" s="67">
        <v>1</v>
      </c>
      <c r="S79"/>
    </row>
    <row r="80" spans="6:19" ht="15" customHeight="1" x14ac:dyDescent="0.4">
      <c r="F80" s="41" t="s">
        <v>243</v>
      </c>
      <c r="G80">
        <v>0</v>
      </c>
      <c r="H80">
        <v>0</v>
      </c>
      <c r="I80">
        <v>0</v>
      </c>
      <c r="J80">
        <v>0</v>
      </c>
      <c r="K80">
        <v>0</v>
      </c>
      <c r="L80">
        <v>1</v>
      </c>
      <c r="M80">
        <v>0</v>
      </c>
      <c r="N80">
        <v>1</v>
      </c>
      <c r="O80">
        <v>1</v>
      </c>
      <c r="P80">
        <v>0</v>
      </c>
      <c r="Q80" s="77">
        <v>0</v>
      </c>
      <c r="R80" s="67">
        <v>1</v>
      </c>
      <c r="S80"/>
    </row>
    <row r="81" spans="6:19" ht="15" customHeight="1" x14ac:dyDescent="0.4">
      <c r="F81" s="41" t="s">
        <v>244</v>
      </c>
      <c r="G81">
        <v>0</v>
      </c>
      <c r="H81">
        <v>0</v>
      </c>
      <c r="I81">
        <v>0</v>
      </c>
      <c r="J81">
        <v>0</v>
      </c>
      <c r="K81">
        <v>0</v>
      </c>
      <c r="L81">
        <v>1</v>
      </c>
      <c r="M81">
        <v>0</v>
      </c>
      <c r="N81">
        <v>1</v>
      </c>
      <c r="O81">
        <v>1</v>
      </c>
      <c r="P81">
        <v>0</v>
      </c>
      <c r="Q81" s="77">
        <v>0</v>
      </c>
      <c r="R81" s="67">
        <v>1</v>
      </c>
      <c r="S81"/>
    </row>
    <row r="82" spans="6:19" ht="15" customHeight="1" x14ac:dyDescent="0.4">
      <c r="F82" s="41" t="s">
        <v>245</v>
      </c>
      <c r="G82">
        <v>0</v>
      </c>
      <c r="H82">
        <v>0</v>
      </c>
      <c r="I82">
        <v>0</v>
      </c>
      <c r="J82">
        <v>0</v>
      </c>
      <c r="K82">
        <v>1</v>
      </c>
      <c r="L82">
        <v>0</v>
      </c>
      <c r="M82">
        <v>0</v>
      </c>
      <c r="N82">
        <v>1</v>
      </c>
      <c r="O82">
        <v>1</v>
      </c>
      <c r="P82">
        <v>0</v>
      </c>
      <c r="Q82" s="77">
        <v>0</v>
      </c>
      <c r="R82" s="67">
        <v>1</v>
      </c>
      <c r="S82"/>
    </row>
    <row r="83" spans="6:19" ht="15" customHeight="1" x14ac:dyDescent="0.4">
      <c r="F83" s="41" t="s">
        <v>246</v>
      </c>
      <c r="G83">
        <v>0</v>
      </c>
      <c r="H83">
        <v>0</v>
      </c>
      <c r="I83">
        <v>0</v>
      </c>
      <c r="J83">
        <v>0</v>
      </c>
      <c r="K83">
        <v>0</v>
      </c>
      <c r="L83">
        <v>1</v>
      </c>
      <c r="M83">
        <v>0</v>
      </c>
      <c r="N83">
        <v>1</v>
      </c>
      <c r="O83">
        <v>1</v>
      </c>
      <c r="P83">
        <v>0</v>
      </c>
      <c r="Q83" s="77">
        <v>0</v>
      </c>
      <c r="R83" s="67">
        <v>1</v>
      </c>
      <c r="S83"/>
    </row>
    <row r="84" spans="6:19" ht="15" customHeight="1" x14ac:dyDescent="0.4">
      <c r="F84" s="41" t="s">
        <v>247</v>
      </c>
      <c r="G84">
        <v>0</v>
      </c>
      <c r="H84">
        <v>0</v>
      </c>
      <c r="I84">
        <v>0</v>
      </c>
      <c r="J84">
        <v>0</v>
      </c>
      <c r="K84">
        <v>0</v>
      </c>
      <c r="L84">
        <v>1</v>
      </c>
      <c r="M84">
        <v>0</v>
      </c>
      <c r="N84">
        <v>1</v>
      </c>
      <c r="O84">
        <v>1</v>
      </c>
      <c r="P84">
        <v>0</v>
      </c>
      <c r="Q84" s="77">
        <v>0</v>
      </c>
      <c r="R84" s="67">
        <v>1</v>
      </c>
      <c r="S84"/>
    </row>
    <row r="85" spans="6:19" ht="15" customHeight="1" x14ac:dyDescent="0.4">
      <c r="F85" s="41" t="s">
        <v>280</v>
      </c>
      <c r="G85">
        <v>0</v>
      </c>
      <c r="H85">
        <v>0</v>
      </c>
      <c r="I85">
        <v>0</v>
      </c>
      <c r="J85">
        <v>0</v>
      </c>
      <c r="K85">
        <v>0</v>
      </c>
      <c r="L85">
        <v>1</v>
      </c>
      <c r="M85">
        <v>0</v>
      </c>
      <c r="N85">
        <v>1</v>
      </c>
      <c r="O85">
        <v>1</v>
      </c>
      <c r="P85">
        <v>0</v>
      </c>
      <c r="Q85" s="77">
        <v>0</v>
      </c>
      <c r="R85" s="67">
        <v>1</v>
      </c>
      <c r="S85"/>
    </row>
    <row r="86" spans="6:19" ht="15" customHeight="1" x14ac:dyDescent="0.4">
      <c r="F86" s="41" t="s">
        <v>281</v>
      </c>
      <c r="G86" s="216">
        <v>0</v>
      </c>
      <c r="H86" s="216">
        <v>0</v>
      </c>
      <c r="I86" s="216">
        <v>0</v>
      </c>
      <c r="J86" s="216">
        <v>0</v>
      </c>
      <c r="K86" s="216">
        <v>0</v>
      </c>
      <c r="L86" s="216">
        <v>1</v>
      </c>
      <c r="M86" s="216">
        <v>0</v>
      </c>
      <c r="N86" s="216">
        <v>1</v>
      </c>
      <c r="O86" s="216">
        <v>1</v>
      </c>
      <c r="P86" s="216">
        <v>0</v>
      </c>
      <c r="Q86" s="77">
        <v>0</v>
      </c>
      <c r="R86" s="219">
        <v>1</v>
      </c>
      <c r="S86" s="216"/>
    </row>
    <row r="87" spans="6:19" ht="15" customHeight="1" x14ac:dyDescent="0.4">
      <c r="F87" s="41" t="s">
        <v>248</v>
      </c>
      <c r="G87">
        <v>0</v>
      </c>
      <c r="H87">
        <v>0</v>
      </c>
      <c r="I87">
        <v>0</v>
      </c>
      <c r="J87">
        <v>0</v>
      </c>
      <c r="K87">
        <v>1</v>
      </c>
      <c r="L87">
        <v>0</v>
      </c>
      <c r="M87">
        <v>0</v>
      </c>
      <c r="N87">
        <v>1</v>
      </c>
      <c r="O87">
        <v>1</v>
      </c>
      <c r="P87">
        <v>0</v>
      </c>
      <c r="Q87" s="77">
        <v>0</v>
      </c>
      <c r="R87" s="67">
        <v>1</v>
      </c>
      <c r="S87"/>
    </row>
    <row r="88" spans="6:19" ht="15" customHeight="1" x14ac:dyDescent="0.4">
      <c r="F88" s="41" t="s">
        <v>249</v>
      </c>
      <c r="G88">
        <v>0</v>
      </c>
      <c r="H88">
        <v>0</v>
      </c>
      <c r="I88">
        <v>0</v>
      </c>
      <c r="J88">
        <v>0</v>
      </c>
      <c r="K88">
        <v>1</v>
      </c>
      <c r="L88">
        <v>0</v>
      </c>
      <c r="M88">
        <v>0</v>
      </c>
      <c r="N88">
        <v>1</v>
      </c>
      <c r="O88">
        <v>1</v>
      </c>
      <c r="P88">
        <v>0</v>
      </c>
      <c r="Q88" s="77">
        <v>0</v>
      </c>
      <c r="R88" s="67">
        <v>1</v>
      </c>
      <c r="S88"/>
    </row>
    <row r="89" spans="6:19" ht="15" customHeight="1" x14ac:dyDescent="0.4">
      <c r="F89" s="41" t="s">
        <v>282</v>
      </c>
      <c r="G89">
        <v>0</v>
      </c>
      <c r="H89">
        <v>0</v>
      </c>
      <c r="I89">
        <v>0</v>
      </c>
      <c r="J89">
        <v>0</v>
      </c>
      <c r="K89">
        <v>1</v>
      </c>
      <c r="L89">
        <v>0</v>
      </c>
      <c r="M89">
        <v>0</v>
      </c>
      <c r="N89">
        <v>1</v>
      </c>
      <c r="O89">
        <v>1</v>
      </c>
      <c r="P89">
        <v>0</v>
      </c>
      <c r="Q89" s="77">
        <v>0</v>
      </c>
      <c r="R89" s="67">
        <v>1</v>
      </c>
      <c r="S89"/>
    </row>
    <row r="90" spans="6:19" ht="15" customHeight="1" x14ac:dyDescent="0.4">
      <c r="F90" s="41" t="s">
        <v>283</v>
      </c>
      <c r="G90" s="216">
        <v>0</v>
      </c>
      <c r="H90" s="216">
        <v>0</v>
      </c>
      <c r="I90" s="216">
        <v>0</v>
      </c>
      <c r="J90" s="216">
        <v>0</v>
      </c>
      <c r="K90" s="216">
        <v>1</v>
      </c>
      <c r="L90" s="216">
        <v>0</v>
      </c>
      <c r="M90" s="216">
        <v>0</v>
      </c>
      <c r="N90" s="216">
        <v>1</v>
      </c>
      <c r="O90" s="216">
        <v>1</v>
      </c>
      <c r="P90" s="216">
        <v>0</v>
      </c>
      <c r="Q90" s="77">
        <v>0</v>
      </c>
      <c r="R90" s="219">
        <v>1</v>
      </c>
      <c r="S90" s="216"/>
    </row>
    <row r="91" spans="6:19" ht="15" customHeight="1" x14ac:dyDescent="0.4">
      <c r="F91" s="41" t="s">
        <v>250</v>
      </c>
      <c r="G91">
        <v>0</v>
      </c>
      <c r="H91">
        <v>0</v>
      </c>
      <c r="I91">
        <v>0</v>
      </c>
      <c r="J91">
        <v>0</v>
      </c>
      <c r="K91">
        <v>0</v>
      </c>
      <c r="L91">
        <v>1</v>
      </c>
      <c r="M91">
        <v>0</v>
      </c>
      <c r="N91">
        <v>1</v>
      </c>
      <c r="O91">
        <v>1</v>
      </c>
      <c r="P91">
        <v>0</v>
      </c>
      <c r="Q91" s="77">
        <v>0</v>
      </c>
      <c r="R91" s="101">
        <v>0</v>
      </c>
      <c r="S91" s="216"/>
    </row>
    <row r="92" spans="6:19" ht="15" customHeight="1" thickBot="1" x14ac:dyDescent="0.45">
      <c r="F92" s="41" t="s">
        <v>251</v>
      </c>
      <c r="G92">
        <v>0</v>
      </c>
      <c r="H92">
        <v>0</v>
      </c>
      <c r="I92">
        <v>0</v>
      </c>
      <c r="J92">
        <v>0</v>
      </c>
      <c r="K92">
        <v>0</v>
      </c>
      <c r="L92">
        <v>1</v>
      </c>
      <c r="M92">
        <v>0</v>
      </c>
      <c r="N92">
        <v>1</v>
      </c>
      <c r="O92">
        <v>1</v>
      </c>
      <c r="P92">
        <v>0</v>
      </c>
      <c r="Q92" s="77">
        <v>0</v>
      </c>
      <c r="R92" s="101">
        <v>0</v>
      </c>
      <c r="S92" s="216"/>
    </row>
    <row r="93" spans="6:19" ht="15" customHeight="1" thickBot="1" x14ac:dyDescent="0.45">
      <c r="F93" s="41" t="s">
        <v>252</v>
      </c>
      <c r="G93">
        <v>0</v>
      </c>
      <c r="H93">
        <v>0</v>
      </c>
      <c r="I93">
        <v>0</v>
      </c>
      <c r="J93">
        <v>0</v>
      </c>
      <c r="K93">
        <v>0</v>
      </c>
      <c r="L93">
        <v>1</v>
      </c>
      <c r="M93">
        <v>0</v>
      </c>
      <c r="N93">
        <v>1</v>
      </c>
      <c r="O93" s="103">
        <v>1</v>
      </c>
      <c r="P93" s="104">
        <v>0</v>
      </c>
      <c r="Q93" s="77">
        <v>0</v>
      </c>
      <c r="R93" s="101">
        <v>0</v>
      </c>
      <c r="S93" s="216"/>
    </row>
    <row r="94" spans="6:19" ht="15" customHeight="1" thickBot="1" x14ac:dyDescent="0.45">
      <c r="F94" s="41" t="s">
        <v>253</v>
      </c>
      <c r="G94">
        <v>0</v>
      </c>
      <c r="H94">
        <v>0</v>
      </c>
      <c r="I94">
        <v>0</v>
      </c>
      <c r="J94">
        <v>0</v>
      </c>
      <c r="K94">
        <v>0</v>
      </c>
      <c r="L94">
        <v>1</v>
      </c>
      <c r="M94">
        <v>0</v>
      </c>
      <c r="N94">
        <v>1</v>
      </c>
      <c r="O94" s="103">
        <v>0</v>
      </c>
      <c r="P94" s="104">
        <v>1</v>
      </c>
      <c r="Q94" s="77">
        <v>0</v>
      </c>
      <c r="R94" s="67">
        <v>1</v>
      </c>
      <c r="S94" s="216"/>
    </row>
    <row r="95" spans="6:19" ht="15" customHeight="1" thickBot="1" x14ac:dyDescent="0.45">
      <c r="F95" s="41" t="s">
        <v>254</v>
      </c>
      <c r="G95">
        <v>0</v>
      </c>
      <c r="H95">
        <v>0</v>
      </c>
      <c r="I95">
        <v>0</v>
      </c>
      <c r="J95">
        <v>0</v>
      </c>
      <c r="K95">
        <v>0</v>
      </c>
      <c r="L95">
        <v>1</v>
      </c>
      <c r="M95">
        <v>0</v>
      </c>
      <c r="N95">
        <v>1</v>
      </c>
      <c r="O95" s="103">
        <v>0</v>
      </c>
      <c r="P95" s="104">
        <v>1</v>
      </c>
      <c r="Q95" s="77">
        <v>0</v>
      </c>
      <c r="R95" s="67">
        <v>1</v>
      </c>
      <c r="S95" s="216"/>
    </row>
    <row r="96" spans="6:19" ht="15" customHeight="1" x14ac:dyDescent="0.4">
      <c r="F96" s="252" t="s">
        <v>433</v>
      </c>
      <c r="G96">
        <v>0</v>
      </c>
      <c r="H96">
        <v>0</v>
      </c>
      <c r="I96">
        <v>0</v>
      </c>
      <c r="J96">
        <v>0</v>
      </c>
      <c r="K96" s="105">
        <v>0</v>
      </c>
      <c r="L96" s="106">
        <v>1</v>
      </c>
      <c r="M96">
        <v>0</v>
      </c>
      <c r="N96">
        <v>0</v>
      </c>
      <c r="O96">
        <v>0</v>
      </c>
      <c r="P96">
        <v>0</v>
      </c>
      <c r="Q96" s="77">
        <v>0</v>
      </c>
      <c r="R96" s="67">
        <v>1</v>
      </c>
      <c r="S96"/>
    </row>
    <row r="97" spans="6:19" ht="15" customHeight="1" x14ac:dyDescent="0.4">
      <c r="F97" s="252" t="s">
        <v>434</v>
      </c>
      <c r="G97">
        <v>0</v>
      </c>
      <c r="H97">
        <v>0</v>
      </c>
      <c r="I97">
        <v>0</v>
      </c>
      <c r="J97">
        <v>0</v>
      </c>
      <c r="K97" s="107">
        <v>0</v>
      </c>
      <c r="L97" s="108">
        <v>1</v>
      </c>
      <c r="M97">
        <v>0</v>
      </c>
      <c r="N97">
        <v>0</v>
      </c>
      <c r="O97">
        <v>0</v>
      </c>
      <c r="P97">
        <v>0</v>
      </c>
      <c r="Q97" s="77">
        <v>0</v>
      </c>
      <c r="R97" s="67">
        <v>1</v>
      </c>
      <c r="S97"/>
    </row>
    <row r="98" spans="6:19" ht="15" customHeight="1" x14ac:dyDescent="0.4">
      <c r="F98" s="252" t="s">
        <v>435</v>
      </c>
      <c r="G98">
        <v>0</v>
      </c>
      <c r="H98">
        <v>0</v>
      </c>
      <c r="I98">
        <v>0</v>
      </c>
      <c r="J98">
        <v>0</v>
      </c>
      <c r="K98" s="107">
        <v>0</v>
      </c>
      <c r="L98" s="108">
        <v>1</v>
      </c>
      <c r="M98">
        <v>0</v>
      </c>
      <c r="N98">
        <v>0</v>
      </c>
      <c r="O98">
        <v>0</v>
      </c>
      <c r="P98">
        <v>0</v>
      </c>
      <c r="Q98" s="77">
        <v>0</v>
      </c>
      <c r="R98" s="67">
        <v>1</v>
      </c>
      <c r="S98"/>
    </row>
    <row r="99" spans="6:19" ht="15" customHeight="1" x14ac:dyDescent="0.4">
      <c r="F99" s="252" t="s">
        <v>436</v>
      </c>
      <c r="G99">
        <v>0</v>
      </c>
      <c r="H99">
        <v>0</v>
      </c>
      <c r="I99">
        <v>0</v>
      </c>
      <c r="J99">
        <v>0</v>
      </c>
      <c r="K99" s="107">
        <v>0</v>
      </c>
      <c r="L99" s="108">
        <v>1</v>
      </c>
      <c r="M99">
        <v>0</v>
      </c>
      <c r="N99">
        <v>0</v>
      </c>
      <c r="O99">
        <v>0</v>
      </c>
      <c r="P99">
        <v>0</v>
      </c>
      <c r="Q99" s="77">
        <v>0</v>
      </c>
      <c r="R99" s="67">
        <v>1</v>
      </c>
      <c r="S99"/>
    </row>
    <row r="100" spans="6:19" ht="15" customHeight="1" x14ac:dyDescent="0.4">
      <c r="F100" s="252" t="s">
        <v>437</v>
      </c>
      <c r="G100">
        <v>0</v>
      </c>
      <c r="H100">
        <v>0</v>
      </c>
      <c r="I100">
        <v>0</v>
      </c>
      <c r="J100">
        <v>0</v>
      </c>
      <c r="K100" s="107">
        <v>0</v>
      </c>
      <c r="L100" s="108">
        <v>1</v>
      </c>
      <c r="M100">
        <v>0</v>
      </c>
      <c r="N100">
        <v>0</v>
      </c>
      <c r="O100">
        <v>0</v>
      </c>
      <c r="P100">
        <v>0</v>
      </c>
      <c r="Q100" s="77">
        <v>0</v>
      </c>
      <c r="R100" s="67">
        <v>1</v>
      </c>
      <c r="S100"/>
    </row>
    <row r="101" spans="6:19" ht="15" customHeight="1" x14ac:dyDescent="0.4">
      <c r="F101" s="252" t="s">
        <v>438</v>
      </c>
      <c r="G101">
        <v>0</v>
      </c>
      <c r="H101">
        <v>0</v>
      </c>
      <c r="I101">
        <v>0</v>
      </c>
      <c r="J101">
        <v>0</v>
      </c>
      <c r="K101" s="107">
        <v>0</v>
      </c>
      <c r="L101" s="108">
        <v>1</v>
      </c>
      <c r="M101">
        <v>0</v>
      </c>
      <c r="N101">
        <v>0</v>
      </c>
      <c r="O101">
        <v>0</v>
      </c>
      <c r="P101">
        <v>0</v>
      </c>
      <c r="Q101" s="77">
        <v>0</v>
      </c>
      <c r="R101" s="67">
        <v>1</v>
      </c>
      <c r="S101"/>
    </row>
    <row r="102" spans="6:19" ht="15" customHeight="1" x14ac:dyDescent="0.4">
      <c r="F102" s="252" t="s">
        <v>439</v>
      </c>
      <c r="G102">
        <v>0</v>
      </c>
      <c r="H102">
        <v>0</v>
      </c>
      <c r="I102">
        <v>0</v>
      </c>
      <c r="J102">
        <v>0</v>
      </c>
      <c r="K102" s="107">
        <v>0</v>
      </c>
      <c r="L102" s="108">
        <v>1</v>
      </c>
      <c r="M102">
        <v>0</v>
      </c>
      <c r="N102">
        <v>0</v>
      </c>
      <c r="O102">
        <v>0</v>
      </c>
      <c r="P102">
        <v>0</v>
      </c>
      <c r="Q102" s="77">
        <v>0</v>
      </c>
      <c r="R102" s="67">
        <v>1</v>
      </c>
      <c r="S102"/>
    </row>
    <row r="103" spans="6:19" ht="15" customHeight="1" x14ac:dyDescent="0.4">
      <c r="F103" s="253" t="s">
        <v>440</v>
      </c>
      <c r="G103">
        <v>0</v>
      </c>
      <c r="H103">
        <v>0</v>
      </c>
      <c r="I103">
        <v>0</v>
      </c>
      <c r="J103">
        <v>0</v>
      </c>
      <c r="K103" s="107">
        <v>0</v>
      </c>
      <c r="L103" s="108">
        <v>1</v>
      </c>
      <c r="M103">
        <v>0</v>
      </c>
      <c r="N103">
        <v>0</v>
      </c>
      <c r="O103">
        <v>0</v>
      </c>
      <c r="P103">
        <v>0</v>
      </c>
      <c r="Q103" s="77">
        <v>0</v>
      </c>
      <c r="R103" s="67">
        <v>1</v>
      </c>
      <c r="S103"/>
    </row>
    <row r="104" spans="6:19" ht="15" customHeight="1" thickBot="1" x14ac:dyDescent="0.45">
      <c r="F104" s="253" t="s">
        <v>264</v>
      </c>
      <c r="G104">
        <v>0</v>
      </c>
      <c r="H104">
        <v>0</v>
      </c>
      <c r="I104">
        <v>0</v>
      </c>
      <c r="J104">
        <v>0</v>
      </c>
      <c r="K104" s="109">
        <v>0</v>
      </c>
      <c r="L104" s="110">
        <v>1</v>
      </c>
      <c r="M104">
        <v>0</v>
      </c>
      <c r="N104">
        <v>0</v>
      </c>
      <c r="O104">
        <v>0</v>
      </c>
      <c r="P104">
        <v>0</v>
      </c>
      <c r="Q104" s="77">
        <v>0</v>
      </c>
      <c r="R104" s="67">
        <v>1</v>
      </c>
      <c r="S104"/>
    </row>
    <row r="107" spans="6:19" ht="15" customHeight="1" x14ac:dyDescent="0.4">
      <c r="F107"/>
      <c r="G107"/>
      <c r="H107"/>
      <c r="I107"/>
      <c r="J107"/>
      <c r="K107"/>
      <c r="L107"/>
      <c r="M107"/>
      <c r="N107"/>
      <c r="O107"/>
      <c r="P107"/>
      <c r="Q107"/>
      <c r="R107"/>
    </row>
    <row r="108" spans="6:19" ht="15" customHeight="1" x14ac:dyDescent="0.4">
      <c r="O108" s="38" t="s">
        <v>158</v>
      </c>
    </row>
    <row r="109" spans="6:19" ht="15" customHeight="1" x14ac:dyDescent="0.4">
      <c r="K109" s="38" t="s">
        <v>174</v>
      </c>
    </row>
    <row r="110" spans="6:19" ht="15" customHeight="1" x14ac:dyDescent="0.4">
      <c r="K110" s="38" t="s">
        <v>173</v>
      </c>
    </row>
    <row r="137" spans="6:20" ht="15" customHeight="1" x14ac:dyDescent="0.4">
      <c r="T137"/>
    </row>
    <row r="138" spans="6:20" ht="15" customHeight="1" x14ac:dyDescent="0.4">
      <c r="T138"/>
    </row>
    <row r="139" spans="6:20" ht="15" customHeight="1" x14ac:dyDescent="0.4">
      <c r="F139"/>
      <c r="G139"/>
      <c r="H139"/>
      <c r="I139"/>
      <c r="J139"/>
      <c r="K139"/>
      <c r="L139"/>
      <c r="M139"/>
      <c r="N139"/>
      <c r="O139"/>
      <c r="P139"/>
      <c r="Q139"/>
      <c r="R139"/>
      <c r="S139"/>
      <c r="T139"/>
    </row>
    <row r="140" spans="6:20" ht="15" customHeight="1" x14ac:dyDescent="0.4">
      <c r="F140"/>
      <c r="G140"/>
      <c r="H140"/>
      <c r="I140"/>
      <c r="J140"/>
      <c r="K140"/>
      <c r="L140"/>
      <c r="M140"/>
      <c r="N140"/>
      <c r="O140"/>
      <c r="P140"/>
      <c r="Q140"/>
      <c r="R140"/>
      <c r="S140"/>
      <c r="T140"/>
    </row>
    <row r="141" spans="6:20" ht="15" customHeight="1" x14ac:dyDescent="0.4">
      <c r="F141"/>
      <c r="G141"/>
      <c r="H141"/>
      <c r="I141"/>
      <c r="J141"/>
      <c r="K141"/>
      <c r="L141"/>
      <c r="M141"/>
      <c r="N141"/>
      <c r="O141"/>
      <c r="P141"/>
      <c r="Q141"/>
      <c r="R141"/>
      <c r="S141"/>
      <c r="T141"/>
    </row>
    <row r="142" spans="6:20" ht="15" customHeight="1" x14ac:dyDescent="0.4">
      <c r="F142"/>
      <c r="G142"/>
      <c r="H142"/>
      <c r="I142"/>
      <c r="J142"/>
      <c r="K142"/>
      <c r="L142"/>
      <c r="M142"/>
      <c r="N142"/>
      <c r="O142"/>
      <c r="P142"/>
      <c r="Q142"/>
      <c r="R142"/>
      <c r="S142"/>
      <c r="T142"/>
    </row>
    <row r="143" spans="6:20" ht="15" customHeight="1" x14ac:dyDescent="0.4">
      <c r="F143"/>
      <c r="G143"/>
      <c r="H143"/>
      <c r="I143"/>
      <c r="J143"/>
      <c r="K143"/>
      <c r="L143"/>
      <c r="M143"/>
      <c r="N143"/>
      <c r="O143"/>
      <c r="P143"/>
      <c r="Q143"/>
      <c r="R143"/>
      <c r="S143"/>
      <c r="T143"/>
    </row>
    <row r="144" spans="6:20" ht="15" customHeight="1" x14ac:dyDescent="0.4">
      <c r="F144"/>
      <c r="G144"/>
      <c r="H144"/>
      <c r="I144"/>
      <c r="J144"/>
      <c r="K144"/>
      <c r="L144"/>
      <c r="M144"/>
      <c r="N144"/>
      <c r="O144"/>
      <c r="P144"/>
      <c r="Q144"/>
      <c r="R144"/>
      <c r="S144"/>
      <c r="T144"/>
    </row>
    <row r="145" spans="6:19" ht="15" customHeight="1" x14ac:dyDescent="0.4">
      <c r="F145"/>
      <c r="G145"/>
      <c r="H145"/>
      <c r="I145"/>
      <c r="J145"/>
      <c r="K145"/>
      <c r="L145"/>
      <c r="M145"/>
      <c r="N145"/>
      <c r="O145"/>
      <c r="P145"/>
      <c r="Q145"/>
      <c r="R145"/>
      <c r="S145"/>
    </row>
    <row r="146" spans="6:19" ht="15" customHeight="1" x14ac:dyDescent="0.4">
      <c r="F146"/>
      <c r="G146"/>
      <c r="H146"/>
      <c r="I146"/>
      <c r="J146"/>
      <c r="K146"/>
      <c r="L146"/>
      <c r="M146"/>
      <c r="N146"/>
      <c r="O146"/>
      <c r="P146"/>
      <c r="Q146"/>
      <c r="R146"/>
      <c r="S146"/>
    </row>
    <row r="148" spans="6:19" ht="15" customHeight="1" x14ac:dyDescent="0.4">
      <c r="K148" s="76"/>
      <c r="L148" s="76"/>
      <c r="M148" s="76"/>
      <c r="N148" s="76"/>
      <c r="O148"/>
      <c r="P148"/>
      <c r="Q148"/>
    </row>
    <row r="149" spans="6:19" ht="15" customHeight="1" x14ac:dyDescent="0.4">
      <c r="K149" s="76"/>
      <c r="L149" s="76"/>
      <c r="M149" s="76"/>
      <c r="N149" s="76"/>
      <c r="O149"/>
      <c r="P149"/>
      <c r="Q149"/>
    </row>
    <row r="150" spans="6:19" ht="15" customHeight="1" x14ac:dyDescent="0.4">
      <c r="K150" s="76"/>
      <c r="L150" s="76"/>
      <c r="M150" s="76"/>
      <c r="N150" s="76"/>
      <c r="P150"/>
      <c r="Q150"/>
    </row>
    <row r="151" spans="6:19" ht="15" customHeight="1" x14ac:dyDescent="0.4">
      <c r="L151" s="38"/>
      <c r="M151" s="38"/>
      <c r="N151" s="38"/>
      <c r="O151"/>
      <c r="P151"/>
      <c r="Q151"/>
    </row>
    <row r="152" spans="6:19" ht="15" customHeight="1" x14ac:dyDescent="0.4">
      <c r="L152" s="38"/>
      <c r="M152" s="38"/>
      <c r="N152" s="38"/>
      <c r="O152"/>
      <c r="P152"/>
      <c r="Q152"/>
    </row>
  </sheetData>
  <pageMargins left="0.75" right="0.75" top="1" bottom="1" header="0.5" footer="0.5"/>
  <pageSetup orientation="portrait" horizontalDpi="4294967292" verticalDpi="429496729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DC523"/>
  <sheetViews>
    <sheetView workbookViewId="0">
      <pane xSplit="1" ySplit="1" topLeftCell="B2" activePane="bottomRight" state="frozen"/>
      <selection pane="topRight" activeCell="B1" sqref="B1"/>
      <selection pane="bottomLeft" activeCell="A2" sqref="A2"/>
      <selection pane="bottomRight" activeCell="C3" sqref="C3"/>
    </sheetView>
  </sheetViews>
  <sheetFormatPr defaultColWidth="8.83203125" defaultRowHeight="12.3" x14ac:dyDescent="0.4"/>
  <cols>
    <col min="1" max="1" width="40" bestFit="1" customWidth="1"/>
    <col min="2" max="5" width="7.83203125" style="68" customWidth="1"/>
    <col min="6" max="80" width="8.83203125" style="6"/>
    <col min="81" max="81" width="22.1640625" style="6" bestFit="1" customWidth="1"/>
    <col min="82" max="91" width="8.83203125" style="6"/>
  </cols>
  <sheetData>
    <row r="1" spans="1:107" x14ac:dyDescent="0.4">
      <c r="A1" s="4" t="s">
        <v>161</v>
      </c>
      <c r="B1" s="14" t="s">
        <v>162</v>
      </c>
      <c r="C1" s="14" t="s">
        <v>18</v>
      </c>
      <c r="D1" s="14" t="s">
        <v>163</v>
      </c>
      <c r="E1" s="14" t="s">
        <v>164</v>
      </c>
      <c r="F1" s="6" t="s">
        <v>38</v>
      </c>
      <c r="G1" s="6" t="s">
        <v>40</v>
      </c>
      <c r="H1" s="6" t="s">
        <v>41</v>
      </c>
      <c r="I1" s="6" t="s">
        <v>177</v>
      </c>
      <c r="J1" s="6" t="s">
        <v>178</v>
      </c>
      <c r="K1" s="6" t="s">
        <v>179</v>
      </c>
      <c r="L1" s="6" t="s">
        <v>180</v>
      </c>
      <c r="M1" s="6" t="s">
        <v>181</v>
      </c>
      <c r="N1" s="6" t="s">
        <v>182</v>
      </c>
      <c r="O1" s="6" t="s">
        <v>183</v>
      </c>
      <c r="P1" s="6" t="s">
        <v>184</v>
      </c>
      <c r="Q1" s="6" t="s">
        <v>185</v>
      </c>
      <c r="R1" s="6" t="s">
        <v>186</v>
      </c>
      <c r="S1" s="6" t="s">
        <v>187</v>
      </c>
      <c r="T1" s="6" t="s">
        <v>188</v>
      </c>
      <c r="U1" s="6" t="s">
        <v>189</v>
      </c>
      <c r="V1" s="6" t="s">
        <v>273</v>
      </c>
      <c r="W1" s="6" t="s">
        <v>190</v>
      </c>
      <c r="X1" s="6" t="s">
        <v>191</v>
      </c>
      <c r="Y1" s="6" t="s">
        <v>192</v>
      </c>
      <c r="Z1" s="6" t="s">
        <v>193</v>
      </c>
      <c r="AA1" s="6" t="s">
        <v>194</v>
      </c>
      <c r="AB1" s="6" t="s">
        <v>195</v>
      </c>
      <c r="AC1" s="6" t="s">
        <v>196</v>
      </c>
      <c r="AD1" s="6" t="s">
        <v>197</v>
      </c>
      <c r="AE1" s="217" t="s">
        <v>198</v>
      </c>
      <c r="AF1" s="44" t="s">
        <v>199</v>
      </c>
      <c r="AG1" s="44" t="s">
        <v>265</v>
      </c>
      <c r="AH1" s="44" t="s">
        <v>274</v>
      </c>
      <c r="AI1" s="44" t="s">
        <v>275</v>
      </c>
      <c r="AJ1" s="44" t="s">
        <v>276</v>
      </c>
      <c r="AK1" s="44" t="s">
        <v>277</v>
      </c>
      <c r="AL1" s="217" t="s">
        <v>278</v>
      </c>
      <c r="AM1" s="6" t="s">
        <v>279</v>
      </c>
      <c r="AN1" s="6" t="s">
        <v>200</v>
      </c>
      <c r="AO1" s="6" t="s">
        <v>201</v>
      </c>
      <c r="AP1" s="6" t="s">
        <v>202</v>
      </c>
      <c r="AQ1" s="6" t="s">
        <v>203</v>
      </c>
      <c r="AR1" s="6" t="s">
        <v>204</v>
      </c>
      <c r="AS1" s="6" t="s">
        <v>205</v>
      </c>
      <c r="AT1" s="6" t="s">
        <v>206</v>
      </c>
      <c r="AU1" s="6" t="s">
        <v>207</v>
      </c>
      <c r="AV1" s="6" t="s">
        <v>208</v>
      </c>
      <c r="AW1" s="6" t="s">
        <v>209</v>
      </c>
      <c r="AX1" s="6" t="s">
        <v>210</v>
      </c>
      <c r="AY1" s="6" t="s">
        <v>211</v>
      </c>
      <c r="AZ1" s="6" t="s">
        <v>212</v>
      </c>
      <c r="BA1" s="6" t="s">
        <v>213</v>
      </c>
      <c r="BB1" s="6" t="s">
        <v>214</v>
      </c>
      <c r="BC1" s="6" t="s">
        <v>215</v>
      </c>
      <c r="BD1" s="6" t="s">
        <v>216</v>
      </c>
      <c r="BE1" s="6" t="s">
        <v>217</v>
      </c>
      <c r="BF1" s="6" t="s">
        <v>218</v>
      </c>
      <c r="BG1" s="6" t="s">
        <v>219</v>
      </c>
      <c r="BH1" s="6" t="s">
        <v>220</v>
      </c>
      <c r="BI1" s="6" t="s">
        <v>221</v>
      </c>
      <c r="BJ1" s="6" t="s">
        <v>222</v>
      </c>
      <c r="BK1" s="6" t="s">
        <v>223</v>
      </c>
      <c r="BL1" s="6" t="s">
        <v>224</v>
      </c>
      <c r="BM1" s="6" t="s">
        <v>225</v>
      </c>
      <c r="BN1" s="6" t="s">
        <v>226</v>
      </c>
      <c r="BO1" s="6" t="s">
        <v>227</v>
      </c>
      <c r="BP1" s="6" t="s">
        <v>228</v>
      </c>
      <c r="BQ1" s="6" t="s">
        <v>229</v>
      </c>
      <c r="BR1" s="6" t="s">
        <v>230</v>
      </c>
      <c r="BS1" s="6" t="s">
        <v>231</v>
      </c>
      <c r="BT1" s="6" t="s">
        <v>232</v>
      </c>
      <c r="BU1" s="6" t="s">
        <v>233</v>
      </c>
      <c r="BV1" s="6" t="s">
        <v>234</v>
      </c>
      <c r="BW1" s="6" t="s">
        <v>235</v>
      </c>
      <c r="BX1" s="6" t="s">
        <v>236</v>
      </c>
      <c r="BY1" s="6" t="s">
        <v>237</v>
      </c>
      <c r="BZ1" s="6" t="s">
        <v>238</v>
      </c>
      <c r="CA1" s="6" t="s">
        <v>239</v>
      </c>
      <c r="CB1" s="6" t="s">
        <v>240</v>
      </c>
      <c r="CC1" s="6" t="s">
        <v>241</v>
      </c>
      <c r="CD1" s="6" t="s">
        <v>242</v>
      </c>
      <c r="CE1" s="6" t="s">
        <v>243</v>
      </c>
      <c r="CF1" s="6" t="s">
        <v>244</v>
      </c>
      <c r="CG1" s="6" t="s">
        <v>245</v>
      </c>
      <c r="CH1" s="6" t="s">
        <v>246</v>
      </c>
      <c r="CI1" s="6" t="s">
        <v>247</v>
      </c>
      <c r="CJ1" s="6" t="s">
        <v>280</v>
      </c>
      <c r="CK1" s="6" t="s">
        <v>281</v>
      </c>
      <c r="CL1" s="6" t="s">
        <v>248</v>
      </c>
      <c r="CM1" s="6" t="s">
        <v>249</v>
      </c>
      <c r="CN1" t="s">
        <v>282</v>
      </c>
      <c r="CO1" t="s">
        <v>283</v>
      </c>
      <c r="CP1" t="s">
        <v>250</v>
      </c>
      <c r="CQ1" t="s">
        <v>251</v>
      </c>
      <c r="CR1" t="s">
        <v>252</v>
      </c>
      <c r="CS1" t="s">
        <v>253</v>
      </c>
      <c r="CT1" t="s">
        <v>254</v>
      </c>
      <c r="CU1" t="s">
        <v>433</v>
      </c>
      <c r="CV1" t="s">
        <v>434</v>
      </c>
      <c r="CW1" t="s">
        <v>435</v>
      </c>
      <c r="CX1" t="s">
        <v>436</v>
      </c>
      <c r="CY1" t="s">
        <v>437</v>
      </c>
      <c r="CZ1" t="s">
        <v>438</v>
      </c>
      <c r="DA1" t="s">
        <v>439</v>
      </c>
      <c r="DB1" t="s">
        <v>440</v>
      </c>
      <c r="DC1" t="s">
        <v>264</v>
      </c>
    </row>
    <row r="2" spans="1:107" x14ac:dyDescent="0.4">
      <c r="A2" s="41" t="s">
        <v>38</v>
      </c>
      <c r="B2" s="68">
        <v>0</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row>
    <row r="3" spans="1:107" x14ac:dyDescent="0.4">
      <c r="A3" s="41" t="s">
        <v>40</v>
      </c>
      <c r="B3" s="68">
        <v>0</v>
      </c>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row>
    <row r="4" spans="1:107" x14ac:dyDescent="0.4">
      <c r="A4" s="41" t="s">
        <v>41</v>
      </c>
      <c r="B4" s="68">
        <v>0</v>
      </c>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row>
    <row r="5" spans="1:107" x14ac:dyDescent="0.4">
      <c r="A5" s="41" t="s">
        <v>177</v>
      </c>
      <c r="B5" s="68">
        <v>0</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row>
    <row r="6" spans="1:107" x14ac:dyDescent="0.4">
      <c r="A6" s="41" t="s">
        <v>178</v>
      </c>
      <c r="B6" s="68">
        <v>0</v>
      </c>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row>
    <row r="7" spans="1:107" x14ac:dyDescent="0.4">
      <c r="A7" s="41" t="s">
        <v>179</v>
      </c>
      <c r="B7" s="68">
        <v>0</v>
      </c>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row>
    <row r="8" spans="1:107" x14ac:dyDescent="0.4">
      <c r="A8" s="41" t="s">
        <v>180</v>
      </c>
      <c r="B8" s="68">
        <v>0</v>
      </c>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row>
    <row r="9" spans="1:107" x14ac:dyDescent="0.4">
      <c r="A9" s="41" t="s">
        <v>181</v>
      </c>
      <c r="B9" s="68">
        <v>0</v>
      </c>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row>
    <row r="10" spans="1:107" x14ac:dyDescent="0.4">
      <c r="A10" s="41" t="s">
        <v>182</v>
      </c>
      <c r="B10" s="68">
        <v>0</v>
      </c>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row>
    <row r="11" spans="1:107" x14ac:dyDescent="0.4">
      <c r="A11" s="41" t="s">
        <v>183</v>
      </c>
      <c r="B11" s="68">
        <v>0</v>
      </c>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row>
    <row r="12" spans="1:107" x14ac:dyDescent="0.4">
      <c r="A12" s="41" t="s">
        <v>184</v>
      </c>
      <c r="B12" s="68">
        <v>0</v>
      </c>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row>
    <row r="13" spans="1:107" x14ac:dyDescent="0.4">
      <c r="A13" s="41" t="s">
        <v>185</v>
      </c>
      <c r="B13" s="68">
        <v>0</v>
      </c>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row>
    <row r="14" spans="1:107" x14ac:dyDescent="0.4">
      <c r="A14" s="41" t="s">
        <v>186</v>
      </c>
      <c r="B14" s="68">
        <v>0</v>
      </c>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107" x14ac:dyDescent="0.4">
      <c r="A15" s="41" t="s">
        <v>187</v>
      </c>
      <c r="B15" s="68">
        <v>0</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107" x14ac:dyDescent="0.4">
      <c r="A16" s="41" t="s">
        <v>188</v>
      </c>
      <c r="B16" s="68">
        <v>0</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ht="15" customHeight="1" x14ac:dyDescent="0.4">
      <c r="A17" s="41" t="s">
        <v>189</v>
      </c>
      <c r="B17" s="68">
        <v>0</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ht="15" customHeight="1" x14ac:dyDescent="0.4">
      <c r="A18" s="41" t="s">
        <v>273</v>
      </c>
      <c r="B18" s="68">
        <v>0</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ht="15" customHeight="1" x14ac:dyDescent="0.4">
      <c r="A19" s="41" t="s">
        <v>190</v>
      </c>
      <c r="B19" s="68">
        <v>0</v>
      </c>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ht="15" customHeight="1" x14ac:dyDescent="0.4">
      <c r="A20" s="41" t="s">
        <v>191</v>
      </c>
      <c r="B20" s="68">
        <v>0</v>
      </c>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ht="15" customHeight="1" x14ac:dyDescent="0.4">
      <c r="A21" s="41" t="s">
        <v>192</v>
      </c>
      <c r="B21" s="68">
        <v>1</v>
      </c>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ht="15" customHeight="1" x14ac:dyDescent="0.4">
      <c r="A22" s="41" t="s">
        <v>193</v>
      </c>
      <c r="B22" s="68">
        <v>1</v>
      </c>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ht="15" customHeight="1" x14ac:dyDescent="0.4">
      <c r="A23" s="41" t="s">
        <v>194</v>
      </c>
      <c r="B23" s="68">
        <v>1</v>
      </c>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ht="15" customHeight="1" x14ac:dyDescent="0.4">
      <c r="A24" s="41" t="s">
        <v>195</v>
      </c>
      <c r="B24" s="68">
        <v>1</v>
      </c>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ht="15" customHeight="1" x14ac:dyDescent="0.4">
      <c r="A25" s="41" t="s">
        <v>196</v>
      </c>
      <c r="B25" s="68">
        <v>1</v>
      </c>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ht="15" customHeight="1" x14ac:dyDescent="0.4">
      <c r="A26" s="41" t="s">
        <v>197</v>
      </c>
      <c r="B26" s="68">
        <v>1</v>
      </c>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ht="15" customHeight="1" x14ac:dyDescent="0.4">
      <c r="A27" s="41" t="s">
        <v>198</v>
      </c>
      <c r="B27" s="68">
        <v>1</v>
      </c>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ht="15" customHeight="1" x14ac:dyDescent="0.4">
      <c r="A28" s="41" t="s">
        <v>199</v>
      </c>
      <c r="B28" s="68">
        <v>1</v>
      </c>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ht="15" customHeight="1" x14ac:dyDescent="0.4">
      <c r="A29" s="41" t="s">
        <v>265</v>
      </c>
      <c r="B29" s="68">
        <v>1</v>
      </c>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ht="15" customHeight="1" x14ac:dyDescent="0.4">
      <c r="A30" s="41" t="s">
        <v>274</v>
      </c>
      <c r="B30" s="68">
        <v>1</v>
      </c>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ht="15" customHeight="1" x14ac:dyDescent="0.4">
      <c r="A31" s="41" t="s">
        <v>275</v>
      </c>
      <c r="B31" s="68">
        <v>1</v>
      </c>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ht="15" customHeight="1" x14ac:dyDescent="0.4">
      <c r="A32" s="41" t="s">
        <v>276</v>
      </c>
      <c r="B32" s="68">
        <v>1</v>
      </c>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ht="15" customHeight="1" x14ac:dyDescent="0.4">
      <c r="A33" s="41" t="s">
        <v>277</v>
      </c>
      <c r="B33" s="68">
        <v>1</v>
      </c>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ht="15" customHeight="1" x14ac:dyDescent="0.4">
      <c r="A34" s="41" t="s">
        <v>278</v>
      </c>
      <c r="B34" s="68">
        <v>1</v>
      </c>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ht="15" customHeight="1" x14ac:dyDescent="0.4">
      <c r="A35" s="41" t="s">
        <v>279</v>
      </c>
      <c r="B35" s="68">
        <v>1</v>
      </c>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ht="15" customHeight="1" x14ac:dyDescent="0.4">
      <c r="A36" s="41" t="s">
        <v>200</v>
      </c>
      <c r="B36" s="68">
        <v>1</v>
      </c>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ht="15" customHeight="1" x14ac:dyDescent="0.4">
      <c r="A37" s="41" t="s">
        <v>201</v>
      </c>
      <c r="B37" s="68">
        <v>1</v>
      </c>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ht="15" customHeight="1" x14ac:dyDescent="0.4">
      <c r="A38" s="41" t="s">
        <v>202</v>
      </c>
      <c r="B38" s="68">
        <v>1</v>
      </c>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ht="15" customHeight="1" x14ac:dyDescent="0.4">
      <c r="A39" s="41" t="s">
        <v>203</v>
      </c>
      <c r="B39" s="68">
        <v>1</v>
      </c>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ht="15" customHeight="1" x14ac:dyDescent="0.4">
      <c r="A40" s="41" t="s">
        <v>204</v>
      </c>
      <c r="B40" s="68">
        <v>1</v>
      </c>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ht="15" customHeight="1" x14ac:dyDescent="0.4">
      <c r="A41" s="41" t="s">
        <v>205</v>
      </c>
      <c r="B41" s="68">
        <v>1</v>
      </c>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ht="15" customHeight="1" x14ac:dyDescent="0.4">
      <c r="A42" s="41" t="s">
        <v>206</v>
      </c>
      <c r="B42" s="68">
        <v>1</v>
      </c>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ht="15" customHeight="1" x14ac:dyDescent="0.4">
      <c r="A43" s="41" t="s">
        <v>207</v>
      </c>
      <c r="B43" s="68">
        <v>1</v>
      </c>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ht="15" customHeight="1" x14ac:dyDescent="0.4">
      <c r="A44" s="41" t="s">
        <v>208</v>
      </c>
      <c r="B44" s="68">
        <v>1</v>
      </c>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ht="15" customHeight="1" x14ac:dyDescent="0.4">
      <c r="A45" s="41" t="s">
        <v>209</v>
      </c>
      <c r="B45" s="68">
        <v>1</v>
      </c>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ht="15" customHeight="1" x14ac:dyDescent="0.4">
      <c r="A46" s="41" t="s">
        <v>210</v>
      </c>
      <c r="B46" s="68">
        <v>1</v>
      </c>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ht="15" customHeight="1" x14ac:dyDescent="0.4">
      <c r="A47" s="41" t="s">
        <v>211</v>
      </c>
      <c r="B47" s="68">
        <v>1</v>
      </c>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ht="15" customHeight="1" x14ac:dyDescent="0.4">
      <c r="A48" s="41" t="s">
        <v>212</v>
      </c>
      <c r="B48" s="68">
        <v>1</v>
      </c>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ht="15" customHeight="1" x14ac:dyDescent="0.4">
      <c r="A49" s="41" t="s">
        <v>213</v>
      </c>
      <c r="B49" s="68">
        <v>1</v>
      </c>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ht="15" customHeight="1" x14ac:dyDescent="0.4">
      <c r="A50" s="41" t="s">
        <v>214</v>
      </c>
      <c r="B50" s="68">
        <v>1</v>
      </c>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ht="15" customHeight="1" x14ac:dyDescent="0.4">
      <c r="A51" s="41" t="s">
        <v>215</v>
      </c>
      <c r="B51" s="68">
        <v>1</v>
      </c>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ht="15" customHeight="1" x14ac:dyDescent="0.4">
      <c r="A52" s="41" t="s">
        <v>216</v>
      </c>
      <c r="B52" s="68">
        <v>1</v>
      </c>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ht="15" customHeight="1" x14ac:dyDescent="0.4">
      <c r="A53" s="41" t="s">
        <v>217</v>
      </c>
      <c r="B53" s="68">
        <v>1</v>
      </c>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ht="15" customHeight="1" x14ac:dyDescent="0.4">
      <c r="A54" s="41" t="s">
        <v>218</v>
      </c>
      <c r="B54" s="68">
        <v>1</v>
      </c>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ht="15" customHeight="1" x14ac:dyDescent="0.4">
      <c r="A55" s="41" t="s">
        <v>219</v>
      </c>
      <c r="B55" s="68">
        <v>1</v>
      </c>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ht="15" customHeight="1" x14ac:dyDescent="0.4">
      <c r="A56" s="41" t="s">
        <v>220</v>
      </c>
      <c r="B56" s="68">
        <v>1</v>
      </c>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ht="15" customHeight="1" x14ac:dyDescent="0.4">
      <c r="A57" s="41" t="s">
        <v>221</v>
      </c>
      <c r="B57" s="68">
        <v>1</v>
      </c>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ht="15" customHeight="1" x14ac:dyDescent="0.4">
      <c r="A58" s="41" t="s">
        <v>222</v>
      </c>
      <c r="B58" s="68">
        <v>1</v>
      </c>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ht="15" customHeight="1" x14ac:dyDescent="0.4">
      <c r="A59" s="41" t="s">
        <v>223</v>
      </c>
      <c r="B59" s="68">
        <v>1</v>
      </c>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ht="15" customHeight="1" x14ac:dyDescent="0.4">
      <c r="A60" s="41" t="s">
        <v>224</v>
      </c>
      <c r="B60" s="68">
        <v>1</v>
      </c>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ht="15" customHeight="1" x14ac:dyDescent="0.4">
      <c r="A61" s="41" t="s">
        <v>225</v>
      </c>
      <c r="B61" s="68">
        <v>1</v>
      </c>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ht="15" customHeight="1" x14ac:dyDescent="0.4">
      <c r="A62" s="41" t="s">
        <v>226</v>
      </c>
      <c r="B62" s="68">
        <v>1</v>
      </c>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ht="15" customHeight="1" x14ac:dyDescent="0.4">
      <c r="A63" s="41" t="s">
        <v>227</v>
      </c>
      <c r="B63" s="68">
        <v>1</v>
      </c>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ht="15" customHeight="1" x14ac:dyDescent="0.4">
      <c r="A64" s="41" t="s">
        <v>228</v>
      </c>
      <c r="B64" s="68">
        <v>1</v>
      </c>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ht="15" customHeight="1" x14ac:dyDescent="0.4">
      <c r="A65" s="41" t="s">
        <v>229</v>
      </c>
      <c r="B65" s="68">
        <v>1</v>
      </c>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ht="15" customHeight="1" x14ac:dyDescent="0.4">
      <c r="A66" s="41" t="s">
        <v>230</v>
      </c>
      <c r="B66" s="68">
        <v>1</v>
      </c>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ht="15" customHeight="1" x14ac:dyDescent="0.4">
      <c r="A67" s="41" t="s">
        <v>231</v>
      </c>
      <c r="B67" s="68">
        <v>1</v>
      </c>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ht="15" customHeight="1" x14ac:dyDescent="0.4">
      <c r="A68" s="41" t="s">
        <v>232</v>
      </c>
      <c r="B68" s="68">
        <v>1</v>
      </c>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ht="15" customHeight="1" x14ac:dyDescent="0.4">
      <c r="A69" s="41" t="s">
        <v>233</v>
      </c>
      <c r="B69" s="68">
        <v>1</v>
      </c>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ht="15" customHeight="1" x14ac:dyDescent="0.4">
      <c r="A70" s="41" t="s">
        <v>234</v>
      </c>
      <c r="B70" s="68">
        <v>1</v>
      </c>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ht="15" customHeight="1" x14ac:dyDescent="0.4">
      <c r="A71" s="41" t="s">
        <v>235</v>
      </c>
      <c r="B71" s="68">
        <v>1</v>
      </c>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ht="15" customHeight="1" x14ac:dyDescent="0.4">
      <c r="A72" s="41" t="s">
        <v>236</v>
      </c>
      <c r="B72" s="68">
        <v>1</v>
      </c>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ht="15" customHeight="1" x14ac:dyDescent="0.4">
      <c r="A73" s="41" t="s">
        <v>237</v>
      </c>
      <c r="B73" s="68">
        <v>1</v>
      </c>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ht="15" customHeight="1" x14ac:dyDescent="0.4">
      <c r="A74" s="41" t="s">
        <v>238</v>
      </c>
      <c r="B74" s="68">
        <v>1</v>
      </c>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ht="15" customHeight="1" x14ac:dyDescent="0.4">
      <c r="A75" s="41" t="s">
        <v>239</v>
      </c>
      <c r="B75" s="68">
        <v>1</v>
      </c>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ht="15" customHeight="1" x14ac:dyDescent="0.4">
      <c r="A76" s="41" t="s">
        <v>240</v>
      </c>
      <c r="B76" s="68">
        <v>1</v>
      </c>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ht="15" customHeight="1" x14ac:dyDescent="0.4">
      <c r="A77" s="41" t="s">
        <v>241</v>
      </c>
      <c r="B77" s="68">
        <v>1</v>
      </c>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ht="15" customHeight="1" x14ac:dyDescent="0.4">
      <c r="A78" s="41" t="s">
        <v>242</v>
      </c>
      <c r="B78" s="68">
        <v>1</v>
      </c>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ht="15" customHeight="1" x14ac:dyDescent="0.4">
      <c r="A79" s="41" t="s">
        <v>243</v>
      </c>
      <c r="B79" s="68">
        <v>1</v>
      </c>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ht="15" customHeight="1" x14ac:dyDescent="0.4">
      <c r="A80" s="41" t="s">
        <v>244</v>
      </c>
      <c r="B80" s="68">
        <v>1</v>
      </c>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ht="15" customHeight="1" x14ac:dyDescent="0.4">
      <c r="A81" s="41" t="s">
        <v>245</v>
      </c>
      <c r="B81" s="68">
        <v>1</v>
      </c>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ht="15" customHeight="1" x14ac:dyDescent="0.4">
      <c r="A82" s="41" t="s">
        <v>246</v>
      </c>
      <c r="B82" s="68">
        <v>1</v>
      </c>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ht="15" customHeight="1" x14ac:dyDescent="0.4">
      <c r="A83" s="41" t="s">
        <v>247</v>
      </c>
      <c r="B83" s="68">
        <v>1</v>
      </c>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ht="15" customHeight="1" x14ac:dyDescent="0.4">
      <c r="A84" s="41" t="s">
        <v>280</v>
      </c>
      <c r="B84" s="68">
        <v>1</v>
      </c>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ht="15" customHeight="1" x14ac:dyDescent="0.4">
      <c r="A85" s="41" t="s">
        <v>281</v>
      </c>
      <c r="B85" s="68">
        <v>1</v>
      </c>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ht="15" customHeight="1" x14ac:dyDescent="0.4">
      <c r="A86" s="41" t="s">
        <v>248</v>
      </c>
      <c r="B86" s="68">
        <v>1</v>
      </c>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ht="15" customHeight="1" x14ac:dyDescent="0.4">
      <c r="A87" s="41" t="s">
        <v>249</v>
      </c>
      <c r="B87" s="68">
        <v>1</v>
      </c>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ht="15" customHeight="1" x14ac:dyDescent="0.4">
      <c r="A88" s="41" t="s">
        <v>282</v>
      </c>
      <c r="B88" s="68">
        <v>1</v>
      </c>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ht="15" customHeight="1" x14ac:dyDescent="0.4">
      <c r="A89" s="41" t="s">
        <v>283</v>
      </c>
      <c r="B89" s="68">
        <v>1</v>
      </c>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ht="15" customHeight="1" x14ac:dyDescent="0.4">
      <c r="A90" s="41" t="s">
        <v>250</v>
      </c>
      <c r="B90" s="68">
        <v>0</v>
      </c>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ht="15" customHeight="1" x14ac:dyDescent="0.4">
      <c r="A91" s="41" t="s">
        <v>251</v>
      </c>
      <c r="B91" s="68">
        <v>0</v>
      </c>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ht="15" customHeight="1" x14ac:dyDescent="0.4">
      <c r="A92" s="41" t="s">
        <v>252</v>
      </c>
      <c r="B92" s="68">
        <v>0</v>
      </c>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ht="15" customHeight="1" x14ac:dyDescent="0.4">
      <c r="A93" s="41" t="s">
        <v>253</v>
      </c>
      <c r="B93" s="68">
        <v>0</v>
      </c>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ht="15" customHeight="1" x14ac:dyDescent="0.4">
      <c r="A94" s="41" t="s">
        <v>254</v>
      </c>
      <c r="B94" s="68">
        <v>0</v>
      </c>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ht="15" customHeight="1" x14ac:dyDescent="0.4">
      <c r="A95" s="252" t="s">
        <v>433</v>
      </c>
      <c r="B95" s="68">
        <v>1</v>
      </c>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ht="15" customHeight="1" x14ac:dyDescent="0.4">
      <c r="A96" s="252" t="s">
        <v>434</v>
      </c>
      <c r="B96" s="68">
        <v>1</v>
      </c>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ht="15" customHeight="1" x14ac:dyDescent="0.4">
      <c r="A97" s="252" t="s">
        <v>435</v>
      </c>
      <c r="B97" s="68">
        <v>1</v>
      </c>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ht="15" customHeight="1" x14ac:dyDescent="0.4">
      <c r="A98" s="252" t="s">
        <v>436</v>
      </c>
      <c r="B98" s="68">
        <v>1</v>
      </c>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ht="15" customHeight="1" x14ac:dyDescent="0.4">
      <c r="A99" s="252" t="s">
        <v>437</v>
      </c>
      <c r="B99" s="68">
        <v>1</v>
      </c>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ht="15" customHeight="1" x14ac:dyDescent="0.4">
      <c r="A100" s="252" t="s">
        <v>438</v>
      </c>
      <c r="B100" s="68">
        <v>1</v>
      </c>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ht="15" customHeight="1" x14ac:dyDescent="0.4">
      <c r="A101" s="252" t="s">
        <v>439</v>
      </c>
      <c r="B101" s="68">
        <v>1</v>
      </c>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ht="15" customHeight="1" x14ac:dyDescent="0.4">
      <c r="A102" s="253" t="s">
        <v>440</v>
      </c>
      <c r="B102" s="68">
        <v>1</v>
      </c>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ht="15" customHeight="1" x14ac:dyDescent="0.4">
      <c r="A103" s="253" t="s">
        <v>264</v>
      </c>
      <c r="B103" s="68">
        <v>1</v>
      </c>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ht="15" customHeight="1" x14ac:dyDescent="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ht="15" customHeight="1" x14ac:dyDescent="0.4"/>
    <row r="106" spans="1:91" ht="15" customHeight="1" x14ac:dyDescent="0.4"/>
    <row r="107" spans="1:91" ht="15" customHeight="1" x14ac:dyDescent="0.4">
      <c r="B107" s="38" t="s">
        <v>165</v>
      </c>
    </row>
    <row r="108" spans="1:91" ht="15" customHeight="1" x14ac:dyDescent="0.4"/>
    <row r="109" spans="1:91" ht="15" customHeight="1" x14ac:dyDescent="0.4">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ht="15" customHeight="1" x14ac:dyDescent="0.4">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ht="15" customHeight="1" x14ac:dyDescent="0.4">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ht="15" customHeight="1" x14ac:dyDescent="0.4">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customFormat="1" ht="15" customHeight="1" x14ac:dyDescent="0.4"/>
    <row r="114" customFormat="1" ht="15" customHeight="1" x14ac:dyDescent="0.4"/>
    <row r="115" customFormat="1" ht="15" customHeight="1" x14ac:dyDescent="0.4"/>
    <row r="116" customFormat="1" ht="15" customHeight="1" x14ac:dyDescent="0.4"/>
    <row r="117" customFormat="1" ht="15" customHeight="1" x14ac:dyDescent="0.4"/>
    <row r="118" customFormat="1" ht="15" customHeight="1" x14ac:dyDescent="0.4"/>
    <row r="119" customFormat="1" ht="15" customHeight="1" x14ac:dyDescent="0.4"/>
    <row r="120" customFormat="1" ht="15" customHeight="1" x14ac:dyDescent="0.4"/>
    <row r="121" customFormat="1" ht="15" customHeight="1" x14ac:dyDescent="0.4"/>
    <row r="122" customFormat="1" ht="15" customHeight="1" x14ac:dyDescent="0.4"/>
    <row r="123" customFormat="1" ht="15" customHeight="1" x14ac:dyDescent="0.4"/>
    <row r="124" customFormat="1" ht="15" customHeight="1" x14ac:dyDescent="0.4"/>
    <row r="125" customFormat="1" ht="15" customHeight="1" x14ac:dyDescent="0.4"/>
    <row r="126" customFormat="1" ht="15" customHeight="1" x14ac:dyDescent="0.4"/>
    <row r="127" customFormat="1" ht="15" customHeight="1" x14ac:dyDescent="0.4"/>
    <row r="128" customFormat="1" ht="15" customHeight="1" x14ac:dyDescent="0.4"/>
    <row r="129" customFormat="1" ht="15" customHeight="1" x14ac:dyDescent="0.4"/>
    <row r="130" customFormat="1" ht="15" customHeight="1" x14ac:dyDescent="0.4"/>
    <row r="131" customFormat="1" ht="15" customHeight="1" x14ac:dyDescent="0.4"/>
    <row r="132" customFormat="1" ht="15" customHeight="1" x14ac:dyDescent="0.4"/>
    <row r="133" customFormat="1" ht="15" customHeight="1" x14ac:dyDescent="0.4"/>
    <row r="134" customFormat="1" ht="15" customHeight="1" x14ac:dyDescent="0.4"/>
    <row r="135" customFormat="1" ht="15" customHeight="1" x14ac:dyDescent="0.4"/>
    <row r="136" customFormat="1" ht="15" customHeight="1" x14ac:dyDescent="0.4"/>
    <row r="137" customFormat="1" ht="15" customHeight="1" x14ac:dyDescent="0.4"/>
    <row r="138" customFormat="1" ht="15" customHeight="1" x14ac:dyDescent="0.4"/>
    <row r="139" customFormat="1" ht="15" customHeight="1" x14ac:dyDescent="0.4"/>
    <row r="140" customFormat="1" ht="15" customHeight="1" x14ac:dyDescent="0.4"/>
    <row r="141" customFormat="1" ht="15" customHeight="1" x14ac:dyDescent="0.4"/>
    <row r="142" customFormat="1" ht="15" customHeight="1" x14ac:dyDescent="0.4"/>
    <row r="143" customFormat="1" ht="15" customHeight="1" x14ac:dyDescent="0.4"/>
    <row r="144" customFormat="1" ht="15" customHeight="1" x14ac:dyDescent="0.4"/>
    <row r="145" customFormat="1" ht="15" customHeight="1" x14ac:dyDescent="0.4"/>
    <row r="146" customFormat="1" ht="15" customHeight="1" x14ac:dyDescent="0.4"/>
    <row r="147" customFormat="1" ht="15" customHeight="1" x14ac:dyDescent="0.4"/>
    <row r="148" customFormat="1" ht="15" customHeight="1" x14ac:dyDescent="0.4"/>
    <row r="149" customFormat="1" ht="15" customHeight="1" x14ac:dyDescent="0.4"/>
    <row r="150" customFormat="1" ht="15" customHeight="1" x14ac:dyDescent="0.4"/>
    <row r="151" customFormat="1" ht="15" customHeight="1" x14ac:dyDescent="0.4"/>
    <row r="152" customFormat="1" ht="15" customHeight="1" x14ac:dyDescent="0.4"/>
    <row r="153" customFormat="1" ht="15" customHeight="1" x14ac:dyDescent="0.4"/>
    <row r="154" customFormat="1" ht="15" customHeight="1" x14ac:dyDescent="0.4"/>
    <row r="155" customFormat="1" ht="15" customHeight="1" x14ac:dyDescent="0.4"/>
    <row r="156" customFormat="1" ht="15" customHeight="1" x14ac:dyDescent="0.4"/>
    <row r="157" customFormat="1" ht="15" customHeight="1" x14ac:dyDescent="0.4"/>
    <row r="158" customFormat="1" ht="15" customHeight="1" x14ac:dyDescent="0.4"/>
    <row r="159" customFormat="1" ht="15" customHeight="1" x14ac:dyDescent="0.4"/>
    <row r="160" customFormat="1" ht="15" customHeight="1" x14ac:dyDescent="0.4"/>
    <row r="161" customFormat="1" ht="15" customHeight="1" x14ac:dyDescent="0.4"/>
    <row r="162" customFormat="1" ht="15" customHeight="1" x14ac:dyDescent="0.4"/>
    <row r="163" customFormat="1" ht="15" customHeight="1" x14ac:dyDescent="0.4"/>
    <row r="164" customFormat="1" ht="15" customHeight="1" x14ac:dyDescent="0.4"/>
    <row r="165" customFormat="1" ht="15" customHeight="1" x14ac:dyDescent="0.4"/>
    <row r="166" customFormat="1" ht="15" customHeight="1" x14ac:dyDescent="0.4"/>
    <row r="167" customFormat="1" ht="15" customHeight="1" x14ac:dyDescent="0.4"/>
    <row r="168" customFormat="1" ht="15" customHeight="1" x14ac:dyDescent="0.4"/>
    <row r="169" customFormat="1" ht="15" customHeight="1" x14ac:dyDescent="0.4"/>
    <row r="170" customFormat="1" ht="15" customHeight="1" x14ac:dyDescent="0.4"/>
    <row r="171" customFormat="1" ht="15" customHeight="1" x14ac:dyDescent="0.4"/>
    <row r="172" customFormat="1" ht="15" customHeight="1" x14ac:dyDescent="0.4"/>
    <row r="173" customFormat="1" ht="15" customHeight="1" x14ac:dyDescent="0.4"/>
    <row r="174" customFormat="1" ht="15" customHeight="1" x14ac:dyDescent="0.4"/>
    <row r="175" customFormat="1" ht="15" customHeight="1" x14ac:dyDescent="0.4"/>
    <row r="176" customFormat="1" ht="15" customHeight="1" x14ac:dyDescent="0.4"/>
    <row r="177" customFormat="1" ht="15" customHeight="1" x14ac:dyDescent="0.4"/>
    <row r="178" customFormat="1" ht="15" customHeight="1" x14ac:dyDescent="0.4"/>
    <row r="179" customFormat="1" ht="15" customHeight="1" x14ac:dyDescent="0.4"/>
    <row r="180" customFormat="1" ht="15" customHeight="1" x14ac:dyDescent="0.4"/>
    <row r="181" customFormat="1" ht="15" customHeight="1" x14ac:dyDescent="0.4"/>
    <row r="182" customFormat="1" ht="15" customHeight="1" x14ac:dyDescent="0.4"/>
    <row r="183" customFormat="1" ht="15" customHeight="1" x14ac:dyDescent="0.4"/>
    <row r="184" customFormat="1" ht="15" customHeight="1" x14ac:dyDescent="0.4"/>
    <row r="185" customFormat="1" ht="15" customHeight="1" x14ac:dyDescent="0.4"/>
    <row r="186" customFormat="1" ht="15" customHeight="1" x14ac:dyDescent="0.4"/>
    <row r="187" customFormat="1" ht="15" customHeight="1" x14ac:dyDescent="0.4"/>
    <row r="188" customFormat="1" ht="15" customHeight="1" x14ac:dyDescent="0.4"/>
    <row r="189" customFormat="1" ht="15" customHeight="1" x14ac:dyDescent="0.4"/>
    <row r="190" customFormat="1" ht="15" customHeight="1" x14ac:dyDescent="0.4"/>
    <row r="191" customFormat="1" ht="15" customHeight="1" x14ac:dyDescent="0.4"/>
    <row r="192" customFormat="1" ht="15" customHeight="1" x14ac:dyDescent="0.4"/>
    <row r="193" customFormat="1" ht="15" customHeight="1" x14ac:dyDescent="0.4"/>
    <row r="194" customFormat="1" ht="15" customHeight="1" x14ac:dyDescent="0.4"/>
    <row r="195" customFormat="1" ht="15" customHeight="1" x14ac:dyDescent="0.4"/>
    <row r="196" customFormat="1" ht="15" customHeight="1" x14ac:dyDescent="0.4"/>
    <row r="197" customFormat="1" ht="15" customHeight="1" x14ac:dyDescent="0.4"/>
    <row r="198" customFormat="1" ht="15" customHeight="1" x14ac:dyDescent="0.4"/>
    <row r="199" customFormat="1" ht="15" customHeight="1" x14ac:dyDescent="0.4"/>
    <row r="200" customFormat="1" ht="15" customHeight="1" x14ac:dyDescent="0.4"/>
    <row r="201" customFormat="1" ht="15" customHeight="1" x14ac:dyDescent="0.4"/>
    <row r="202" customFormat="1" ht="15" customHeight="1" x14ac:dyDescent="0.4"/>
    <row r="203" customFormat="1" ht="15" customHeight="1" x14ac:dyDescent="0.4"/>
    <row r="204" customFormat="1" ht="15" customHeight="1" x14ac:dyDescent="0.4"/>
    <row r="205" customFormat="1" ht="15" customHeight="1" x14ac:dyDescent="0.4"/>
    <row r="206" customFormat="1" ht="15" customHeight="1" x14ac:dyDescent="0.4"/>
    <row r="207" customFormat="1" ht="15" customHeight="1" x14ac:dyDescent="0.4"/>
    <row r="208" customFormat="1" ht="15" customHeight="1" x14ac:dyDescent="0.4"/>
    <row r="209" customFormat="1" ht="15" customHeight="1" x14ac:dyDescent="0.4"/>
    <row r="210" customFormat="1" ht="15" customHeight="1" x14ac:dyDescent="0.4"/>
    <row r="211" customFormat="1" ht="15" customHeight="1" x14ac:dyDescent="0.4"/>
    <row r="212" customFormat="1" ht="15" customHeight="1" x14ac:dyDescent="0.4"/>
    <row r="213" customFormat="1" ht="15" customHeight="1" x14ac:dyDescent="0.4"/>
    <row r="214" customFormat="1" ht="15" customHeight="1" x14ac:dyDescent="0.4"/>
    <row r="215" customFormat="1" ht="15" customHeight="1" x14ac:dyDescent="0.4"/>
    <row r="216" customFormat="1" ht="15" customHeight="1" x14ac:dyDescent="0.4"/>
    <row r="217" customFormat="1" ht="15" customHeight="1" x14ac:dyDescent="0.4"/>
    <row r="218" customFormat="1" ht="15" customHeight="1" x14ac:dyDescent="0.4"/>
    <row r="219" customFormat="1" ht="15" customHeight="1" x14ac:dyDescent="0.4"/>
    <row r="220" customFormat="1" ht="15" customHeight="1" x14ac:dyDescent="0.4"/>
    <row r="221" customFormat="1" ht="15" customHeight="1" x14ac:dyDescent="0.4"/>
    <row r="222" customFormat="1" ht="15" customHeight="1" x14ac:dyDescent="0.4"/>
    <row r="223" customFormat="1" ht="15" customHeight="1" x14ac:dyDescent="0.4"/>
    <row r="224" customFormat="1" ht="15" customHeight="1" x14ac:dyDescent="0.4"/>
    <row r="225" customFormat="1" ht="15" customHeight="1" x14ac:dyDescent="0.4"/>
    <row r="226" customFormat="1" ht="15" customHeight="1" x14ac:dyDescent="0.4"/>
    <row r="227" customFormat="1" ht="15" customHeight="1" x14ac:dyDescent="0.4"/>
    <row r="228" customFormat="1" ht="15" customHeight="1" x14ac:dyDescent="0.4"/>
    <row r="229" customFormat="1" ht="15" customHeight="1" x14ac:dyDescent="0.4"/>
    <row r="230" customFormat="1" ht="15" customHeight="1" x14ac:dyDescent="0.4"/>
    <row r="231" customFormat="1" ht="15" customHeight="1" x14ac:dyDescent="0.4"/>
    <row r="232" customFormat="1" ht="15" customHeight="1" x14ac:dyDescent="0.4"/>
    <row r="233" customFormat="1" ht="15" customHeight="1" x14ac:dyDescent="0.4"/>
    <row r="234" customFormat="1" ht="15" customHeight="1" x14ac:dyDescent="0.4"/>
    <row r="235" customFormat="1" ht="15" customHeight="1" x14ac:dyDescent="0.4"/>
    <row r="236" customFormat="1" ht="15" customHeight="1" x14ac:dyDescent="0.4"/>
    <row r="237" customFormat="1" ht="15" customHeight="1" x14ac:dyDescent="0.4"/>
    <row r="238" customFormat="1" ht="15" customHeight="1" x14ac:dyDescent="0.4"/>
    <row r="239" customFormat="1" ht="15" customHeight="1" x14ac:dyDescent="0.4"/>
    <row r="240" customFormat="1" ht="15" customHeight="1" x14ac:dyDescent="0.4"/>
    <row r="241" customFormat="1" ht="15" customHeight="1" x14ac:dyDescent="0.4"/>
    <row r="242" customFormat="1" ht="15" customHeight="1" x14ac:dyDescent="0.4"/>
    <row r="243" customFormat="1" ht="15" customHeight="1" x14ac:dyDescent="0.4"/>
    <row r="244" customFormat="1" ht="15" customHeight="1" x14ac:dyDescent="0.4"/>
    <row r="245" customFormat="1" ht="15" customHeight="1" x14ac:dyDescent="0.4"/>
    <row r="246" customFormat="1" ht="15" customHeight="1" x14ac:dyDescent="0.4"/>
    <row r="247" customFormat="1" ht="15" customHeight="1" x14ac:dyDescent="0.4"/>
    <row r="248" customFormat="1" ht="15" customHeight="1" x14ac:dyDescent="0.4"/>
    <row r="249" customFormat="1" ht="15" customHeight="1" x14ac:dyDescent="0.4"/>
    <row r="250" customFormat="1" ht="15" customHeight="1" x14ac:dyDescent="0.4"/>
    <row r="251" customFormat="1" ht="15" customHeight="1" x14ac:dyDescent="0.4"/>
    <row r="252" customFormat="1" ht="15" customHeight="1" x14ac:dyDescent="0.4"/>
    <row r="253" customFormat="1" ht="15" customHeight="1" x14ac:dyDescent="0.4"/>
    <row r="254" customFormat="1" ht="15" customHeight="1" x14ac:dyDescent="0.4"/>
    <row r="255" customFormat="1" ht="15" customHeight="1" x14ac:dyDescent="0.4"/>
    <row r="256" customFormat="1" ht="15" customHeight="1" x14ac:dyDescent="0.4"/>
    <row r="257" customFormat="1" ht="15" customHeight="1" x14ac:dyDescent="0.4"/>
    <row r="258" customFormat="1" ht="15" customHeight="1" x14ac:dyDescent="0.4"/>
    <row r="259" customFormat="1" ht="15" customHeight="1" x14ac:dyDescent="0.4"/>
    <row r="260" customFormat="1" ht="15" customHeight="1" x14ac:dyDescent="0.4"/>
    <row r="261" customFormat="1" ht="15" customHeight="1" x14ac:dyDescent="0.4"/>
    <row r="262" customFormat="1" ht="15" customHeight="1" x14ac:dyDescent="0.4"/>
    <row r="263" customFormat="1" ht="15" customHeight="1" x14ac:dyDescent="0.4"/>
    <row r="264" customFormat="1" ht="15" customHeight="1" x14ac:dyDescent="0.4"/>
    <row r="265" customFormat="1" ht="15" customHeight="1" x14ac:dyDescent="0.4"/>
    <row r="266" customFormat="1" ht="15" customHeight="1" x14ac:dyDescent="0.4"/>
    <row r="267" customFormat="1" ht="15" customHeight="1" x14ac:dyDescent="0.4"/>
    <row r="268" customFormat="1" ht="15" customHeight="1" x14ac:dyDescent="0.4"/>
    <row r="269" customFormat="1" ht="15" customHeight="1" x14ac:dyDescent="0.4"/>
    <row r="270" customFormat="1" ht="15" customHeight="1" x14ac:dyDescent="0.4"/>
    <row r="271" customFormat="1" ht="15" customHeight="1" x14ac:dyDescent="0.4"/>
    <row r="272" customFormat="1" ht="15" customHeight="1" x14ac:dyDescent="0.4"/>
    <row r="273" customFormat="1" ht="15" customHeight="1" x14ac:dyDescent="0.4"/>
    <row r="274" customFormat="1" ht="15" customHeight="1" x14ac:dyDescent="0.4"/>
    <row r="275" customFormat="1" ht="15" customHeight="1" x14ac:dyDescent="0.4"/>
    <row r="276" customFormat="1" ht="15" customHeight="1" x14ac:dyDescent="0.4"/>
    <row r="277" customFormat="1" ht="15" customHeight="1" x14ac:dyDescent="0.4"/>
    <row r="278" customFormat="1" ht="15" customHeight="1" x14ac:dyDescent="0.4"/>
    <row r="279" customFormat="1" ht="15" customHeight="1" x14ac:dyDescent="0.4"/>
    <row r="280" customFormat="1" ht="15" customHeight="1" x14ac:dyDescent="0.4"/>
    <row r="281" customFormat="1" ht="15" customHeight="1" x14ac:dyDescent="0.4"/>
    <row r="282" customFormat="1" ht="15" customHeight="1" x14ac:dyDescent="0.4"/>
    <row r="283" customFormat="1" ht="15" customHeight="1" x14ac:dyDescent="0.4"/>
    <row r="284" customFormat="1" ht="15" customHeight="1" x14ac:dyDescent="0.4"/>
    <row r="285" customFormat="1" ht="15" customHeight="1" x14ac:dyDescent="0.4"/>
    <row r="286" customFormat="1" ht="15" customHeight="1" x14ac:dyDescent="0.4"/>
    <row r="287" customFormat="1" ht="15" customHeight="1" x14ac:dyDescent="0.4"/>
    <row r="288" customFormat="1" ht="15" customHeight="1" x14ac:dyDescent="0.4"/>
    <row r="289" customFormat="1" ht="15" customHeight="1" x14ac:dyDescent="0.4"/>
    <row r="290" customFormat="1" ht="15" customHeight="1" x14ac:dyDescent="0.4"/>
    <row r="291" customFormat="1" ht="15" customHeight="1" x14ac:dyDescent="0.4"/>
    <row r="292" customFormat="1" ht="15" customHeight="1" x14ac:dyDescent="0.4"/>
    <row r="293" customFormat="1" ht="15" customHeight="1" x14ac:dyDescent="0.4"/>
    <row r="294" customFormat="1" ht="15" customHeight="1" x14ac:dyDescent="0.4"/>
    <row r="295" customFormat="1" ht="15" customHeight="1" x14ac:dyDescent="0.4"/>
    <row r="296" customFormat="1" ht="15" customHeight="1" x14ac:dyDescent="0.4"/>
    <row r="297" customFormat="1" ht="15" customHeight="1" x14ac:dyDescent="0.4"/>
    <row r="298" customFormat="1" ht="15" customHeight="1" x14ac:dyDescent="0.4"/>
    <row r="299" customFormat="1" ht="15" customHeight="1" x14ac:dyDescent="0.4"/>
    <row r="300" customFormat="1" ht="15" customHeight="1" x14ac:dyDescent="0.4"/>
    <row r="301" customFormat="1" ht="15" customHeight="1" x14ac:dyDescent="0.4"/>
    <row r="302" customFormat="1" ht="15" customHeight="1" x14ac:dyDescent="0.4"/>
    <row r="303" customFormat="1" ht="15" customHeight="1" x14ac:dyDescent="0.4"/>
    <row r="304" customFormat="1" ht="15" customHeight="1" x14ac:dyDescent="0.4"/>
    <row r="305" customFormat="1" ht="15" customHeight="1" x14ac:dyDescent="0.4"/>
    <row r="306" customFormat="1" ht="15" customHeight="1" x14ac:dyDescent="0.4"/>
    <row r="307" customFormat="1" ht="15" customHeight="1" x14ac:dyDescent="0.4"/>
    <row r="308" customFormat="1" ht="15" customHeight="1" x14ac:dyDescent="0.4"/>
    <row r="309" customFormat="1" ht="15" customHeight="1" x14ac:dyDescent="0.4"/>
    <row r="310" customFormat="1" ht="15" customHeight="1" x14ac:dyDescent="0.4"/>
    <row r="311" customFormat="1" ht="15" customHeight="1" x14ac:dyDescent="0.4"/>
    <row r="312" customFormat="1" ht="15" customHeight="1" x14ac:dyDescent="0.4"/>
    <row r="313" customFormat="1" ht="15" customHeight="1" x14ac:dyDescent="0.4"/>
    <row r="314" customFormat="1" ht="15" customHeight="1" x14ac:dyDescent="0.4"/>
    <row r="315" customFormat="1" ht="15" customHeight="1" x14ac:dyDescent="0.4"/>
    <row r="316" customFormat="1" ht="15" customHeight="1" x14ac:dyDescent="0.4"/>
    <row r="317" customFormat="1" ht="15" customHeight="1" x14ac:dyDescent="0.4"/>
    <row r="318" customFormat="1" ht="15" customHeight="1" x14ac:dyDescent="0.4"/>
    <row r="319" customFormat="1" ht="15" customHeight="1" x14ac:dyDescent="0.4"/>
    <row r="320" customFormat="1" ht="15" customHeight="1" x14ac:dyDescent="0.4"/>
    <row r="321" customFormat="1" ht="15" customHeight="1" x14ac:dyDescent="0.4"/>
    <row r="322" customFormat="1" ht="15" customHeight="1" x14ac:dyDescent="0.4"/>
    <row r="323" customFormat="1" ht="15" customHeight="1" x14ac:dyDescent="0.4"/>
    <row r="324" customFormat="1" ht="15" customHeight="1" x14ac:dyDescent="0.4"/>
    <row r="325" customFormat="1" ht="15" customHeight="1" x14ac:dyDescent="0.4"/>
    <row r="326" customFormat="1" ht="15" customHeight="1" x14ac:dyDescent="0.4"/>
    <row r="327" customFormat="1" ht="15" customHeight="1" x14ac:dyDescent="0.4"/>
    <row r="328" customFormat="1" ht="15" customHeight="1" x14ac:dyDescent="0.4"/>
    <row r="329" customFormat="1" ht="15" customHeight="1" x14ac:dyDescent="0.4"/>
    <row r="330" customFormat="1" ht="15" customHeight="1" x14ac:dyDescent="0.4"/>
    <row r="331" customFormat="1" ht="15" customHeight="1" x14ac:dyDescent="0.4"/>
    <row r="332" customFormat="1" ht="15" customHeight="1" x14ac:dyDescent="0.4"/>
    <row r="333" customFormat="1" ht="15" customHeight="1" x14ac:dyDescent="0.4"/>
    <row r="334" customFormat="1" ht="15" customHeight="1" x14ac:dyDescent="0.4"/>
    <row r="335" customFormat="1" ht="15" customHeight="1" x14ac:dyDescent="0.4"/>
    <row r="336" customFormat="1" ht="15" customHeight="1" x14ac:dyDescent="0.4"/>
    <row r="337" customFormat="1" ht="15" customHeight="1" x14ac:dyDescent="0.4"/>
    <row r="338" customFormat="1" ht="15" customHeight="1" x14ac:dyDescent="0.4"/>
    <row r="339" customFormat="1" ht="15" customHeight="1" x14ac:dyDescent="0.4"/>
    <row r="340" customFormat="1" ht="15" customHeight="1" x14ac:dyDescent="0.4"/>
    <row r="341" customFormat="1" ht="15" customHeight="1" x14ac:dyDescent="0.4"/>
    <row r="342" customFormat="1" ht="15" customHeight="1" x14ac:dyDescent="0.4"/>
    <row r="343" customFormat="1" ht="15" customHeight="1" x14ac:dyDescent="0.4"/>
    <row r="344" customFormat="1" ht="15" customHeight="1" x14ac:dyDescent="0.4"/>
    <row r="345" customFormat="1" ht="15" customHeight="1" x14ac:dyDescent="0.4"/>
    <row r="346" customFormat="1" ht="15" customHeight="1" x14ac:dyDescent="0.4"/>
    <row r="347" customFormat="1" ht="15" customHeight="1" x14ac:dyDescent="0.4"/>
    <row r="348" customFormat="1" ht="15" customHeight="1" x14ac:dyDescent="0.4"/>
    <row r="349" customFormat="1" ht="15" customHeight="1" x14ac:dyDescent="0.4"/>
    <row r="350" customFormat="1" ht="15" customHeight="1" x14ac:dyDescent="0.4"/>
    <row r="351" customFormat="1" ht="15" customHeight="1" x14ac:dyDescent="0.4"/>
    <row r="352" customFormat="1" ht="15" customHeight="1" x14ac:dyDescent="0.4"/>
    <row r="353" customFormat="1" ht="15" customHeight="1" x14ac:dyDescent="0.4"/>
    <row r="354" customFormat="1" ht="15" customHeight="1" x14ac:dyDescent="0.4"/>
    <row r="355" customFormat="1" ht="15" customHeight="1" x14ac:dyDescent="0.4"/>
    <row r="356" customFormat="1" ht="15" customHeight="1" x14ac:dyDescent="0.4"/>
    <row r="357" customFormat="1" ht="15" customHeight="1" x14ac:dyDescent="0.4"/>
    <row r="358" customFormat="1" ht="15" customHeight="1" x14ac:dyDescent="0.4"/>
    <row r="359" customFormat="1" ht="15" customHeight="1" x14ac:dyDescent="0.4"/>
    <row r="360" customFormat="1" ht="15" customHeight="1" x14ac:dyDescent="0.4"/>
    <row r="361" customFormat="1" ht="15" customHeight="1" x14ac:dyDescent="0.4"/>
    <row r="362" customFormat="1" ht="15" customHeight="1" x14ac:dyDescent="0.4"/>
    <row r="363" customFormat="1" ht="15" customHeight="1" x14ac:dyDescent="0.4"/>
    <row r="364" customFormat="1" ht="15" customHeight="1" x14ac:dyDescent="0.4"/>
    <row r="365" customFormat="1" ht="15" customHeight="1" x14ac:dyDescent="0.4"/>
    <row r="366" customFormat="1" ht="15" customHeight="1" x14ac:dyDescent="0.4"/>
    <row r="367" customFormat="1" ht="15" customHeight="1" x14ac:dyDescent="0.4"/>
    <row r="368" customFormat="1" ht="15" customHeight="1" x14ac:dyDescent="0.4"/>
    <row r="369" customFormat="1" ht="15" customHeight="1" x14ac:dyDescent="0.4"/>
    <row r="370" customFormat="1" ht="15" customHeight="1" x14ac:dyDescent="0.4"/>
    <row r="371" customFormat="1" ht="15" customHeight="1" x14ac:dyDescent="0.4"/>
    <row r="372" customFormat="1" ht="15" customHeight="1" x14ac:dyDescent="0.4"/>
    <row r="373" customFormat="1" ht="15" customHeight="1" x14ac:dyDescent="0.4"/>
    <row r="374" customFormat="1" ht="15" customHeight="1" x14ac:dyDescent="0.4"/>
    <row r="375" customFormat="1" ht="15" customHeight="1" x14ac:dyDescent="0.4"/>
    <row r="376" customFormat="1" ht="15" customHeight="1" x14ac:dyDescent="0.4"/>
    <row r="377" customFormat="1" ht="15" customHeight="1" x14ac:dyDescent="0.4"/>
    <row r="378" customFormat="1" ht="15" customHeight="1" x14ac:dyDescent="0.4"/>
    <row r="379" customFormat="1" ht="15" customHeight="1" x14ac:dyDescent="0.4"/>
    <row r="380" customFormat="1" ht="15" customHeight="1" x14ac:dyDescent="0.4"/>
    <row r="381" customFormat="1" ht="15" customHeight="1" x14ac:dyDescent="0.4"/>
    <row r="382" customFormat="1" ht="15" customHeight="1" x14ac:dyDescent="0.4"/>
    <row r="383" customFormat="1" ht="15" customHeight="1" x14ac:dyDescent="0.4"/>
    <row r="384" customFormat="1" ht="15" customHeight="1" x14ac:dyDescent="0.4"/>
    <row r="385" customFormat="1" ht="15" customHeight="1" x14ac:dyDescent="0.4"/>
    <row r="386" customFormat="1" ht="15" customHeight="1" x14ac:dyDescent="0.4"/>
    <row r="387" customFormat="1" ht="15" customHeight="1" x14ac:dyDescent="0.4"/>
    <row r="388" customFormat="1" ht="15" customHeight="1" x14ac:dyDescent="0.4"/>
    <row r="389" customFormat="1" ht="15" customHeight="1" x14ac:dyDescent="0.4"/>
    <row r="390" customFormat="1" ht="15" customHeight="1" x14ac:dyDescent="0.4"/>
    <row r="391" customFormat="1" ht="15" customHeight="1" x14ac:dyDescent="0.4"/>
    <row r="392" customFormat="1" ht="15" customHeight="1" x14ac:dyDescent="0.4"/>
    <row r="393" customFormat="1" ht="15" customHeight="1" x14ac:dyDescent="0.4"/>
    <row r="394" customFormat="1" ht="15" customHeight="1" x14ac:dyDescent="0.4"/>
    <row r="395" customFormat="1" ht="15" customHeight="1" x14ac:dyDescent="0.4"/>
    <row r="396" customFormat="1" ht="15" customHeight="1" x14ac:dyDescent="0.4"/>
    <row r="397" customFormat="1" ht="15" customHeight="1" x14ac:dyDescent="0.4"/>
    <row r="398" customFormat="1" ht="15" customHeight="1" x14ac:dyDescent="0.4"/>
    <row r="399" customFormat="1" ht="15" customHeight="1" x14ac:dyDescent="0.4"/>
    <row r="400" customFormat="1" ht="15" customHeight="1" x14ac:dyDescent="0.4"/>
    <row r="401" customFormat="1" ht="15" customHeight="1" x14ac:dyDescent="0.4"/>
    <row r="402" customFormat="1" ht="15" customHeight="1" x14ac:dyDescent="0.4"/>
    <row r="403" customFormat="1" ht="15" customHeight="1" x14ac:dyDescent="0.4"/>
    <row r="404" customFormat="1" ht="15" customHeight="1" x14ac:dyDescent="0.4"/>
    <row r="405" customFormat="1" ht="15" customHeight="1" x14ac:dyDescent="0.4"/>
    <row r="406" customFormat="1" ht="15" customHeight="1" x14ac:dyDescent="0.4"/>
    <row r="407" customFormat="1" ht="15" customHeight="1" x14ac:dyDescent="0.4"/>
    <row r="408" customFormat="1" ht="15" customHeight="1" x14ac:dyDescent="0.4"/>
    <row r="409" customFormat="1" ht="15" customHeight="1" x14ac:dyDescent="0.4"/>
    <row r="410" customFormat="1" ht="15" customHeight="1" x14ac:dyDescent="0.4"/>
    <row r="411" customFormat="1" ht="15" customHeight="1" x14ac:dyDescent="0.4"/>
    <row r="412" customFormat="1" ht="15" customHeight="1" x14ac:dyDescent="0.4"/>
    <row r="413" customFormat="1" ht="15" customHeight="1" x14ac:dyDescent="0.4"/>
    <row r="414" customFormat="1" ht="15" customHeight="1" x14ac:dyDescent="0.4"/>
    <row r="415" customFormat="1" ht="15" customHeight="1" x14ac:dyDescent="0.4"/>
    <row r="416" customFormat="1" ht="15" customHeight="1" x14ac:dyDescent="0.4"/>
    <row r="417" customFormat="1" ht="15" customHeight="1" x14ac:dyDescent="0.4"/>
    <row r="418" customFormat="1" ht="15" customHeight="1" x14ac:dyDescent="0.4"/>
    <row r="419" customFormat="1" ht="15" customHeight="1" x14ac:dyDescent="0.4"/>
    <row r="420" customFormat="1" ht="15" customHeight="1" x14ac:dyDescent="0.4"/>
    <row r="421" customFormat="1" ht="15" customHeight="1" x14ac:dyDescent="0.4"/>
    <row r="422" customFormat="1" ht="15" customHeight="1" x14ac:dyDescent="0.4"/>
    <row r="423" customFormat="1" ht="15" customHeight="1" x14ac:dyDescent="0.4"/>
    <row r="424" customFormat="1" ht="15" customHeight="1" x14ac:dyDescent="0.4"/>
    <row r="425" customFormat="1" ht="15" customHeight="1" x14ac:dyDescent="0.4"/>
    <row r="426" customFormat="1" ht="15" customHeight="1" x14ac:dyDescent="0.4"/>
    <row r="427" customFormat="1" ht="15" customHeight="1" x14ac:dyDescent="0.4"/>
    <row r="428" customFormat="1" ht="15" customHeight="1" x14ac:dyDescent="0.4"/>
    <row r="429" customFormat="1" ht="15" customHeight="1" x14ac:dyDescent="0.4"/>
    <row r="430" customFormat="1" ht="15" customHeight="1" x14ac:dyDescent="0.4"/>
    <row r="431" customFormat="1" ht="15" customHeight="1" x14ac:dyDescent="0.4"/>
    <row r="432" customFormat="1" ht="15" customHeight="1" x14ac:dyDescent="0.4"/>
    <row r="433" customFormat="1" ht="15" customHeight="1" x14ac:dyDescent="0.4"/>
    <row r="434" customFormat="1" ht="15" customHeight="1" x14ac:dyDescent="0.4"/>
    <row r="435" customFormat="1" ht="15" customHeight="1" x14ac:dyDescent="0.4"/>
    <row r="436" customFormat="1" ht="15" customHeight="1" x14ac:dyDescent="0.4"/>
    <row r="437" customFormat="1" ht="15" customHeight="1" x14ac:dyDescent="0.4"/>
    <row r="438" customFormat="1" ht="15" customHeight="1" x14ac:dyDescent="0.4"/>
    <row r="439" customFormat="1" ht="15" customHeight="1" x14ac:dyDescent="0.4"/>
    <row r="440" customFormat="1" ht="15" customHeight="1" x14ac:dyDescent="0.4"/>
    <row r="441" customFormat="1" ht="15" customHeight="1" x14ac:dyDescent="0.4"/>
    <row r="442" customFormat="1" ht="15" customHeight="1" x14ac:dyDescent="0.4"/>
    <row r="443" customFormat="1" ht="15" customHeight="1" x14ac:dyDescent="0.4"/>
    <row r="444" customFormat="1" ht="15" customHeight="1" x14ac:dyDescent="0.4"/>
    <row r="445" customFormat="1" ht="15" customHeight="1" x14ac:dyDescent="0.4"/>
    <row r="446" customFormat="1" ht="15" customHeight="1" x14ac:dyDescent="0.4"/>
    <row r="447" customFormat="1" ht="15" customHeight="1" x14ac:dyDescent="0.4"/>
    <row r="448" customFormat="1" ht="15" customHeight="1" x14ac:dyDescent="0.4"/>
    <row r="449" customFormat="1" ht="15" customHeight="1" x14ac:dyDescent="0.4"/>
    <row r="450" customFormat="1" ht="15" customHeight="1" x14ac:dyDescent="0.4"/>
    <row r="451" customFormat="1" ht="15" customHeight="1" x14ac:dyDescent="0.4"/>
    <row r="452" customFormat="1" ht="15" customHeight="1" x14ac:dyDescent="0.4"/>
    <row r="453" customFormat="1" ht="15" customHeight="1" x14ac:dyDescent="0.4"/>
    <row r="454" customFormat="1" ht="15" customHeight="1" x14ac:dyDescent="0.4"/>
    <row r="455" customFormat="1" ht="15" customHeight="1" x14ac:dyDescent="0.4"/>
    <row r="456" customFormat="1" ht="15" customHeight="1" x14ac:dyDescent="0.4"/>
    <row r="457" customFormat="1" ht="15" customHeight="1" x14ac:dyDescent="0.4"/>
    <row r="458" customFormat="1" ht="15" customHeight="1" x14ac:dyDescent="0.4"/>
    <row r="459" customFormat="1" ht="15" customHeight="1" x14ac:dyDescent="0.4"/>
    <row r="460" customFormat="1" ht="15" customHeight="1" x14ac:dyDescent="0.4"/>
    <row r="461" customFormat="1" ht="15" customHeight="1" x14ac:dyDescent="0.4"/>
    <row r="462" customFormat="1" ht="15" customHeight="1" x14ac:dyDescent="0.4"/>
    <row r="463" customFormat="1" ht="15" customHeight="1" x14ac:dyDescent="0.4"/>
    <row r="464" customFormat="1" ht="15" customHeight="1" x14ac:dyDescent="0.4"/>
    <row r="465" customFormat="1" ht="15" customHeight="1" x14ac:dyDescent="0.4"/>
    <row r="466" customFormat="1" ht="15" customHeight="1" x14ac:dyDescent="0.4"/>
    <row r="467" customFormat="1" ht="15" customHeight="1" x14ac:dyDescent="0.4"/>
    <row r="468" customFormat="1" ht="15" customHeight="1" x14ac:dyDescent="0.4"/>
    <row r="469" customFormat="1" ht="15" customHeight="1" x14ac:dyDescent="0.4"/>
    <row r="470" customFormat="1" ht="15" customHeight="1" x14ac:dyDescent="0.4"/>
    <row r="471" customFormat="1" ht="15" customHeight="1" x14ac:dyDescent="0.4"/>
    <row r="472" customFormat="1" ht="15" customHeight="1" x14ac:dyDescent="0.4"/>
    <row r="473" customFormat="1" ht="15" customHeight="1" x14ac:dyDescent="0.4"/>
    <row r="474" customFormat="1" ht="15" customHeight="1" x14ac:dyDescent="0.4"/>
    <row r="475" customFormat="1" ht="15" customHeight="1" x14ac:dyDescent="0.4"/>
    <row r="476" customFormat="1" ht="15" customHeight="1" x14ac:dyDescent="0.4"/>
    <row r="477" customFormat="1" ht="15" customHeight="1" x14ac:dyDescent="0.4"/>
    <row r="478" customFormat="1" ht="15" customHeight="1" x14ac:dyDescent="0.4"/>
    <row r="479" customFormat="1" ht="15" customHeight="1" x14ac:dyDescent="0.4"/>
    <row r="480" customFormat="1" ht="15" customHeight="1" x14ac:dyDescent="0.4"/>
    <row r="481" customFormat="1" ht="15" customHeight="1" x14ac:dyDescent="0.4"/>
    <row r="482" customFormat="1" ht="15" customHeight="1" x14ac:dyDescent="0.4"/>
    <row r="483" customFormat="1" ht="15" customHeight="1" x14ac:dyDescent="0.4"/>
    <row r="484" customFormat="1" ht="15" customHeight="1" x14ac:dyDescent="0.4"/>
    <row r="485" customFormat="1" ht="15" customHeight="1" x14ac:dyDescent="0.4"/>
    <row r="486" customFormat="1" ht="15" customHeight="1" x14ac:dyDescent="0.4"/>
    <row r="487" customFormat="1" ht="15" customHeight="1" x14ac:dyDescent="0.4"/>
    <row r="488" customFormat="1" ht="15" customHeight="1" x14ac:dyDescent="0.4"/>
    <row r="489" customFormat="1" ht="15" customHeight="1" x14ac:dyDescent="0.4"/>
    <row r="490" customFormat="1" ht="15" customHeight="1" x14ac:dyDescent="0.4"/>
    <row r="491" customFormat="1" ht="15" customHeight="1" x14ac:dyDescent="0.4"/>
    <row r="492" customFormat="1" ht="15" customHeight="1" x14ac:dyDescent="0.4"/>
    <row r="493" customFormat="1" ht="15" customHeight="1" x14ac:dyDescent="0.4"/>
    <row r="494" customFormat="1" ht="15" customHeight="1" x14ac:dyDescent="0.4"/>
    <row r="495" customFormat="1" ht="15" customHeight="1" x14ac:dyDescent="0.4"/>
    <row r="496" customFormat="1" ht="15" customHeight="1" x14ac:dyDescent="0.4"/>
    <row r="497" customFormat="1" ht="15" customHeight="1" x14ac:dyDescent="0.4"/>
    <row r="498" customFormat="1" ht="15" customHeight="1" x14ac:dyDescent="0.4"/>
    <row r="499" customFormat="1" ht="15" customHeight="1" x14ac:dyDescent="0.4"/>
    <row r="500" customFormat="1" ht="15" customHeight="1" x14ac:dyDescent="0.4"/>
    <row r="501" customFormat="1" ht="15" customHeight="1" x14ac:dyDescent="0.4"/>
    <row r="502" customFormat="1" ht="15" customHeight="1" x14ac:dyDescent="0.4"/>
    <row r="503" customFormat="1" ht="15" customHeight="1" x14ac:dyDescent="0.4"/>
    <row r="504" customFormat="1" ht="15" customHeight="1" x14ac:dyDescent="0.4"/>
    <row r="505" customFormat="1" ht="15" customHeight="1" x14ac:dyDescent="0.4"/>
    <row r="506" customFormat="1" ht="15" customHeight="1" x14ac:dyDescent="0.4"/>
    <row r="507" customFormat="1" ht="15" customHeight="1" x14ac:dyDescent="0.4"/>
    <row r="508" customFormat="1" ht="15" customHeight="1" x14ac:dyDescent="0.4"/>
    <row r="509" customFormat="1" ht="15" customHeight="1" x14ac:dyDescent="0.4"/>
    <row r="510" customFormat="1" ht="15" customHeight="1" x14ac:dyDescent="0.4"/>
    <row r="511" customFormat="1" ht="15" customHeight="1" x14ac:dyDescent="0.4"/>
    <row r="512" customFormat="1" ht="15" customHeight="1" x14ac:dyDescent="0.4"/>
    <row r="513" customFormat="1" ht="15" customHeight="1" x14ac:dyDescent="0.4"/>
    <row r="514" customFormat="1" ht="15" customHeight="1" x14ac:dyDescent="0.4"/>
    <row r="515" customFormat="1" ht="15" customHeight="1" x14ac:dyDescent="0.4"/>
    <row r="516" customFormat="1" ht="15" customHeight="1" x14ac:dyDescent="0.4"/>
    <row r="517" customFormat="1" ht="15" customHeight="1" x14ac:dyDescent="0.4"/>
    <row r="518" customFormat="1" ht="15" customHeight="1" x14ac:dyDescent="0.4"/>
    <row r="519" customFormat="1" ht="15" customHeight="1" x14ac:dyDescent="0.4"/>
    <row r="520" customFormat="1" ht="15" customHeight="1" x14ac:dyDescent="0.4"/>
    <row r="521" customFormat="1" ht="15" customHeight="1" x14ac:dyDescent="0.4"/>
    <row r="522" customFormat="1" ht="15" customHeight="1" x14ac:dyDescent="0.4"/>
    <row r="523" customFormat="1" ht="15" customHeight="1" x14ac:dyDescent="0.4"/>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Kelly L Robinson</dc:creator>
  <cp:lastModifiedBy>Dylan Gomes</cp:lastModifiedBy>
  <cp:lastPrinted>2003-08-05T17:15:48Z</cp:lastPrinted>
  <dcterms:created xsi:type="dcterms:W3CDTF">1996-10-14T23:33:28Z</dcterms:created>
  <dcterms:modified xsi:type="dcterms:W3CDTF">2022-09-13T20:24:02Z</dcterms:modified>
</cp:coreProperties>
</file>